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5932" documentId="13_ncr:1_{24F0A03A-BF93-476E-979C-6EA6F9010A42}" xr6:coauthVersionLast="47" xr6:coauthVersionMax="47" xr10:uidLastSave="{E773CF33-D251-4E5C-BED0-9904BE505849}"/>
  <bookViews>
    <workbookView xWindow="-108" yWindow="-108" windowWidth="23256" windowHeight="13896" tabRatio="877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0" l="1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S7" i="50" a="1"/>
  <c r="CS7" i="50" s="1"/>
  <c r="CT7" i="50" a="1"/>
  <c r="CT7" i="50" s="1"/>
  <c r="CJ12" i="50" a="1"/>
  <c r="CJ12" i="50" s="1"/>
  <c r="CK12" i="50" a="1"/>
  <c r="CK12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M17" i="50" a="1"/>
  <c r="CM17" i="50" s="1"/>
  <c r="CN17" i="50" a="1"/>
  <c r="CN17" i="50" s="1"/>
  <c r="CO17" i="50" a="1"/>
  <c r="CO17" i="50" s="1"/>
  <c r="CP17" i="50" a="1"/>
  <c r="CP17" i="50" s="1"/>
  <c r="CQ17" i="50" a="1"/>
  <c r="CQ17" i="50" s="1"/>
  <c r="CR17" i="50" a="1"/>
  <c r="CR17" i="50" s="1"/>
  <c r="CS17" i="50" a="1"/>
  <c r="CS17" i="50" s="1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B7" i="50" a="1"/>
  <c r="CB7" i="50" s="1"/>
  <c r="CC7" i="50" a="1"/>
  <c r="CC7" i="50" s="1"/>
  <c r="CD7" i="50" a="1"/>
  <c r="CD7" i="50" s="1"/>
  <c r="CE7" i="50" a="1"/>
  <c r="CE7" i="50" s="1"/>
  <c r="CF7" i="50" a="1"/>
  <c r="CF7" i="50" s="1"/>
  <c r="CG7" i="50" a="1"/>
  <c r="CG7" i="50" s="1"/>
  <c r="CH7" i="50" a="1"/>
  <c r="CH7" i="50" s="1"/>
  <c r="CI7" i="50" a="1"/>
  <c r="CI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L120" i="31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P91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BL7" i="50" l="1" a="1"/>
  <c r="BL7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Q28" i="50"/>
  <c r="CQ16" i="50"/>
  <c r="CQ18" i="50" s="1"/>
  <c r="CQ21" i="50"/>
  <c r="CQ11" i="50"/>
  <c r="CQ13" i="50" s="1"/>
  <c r="CQ8" i="50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13" i="50" s="1"/>
  <c r="BW8" i="50"/>
  <c r="BX28" i="50"/>
  <c r="BX21" i="50"/>
  <c r="BX16" i="50"/>
  <c r="BX18" i="50" s="1"/>
  <c r="BX11" i="50"/>
  <c r="BX13" i="50" s="1"/>
  <c r="BX8" i="50"/>
  <c r="BY21" i="50"/>
  <c r="BY28" i="50"/>
  <c r="BY16" i="50"/>
  <c r="BY18" i="50" s="1"/>
  <c r="BY11" i="50"/>
  <c r="BY13" i="50" s="1"/>
  <c r="BY8" i="50"/>
  <c r="BZ28" i="50"/>
  <c r="BZ16" i="50"/>
  <c r="BZ18" i="50" s="1"/>
  <c r="BZ11" i="50"/>
  <c r="BZ13" i="50" s="1"/>
  <c r="BZ8" i="50"/>
  <c r="BZ21" i="50"/>
  <c r="CB28" i="50"/>
  <c r="CB21" i="50"/>
  <c r="CB16" i="50"/>
  <c r="CB18" i="50" s="1"/>
  <c r="CB11" i="50"/>
  <c r="CB13" i="50" s="1"/>
  <c r="CB8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F28" i="50"/>
  <c r="CF21" i="50"/>
  <c r="CF16" i="50"/>
  <c r="CF18" i="50" s="1"/>
  <c r="CF11" i="50"/>
  <c r="CF13" i="50" s="1"/>
  <c r="CF8" i="50"/>
  <c r="CG28" i="50"/>
  <c r="CG16" i="50"/>
  <c r="CG18" i="50" s="1"/>
  <c r="CG11" i="50"/>
  <c r="CG13" i="50" s="1"/>
  <c r="CG8" i="50"/>
  <c r="CG21" i="50"/>
  <c r="CI21" i="50"/>
  <c r="CI28" i="50"/>
  <c r="CI16" i="50"/>
  <c r="CI18" i="50" s="1"/>
  <c r="CI11" i="50"/>
  <c r="CI13" i="50" s="1"/>
  <c r="CI8" i="50"/>
  <c r="BL28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F7" i="5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Q21" i="50" l="1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L30" i="49"/>
  <c r="L33" i="49" s="1"/>
  <c r="L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P8" i="51" s="1"/>
  <c r="B31" i="49"/>
  <c r="B18" i="49"/>
  <c r="B7" i="51"/>
  <c r="P7" i="51" s="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D16" i="51" s="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BQ25" i="50" l="1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<sst xmlns="http://schemas.openxmlformats.org/spreadsheetml/2006/main" count="9637" uniqueCount="1902">
  <si>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</si>
  <si>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</si>
  <si>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</si>
  <si>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</si>
  <si>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</si>
  <si>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</si>
  <si>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</si>
  <si>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</si>
  <si>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</si>
  <si>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</si>
  <si>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</si>
  <si>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</si>
  <si>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</si>
  <si>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</si>
  <si>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</si>
  <si>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</si>
  <si>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</si>
  <si>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</si>
  <si>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</si>
  <si>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</si>
  <si>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</si>
  <si>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</si>
  <si>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</si>
  <si>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</si>
  <si>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</si>
  <si>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</si>
  <si>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</si>
  <si>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</si>
  <si>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</si>
  <si>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</si>
  <si>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</si>
  <si>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</si>
  <si>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</si>
  <si>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</si>
  <si>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</si>
  <si>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</si>
  <si>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</si>
  <si>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</si>
  <si>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</si>
  <si>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</si>
  <si>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</si>
  <si>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</si>
  <si>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</si>
  <si>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</si>
  <si>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</si>
  <si>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</si>
  <si>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</si>
  <si>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</si>
  <si>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</si>
  <si>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</si>
  <si>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</si>
  <si>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</si>
  <si>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</si>
  <si>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</si>
  <si>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</si>
  <si>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</si>
  <si>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</si>
  <si>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</si>
  <si>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</si>
  <si>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</si>
  <si>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</si>
  <si>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</si>
  <si>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</si>
  <si>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</si>
  <si>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</si>
  <si>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</si>
  <si>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</si>
  <si>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</si>
  <si>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</si>
  <si>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</si>
  <si>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</si>
  <si>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</si>
  <si>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</si>
  <si>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</si>
  <si>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</si>
  <si>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</si>
  <si>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</si>
  <si>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</si>
  <si>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</si>
  <si>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</si>
  <si>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</si>
  <si>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</si>
  <si>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</si>
  <si>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</si>
  <si>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</si>
  <si>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</si>
  <si>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</si>
  <si>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</si>
  <si>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</si>
  <si>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</si>
  <si>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</si>
  <si>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</si>
  <si>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</si>
  <si>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</si>
  <si>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</si>
  <si>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</si>
  <si>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</si>
  <si>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</si>
  <si>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</si>
  <si>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</si>
  <si>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</si>
  <si>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</si>
  <si>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</si>
  <si>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</si>
  <si>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</si>
  <si>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</si>
  <si>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</si>
  <si>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</si>
  <si>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</si>
  <si>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</si>
  <si>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</si>
  <si>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</si>
  <si>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</si>
  <si>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</si>
  <si>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</si>
  <si>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</si>
  <si>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</si>
  <si>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</si>
  <si>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</si>
  <si>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</si>
  <si>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</si>
  <si>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</si>
  <si>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</si>
  <si>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</si>
  <si>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</si>
  <si>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</si>
  <si>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</si>
  <si>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</si>
  <si>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</si>
  <si>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</si>
  <si>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</si>
  <si>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</si>
  <si>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</si>
  <si>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</si>
  <si>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</si>
  <si>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</si>
  <si>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</si>
  <si>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</si>
  <si>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</si>
  <si>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</si>
  <si>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</si>
  <si>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</si>
  <si>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</si>
  <si>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</si>
  <si>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</si>
  <si>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</si>
  <si>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</si>
  <si>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</si>
  <si>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</si>
  <si>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</si>
  <si>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</si>
  <si>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</si>
  <si>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</si>
  <si>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</si>
  <si>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</si>
  <si>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</si>
  <si>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</si>
  <si>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</si>
  <si>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</si>
  <si>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</si>
  <si>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</si>
  <si>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</si>
  <si>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</si>
  <si>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</si>
  <si>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</si>
  <si>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</si>
  <si>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</si>
  <si>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</si>
  <si>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</si>
  <si>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</si>
  <si>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</si>
  <si>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</si>
  <si>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</si>
  <si>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</si>
  <si>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</si>
  <si>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</si>
  <si>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</si>
  <si>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</si>
  <si>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</si>
  <si>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</si>
  <si>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</si>
  <si>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</si>
  <si>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</si>
  <si>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</si>
  <si>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</si>
  <si>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</si>
  <si>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</si>
  <si>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</si>
  <si>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</si>
  <si>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</si>
  <si>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</si>
  <si>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</si>
  <si>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</si>
  <si>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</si>
  <si>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</si>
  <si>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</si>
  <si>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</si>
  <si>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</si>
  <si>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</si>
  <si>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</si>
  <si>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</si>
  <si>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</si>
  <si>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</si>
  <si>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</si>
  <si>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</si>
  <si>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</si>
  <si>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</si>
  <si>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</si>
  <si>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</si>
  <si>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</si>
  <si>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</si>
  <si>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</si>
  <si>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</si>
  <si>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</si>
  <si>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</si>
  <si>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</si>
  <si>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</si>
  <si>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</si>
  <si>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</si>
  <si>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</si>
  <si>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</si>
  <si>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</si>
  <si>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</si>
  <si>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</si>
  <si>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</si>
  <si>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</si>
  <si>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</si>
  <si>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</si>
  <si>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</si>
  <si>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</si>
  <si>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</si>
  <si>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</si>
  <si>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</si>
  <si>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</si>
  <si>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</si>
  <si>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</si>
  <si>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</si>
  <si>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</si>
  <si>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</si>
  <si>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</si>
  <si>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</si>
  <si>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</si>
  <si>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</si>
  <si>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</si>
  <si>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</si>
  <si>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</si>
  <si>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</si>
  <si>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</si>
  <si>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</si>
  <si>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</si>
  <si>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</si>
  <si>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</si>
  <si>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</si>
  <si>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</si>
  <si>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</si>
  <si>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</si>
  <si>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</si>
  <si>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</si>
  <si>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</si>
  <si>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</si>
  <si>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</si>
  <si>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</si>
  <si>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</si>
  <si>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</si>
  <si>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</si>
  <si>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</si>
  <si>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</si>
  <si>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</si>
  <si>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</si>
  <si>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</si>
  <si>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</si>
  <si>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</si>
  <si>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</si>
  <si>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</si>
  <si>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</si>
  <si>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</si>
  <si>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</si>
  <si>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</si>
  <si>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</si>
  <si>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</si>
  <si>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</si>
  <si>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</si>
  <si>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</si>
  <si>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</si>
  <si>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</si>
  <si>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</si>
  <si>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</si>
  <si>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</si>
  <si>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</si>
  <si>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</si>
  <si>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</si>
  <si>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</si>
  <si>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</si>
  <si>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</si>
  <si>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</si>
  <si>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</si>
  <si>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</si>
  <si>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</si>
  <si>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</si>
  <si>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</si>
  <si>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</si>
  <si>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</si>
  <si>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</si>
  <si>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</si>
  <si>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</si>
  <si>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</si>
  <si>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</si>
  <si>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</si>
  <si>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</si>
  <si>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</si>
  <si>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</si>
  <si>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</si>
  <si>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</si>
  <si>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</si>
  <si>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</si>
  <si>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</si>
  <si>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</si>
  <si>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</si>
  <si>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</si>
  <si>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</si>
  <si>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</si>
  <si>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</si>
  <si>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</si>
  <si>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</si>
  <si>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</si>
  <si>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</si>
  <si>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</si>
  <si>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</si>
  <si>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</si>
  <si>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</si>
  <si>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</si>
  <si>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</si>
  <si>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</si>
  <si>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</si>
  <si>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</si>
  <si>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</si>
  <si>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</si>
  <si>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</si>
  <si>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</si>
  <si>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</si>
  <si>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</si>
  <si>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</si>
  <si>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</si>
  <si>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</si>
  <si>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</si>
  <si>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</si>
  <si>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</si>
  <si>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</si>
  <si>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</si>
  <si>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</si>
  <si>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</si>
  <si>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</si>
  <si>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</si>
  <si>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</si>
  <si>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</si>
  <si>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</si>
  <si>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</si>
  <si>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</si>
  <si>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</si>
  <si>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</si>
  <si>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</si>
  <si>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</si>
  <si>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</si>
  <si>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</si>
  <si>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</si>
  <si>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</si>
  <si>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</si>
  <si>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</si>
  <si>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</si>
  <si>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</si>
  <si>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</si>
  <si>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</si>
  <si>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</si>
  <si>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</si>
  <si>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</si>
  <si>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</si>
  <si>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</si>
  <si>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</si>
  <si>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</si>
  <si>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</si>
  <si>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</si>
  <si>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</si>
  <si>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</si>
  <si>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</si>
  <si>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</si>
  <si>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</si>
  <si>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</si>
  <si>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</si>
  <si>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</si>
  <si>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</si>
  <si>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</si>
  <si>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</si>
  <si>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</si>
  <si>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</si>
  <si>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</si>
  <si>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</si>
  <si>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</si>
  <si>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</si>
  <si>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</si>
  <si>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</si>
  <si>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</si>
  <si>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</si>
  <si>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</si>
  <si>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</si>
  <si>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</si>
  <si>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</si>
  <si>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</si>
  <si>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</si>
  <si>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</si>
  <si>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</si>
  <si>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</si>
  <si>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</si>
  <si>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</si>
  <si>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</si>
  <si>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</si>
  <si>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</si>
  <si>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</si>
  <si>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</si>
  <si>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</si>
  <si>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</si>
  <si>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</si>
  <si>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</si>
  <si>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</si>
  <si>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</si>
  <si>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</si>
  <si>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</si>
  <si>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</si>
  <si>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</si>
  <si>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</si>
  <si>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</si>
  <si>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</si>
  <si>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</si>
  <si>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</si>
  <si>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</si>
  <si>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</si>
  <si>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</si>
  <si>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</si>
  <si>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</si>
  <si>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</si>
  <si>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</si>
  <si>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</si>
  <si>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</si>
  <si>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</si>
  <si>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</si>
  <si>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</si>
  <si>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</si>
  <si>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</si>
  <si>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</si>
  <si>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</si>
  <si>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</si>
  <si>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</si>
  <si>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</si>
  <si>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</si>
  <si>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</si>
  <si>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</si>
  <si>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</si>
  <si>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</si>
  <si>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</si>
  <si>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</si>
  <si>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</si>
  <si>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</si>
  <si>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</si>
  <si>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</si>
  <si>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</si>
  <si>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</si>
  <si>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</si>
  <si>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</si>
  <si>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</si>
  <si>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</si>
  <si>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</si>
  <si>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</si>
  <si>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</si>
  <si>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</si>
  <si>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</si>
  <si>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</si>
  <si>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</si>
  <si>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</si>
  <si>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</si>
  <si>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</si>
  <si>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</si>
  <si>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</si>
  <si>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</si>
  <si>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</si>
  <si>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</si>
  <si>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</si>
  <si>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</si>
  <si>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</si>
  <si>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</si>
  <si>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</si>
  <si>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</si>
  <si>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</si>
  <si>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</si>
  <si>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</si>
  <si>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</si>
  <si>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</si>
  <si>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</si>
  <si>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</si>
  <si>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</si>
  <si>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</si>
  <si>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</si>
  <si>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</si>
  <si>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</si>
  <si>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</si>
  <si>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</si>
  <si>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</si>
  <si>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</si>
  <si>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</si>
  <si>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</si>
  <si>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</si>
  <si>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</si>
  <si>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</si>
  <si>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</si>
  <si>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</si>
  <si>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</si>
  <si>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</si>
  <si>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</si>
  <si>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</si>
  <si>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</si>
  <si>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</si>
  <si>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</si>
  <si>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</si>
  <si>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</si>
  <si>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</si>
  <si>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</si>
  <si>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</si>
  <si>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</si>
  <si>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</si>
  <si>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</si>
  <si>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</si>
  <si>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</si>
  <si>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</si>
  <si>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</si>
  <si>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</si>
  <si>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</si>
  <si>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</si>
  <si>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</si>
  <si>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</si>
  <si>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</si>
  <si>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</si>
  <si>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</si>
  <si>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</si>
  <si>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</si>
  <si>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</si>
  <si>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</si>
  <si>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</si>
  <si>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</si>
  <si>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</si>
  <si>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</si>
  <si>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</si>
  <si>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</si>
  <si>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</si>
  <si>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</si>
  <si>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</si>
  <si>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</si>
  <si>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</si>
  <si>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</si>
  <si>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</si>
  <si>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</si>
  <si>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</si>
  <si>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</si>
  <si>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</si>
  <si>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</si>
  <si>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</si>
  <si>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</si>
  <si>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</si>
  <si>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</si>
  <si>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</si>
  <si>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</si>
  <si>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</si>
  <si>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</si>
  <si>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</si>
  <si>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</si>
  <si>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</si>
  <si>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</si>
  <si>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</si>
  <si>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</si>
  <si>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</si>
  <si>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</si>
  <si>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</si>
  <si>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</si>
  <si>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</si>
  <si>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</si>
  <si>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</si>
  <si>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</si>
  <si>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</si>
  <si>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</si>
  <si>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</si>
  <si>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</si>
  <si>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</si>
  <si>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</si>
  <si>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</si>
  <si>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</si>
  <si>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</si>
  <si>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</si>
  <si>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</si>
  <si>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</si>
  <si>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</si>
  <si>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</si>
  <si>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</si>
  <si>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</si>
  <si>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</si>
  <si>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</si>
  <si>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</si>
  <si>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</si>
  <si>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</si>
  <si>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</si>
  <si>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</si>
  <si>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</si>
  <si>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</si>
  <si>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</si>
  <si>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</si>
  <si>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</si>
  <si>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</si>
  <si>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</si>
  <si>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</si>
  <si>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</si>
  <si>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</si>
  <si>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</si>
  <si>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</si>
  <si>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</si>
  <si>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</si>
  <si>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</si>
  <si>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</si>
  <si>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</si>
  <si>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</si>
  <si>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</si>
  <si>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</si>
  <si>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</si>
  <si>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</si>
  <si>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</si>
  <si>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</si>
  <si>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</si>
  <si>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</si>
  <si>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</si>
  <si>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</si>
  <si>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</si>
  <si>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</si>
  <si>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</si>
  <si>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</si>
  <si>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</si>
  <si>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</si>
  <si>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</si>
  <si>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</si>
  <si>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</si>
  <si>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</si>
  <si>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</si>
  <si>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</si>
  <si>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</si>
  <si>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</si>
  <si>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</si>
  <si>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</si>
  <si>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</si>
  <si>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</si>
  <si>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</si>
  <si>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</si>
  <si>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</si>
  <si>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</si>
  <si>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</si>
  <si>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</si>
  <si>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</si>
  <si>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</si>
  <si>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</si>
  <si>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</si>
  <si>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</si>
  <si>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</si>
  <si>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</si>
  <si>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</si>
  <si>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</si>
  <si>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</si>
  <si>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</si>
  <si>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</si>
  <si>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</si>
  <si>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</si>
  <si>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</si>
  <si>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</si>
  <si>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</si>
  <si>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</si>
  <si>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</si>
  <si>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</si>
  <si>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</si>
  <si>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</si>
  <si>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</si>
  <si>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</si>
  <si>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</si>
  <si>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</si>
  <si>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</si>
  <si>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</si>
  <si>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</si>
  <si>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</si>
  <si>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</si>
  <si>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</si>
  <si>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</si>
  <si>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</si>
  <si>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</si>
  <si>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</si>
  <si>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</si>
  <si>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</si>
  <si>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</si>
  <si>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</si>
  <si>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</si>
  <si>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</si>
  <si>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</si>
  <si>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</si>
  <si>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</si>
  <si>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</si>
  <si>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</si>
  <si>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</si>
  <si>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</si>
  <si>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</si>
  <si>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</si>
  <si>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</si>
  <si>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</si>
  <si>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</si>
  <si>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</si>
  <si>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</si>
  <si>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</si>
  <si>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</si>
  <si>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</si>
  <si>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</si>
  <si>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</si>
  <si>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</si>
  <si>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</si>
  <si>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</si>
  <si>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</si>
  <si>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</si>
  <si>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</si>
  <si>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</si>
  <si>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</si>
  <si>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</si>
  <si>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</si>
  <si>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</si>
  <si>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</si>
  <si>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</si>
  <si>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</si>
  <si>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</si>
  <si>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</si>
  <si>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</si>
  <si>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</si>
  <si>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</si>
  <si>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</si>
  <si>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</si>
  <si>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</si>
  <si>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</si>
  <si>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</si>
  <si>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</si>
  <si>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</si>
  <si>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</si>
  <si>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</si>
  <si>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</si>
  <si>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</si>
  <si>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</si>
  <si>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</si>
  <si>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</si>
  <si>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</si>
  <si>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</si>
  <si>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</si>
  <si>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</si>
  <si>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</si>
  <si>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</si>
  <si>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</si>
  <si>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</si>
  <si>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</si>
  <si>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</si>
  <si>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</si>
  <si>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</si>
  <si>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</si>
  <si>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</si>
  <si>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</si>
  <si>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</si>
  <si>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</si>
  <si>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</si>
  <si>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</si>
  <si>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</si>
  <si>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</si>
  <si>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</si>
  <si>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</si>
  <si>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</si>
  <si>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</si>
  <si>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</si>
  <si>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</si>
  <si>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</si>
  <si>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</si>
  <si>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</si>
  <si>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</si>
  <si>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</si>
  <si>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</si>
  <si>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</si>
  <si>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</si>
  <si>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</si>
  <si>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</si>
  <si>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</si>
  <si>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</si>
  <si>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</si>
  <si>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</si>
  <si>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</si>
  <si>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</si>
  <si>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</si>
  <si>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</si>
  <si>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</si>
  <si>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</si>
  <si>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</si>
  <si>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</si>
  <si>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</si>
  <si>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</si>
  <si>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</si>
  <si>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</si>
  <si>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</si>
  <si>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</si>
  <si>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</si>
  <si>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</si>
  <si>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</si>
  <si>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</si>
  <si>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</si>
  <si>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</si>
  <si>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</si>
  <si>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</si>
  <si>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</si>
  <si>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</si>
  <si>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</si>
  <si>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</si>
  <si>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</si>
  <si>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</si>
  <si>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</si>
  <si>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</si>
  <si>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</si>
  <si>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</si>
  <si>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</si>
  <si>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</si>
  <si>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</si>
  <si>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</si>
  <si>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</si>
  <si>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</si>
  <si>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</si>
  <si>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</si>
  <si>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</si>
  <si>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</si>
  <si>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</si>
  <si>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</si>
  <si>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</si>
  <si>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</si>
  <si>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</si>
  <si>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</si>
  <si>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</si>
  <si>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</si>
  <si>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</si>
  <si>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</si>
  <si>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</si>
  <si>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</si>
  <si>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</si>
  <si>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</si>
  <si>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</si>
  <si>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</si>
  <si>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</si>
  <si>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</si>
  <si>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</si>
  <si>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</si>
  <si>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</si>
  <si>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</si>
  <si>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</si>
  <si>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</si>
  <si>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</si>
  <si>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</si>
  <si>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</si>
  <si>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</si>
  <si>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</si>
  <si>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</si>
  <si>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</si>
  <si>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</si>
  <si>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</si>
  <si>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</si>
  <si>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</si>
  <si>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</si>
  <si>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</si>
  <si>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</si>
  <si>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</si>
  <si>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</si>
  <si>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</si>
  <si>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</si>
  <si>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</si>
  <si>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</si>
  <si>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</si>
  <si>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</si>
  <si>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</si>
  <si>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</si>
  <si>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</si>
  <si>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</si>
  <si>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</si>
  <si>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</si>
  <si>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</si>
  <si>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</si>
  <si>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</si>
  <si>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</si>
  <si>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</si>
  <si>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</si>
  <si>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</si>
  <si>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</si>
  <si>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</si>
  <si>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</si>
  <si>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</si>
  <si>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</si>
  <si>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</si>
  <si>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</si>
  <si>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</si>
  <si>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</si>
  <si>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</si>
  <si>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</si>
  <si>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</si>
  <si>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</si>
  <si>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</si>
  <si>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</si>
  <si>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</si>
  <si>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</si>
  <si>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</si>
  <si>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</si>
  <si>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</si>
  <si>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</si>
  <si>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</si>
  <si>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</si>
  <si>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</si>
  <si>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</si>
  <si>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</si>
  <si>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</si>
  <si>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</si>
  <si>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</si>
  <si>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</si>
  <si>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</si>
  <si>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</si>
  <si>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</si>
  <si>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</si>
  <si>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</si>
  <si>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</si>
  <si>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</si>
  <si>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</si>
  <si>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</si>
  <si>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</si>
  <si>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</si>
  <si>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</si>
  <si>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</si>
  <si>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</si>
  <si>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</si>
  <si>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</si>
  <si>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</si>
  <si>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</si>
  <si>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</si>
  <si>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</si>
  <si>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</si>
  <si>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</si>
  <si>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</si>
  <si>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</si>
  <si>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</si>
  <si>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</si>
  <si>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</si>
  <si>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</si>
  <si>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</si>
  <si>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</si>
  <si>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</si>
  <si>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</si>
  <si>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</si>
  <si>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</si>
  <si>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</si>
  <si>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</si>
  <si>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</si>
  <si>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</si>
  <si>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</si>
  <si>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</si>
  <si>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</si>
  <si>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</si>
  <si>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</si>
  <si>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</si>
  <si>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</si>
  <si>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</si>
  <si>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</si>
  <si>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</si>
  <si>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</si>
  <si>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</si>
  <si>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</si>
  <si>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</si>
  <si>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</si>
  <si>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</si>
  <si>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</si>
  <si>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</si>
  <si>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</si>
  <si>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</si>
  <si>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</si>
  <si>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</si>
  <si>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</si>
  <si>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</si>
  <si>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</si>
  <si>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</si>
  <si>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</si>
  <si>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</si>
  <si>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</si>
  <si>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</si>
  <si>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</si>
  <si>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</si>
  <si>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</si>
  <si>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</si>
  <si>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</si>
  <si>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</si>
  <si>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</si>
  <si>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</si>
  <si>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</si>
  <si>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</si>
  <si>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</si>
  <si>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</si>
  <si>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</si>
  <si>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</si>
  <si>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</si>
  <si>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</si>
  <si>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</si>
  <si>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</si>
  <si>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</si>
  <si>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</si>
  <si>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</si>
  <si>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</si>
  <si>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</si>
  <si>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</si>
  <si>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</si>
  <si>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</si>
  <si>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</si>
  <si>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</si>
  <si>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</si>
  <si>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</si>
  <si>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</si>
  <si>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</si>
  <si>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</si>
  <si>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</si>
  <si>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</si>
  <si>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</si>
  <si>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</si>
  <si>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</si>
  <si>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</si>
  <si>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</si>
  <si>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</si>
  <si>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</si>
  <si>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</si>
  <si>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</si>
  <si>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</si>
  <si>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</si>
  <si>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</si>
  <si>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</si>
  <si>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</si>
  <si>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</si>
  <si>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</si>
  <si>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</si>
  <si>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</si>
  <si>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</si>
  <si>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</si>
  <si>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</si>
  <si>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</si>
  <si>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</si>
  <si>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</si>
  <si>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</si>
  <si>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</si>
  <si>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</si>
  <si>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</si>
  <si>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</si>
  <si>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</si>
  <si>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</si>
  <si>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</si>
  <si>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</si>
  <si>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</si>
  <si>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</si>
  <si>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</si>
  <si>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</si>
  <si>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</si>
  <si>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</si>
  <si>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</si>
  <si>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</si>
  <si>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</si>
  <si>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</si>
  <si>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</si>
  <si>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</si>
  <si>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</si>
  <si>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</si>
  <si>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</si>
  <si>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</si>
  <si>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</si>
  <si>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</si>
  <si>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</si>
  <si>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</si>
  <si>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</si>
  <si>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</si>
  <si>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</si>
  <si>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</si>
  <si>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</si>
  <si>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</si>
  <si>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</si>
  <si>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</si>
  <si>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</si>
  <si>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</si>
  <si>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</si>
  <si>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</si>
  <si>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</si>
  <si>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</si>
  <si>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</si>
  <si>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</si>
  <si>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</si>
  <si>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</si>
  <si>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</si>
  <si>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</si>
  <si>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</si>
  <si>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</si>
  <si>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</si>
  <si>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</si>
  <si>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</si>
  <si>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</si>
  <si>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</si>
  <si>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</si>
  <si>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</si>
  <si>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</si>
  <si>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</si>
  <si>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</si>
  <si>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</si>
  <si>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</si>
  <si>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</si>
  <si>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</si>
  <si>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</si>
  <si>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</si>
  <si>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</si>
  <si>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</si>
  <si>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</si>
  <si>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</si>
  <si>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</si>
  <si>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</si>
  <si>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</si>
  <si>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</si>
  <si>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</si>
  <si>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</si>
  <si>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</si>
  <si>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</si>
  <si>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</si>
  <si>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</si>
  <si>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</si>
  <si>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</si>
  <si>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</si>
  <si>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</si>
  <si>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</si>
  <si>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</si>
  <si>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</si>
  <si>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</si>
  <si>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</si>
  <si>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</si>
  <si>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</si>
  <si>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</si>
  <si>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</si>
  <si>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</si>
  <si>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</si>
  <si>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</si>
  <si>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</si>
  <si>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</si>
  <si>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</si>
  <si>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</si>
  <si>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</si>
  <si>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</si>
  <si>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</si>
  <si>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</si>
  <si>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</si>
  <si>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</si>
  <si>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</si>
  <si>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</si>
  <si>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</si>
  <si>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</si>
  <si>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</si>
  <si>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</si>
  <si>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</si>
  <si>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</si>
  <si>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</si>
  <si>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</si>
  <si>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</si>
  <si>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</si>
  <si>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</si>
  <si>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</si>
  <si>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</si>
  <si>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</si>
  <si>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</si>
  <si>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</si>
  <si>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</si>
  <si>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</si>
  <si>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</si>
  <si>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</si>
  <si>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</si>
  <si>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</si>
  <si>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</si>
  <si>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</si>
  <si>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</si>
  <si>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</si>
  <si>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</si>
  <si>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</si>
  <si>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</si>
  <si>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</si>
  <si>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</si>
  <si>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</si>
  <si>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</si>
  <si>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</si>
  <si>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</si>
  <si>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</si>
  <si>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</si>
  <si>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</si>
  <si>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</si>
  <si>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</si>
  <si>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</si>
  <si>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</si>
  <si>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</si>
  <si>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</si>
  <si>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</si>
  <si>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</si>
  <si>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</si>
  <si>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</si>
  <si>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</si>
  <si>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</si>
  <si>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</si>
  <si>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</si>
  <si>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</si>
  <si>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</si>
  <si>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</si>
  <si>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</si>
  <si>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</si>
  <si>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</si>
  <si>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</si>
  <si>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</si>
  <si>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</si>
  <si>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</si>
  <si>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</si>
  <si>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</si>
  <si>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</si>
  <si>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</si>
  <si>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</si>
  <si>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</si>
  <si>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</si>
  <si>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</si>
  <si>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</si>
  <si>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</si>
  <si>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</si>
  <si>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</si>
  <si>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</si>
  <si>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</si>
  <si>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</si>
  <si>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</si>
  <si>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</si>
  <si>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</si>
  <si>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</si>
  <si>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</si>
  <si>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</si>
  <si>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</si>
  <si>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</si>
  <si>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</si>
  <si>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</si>
  <si>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</si>
  <si>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</si>
  <si>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</si>
  <si>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</si>
  <si>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</si>
  <si>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</si>
  <si>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</si>
  <si>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</si>
  <si>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</si>
  <si>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</si>
  <si>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</si>
  <si>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</si>
  <si>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</si>
  <si>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</si>
  <si>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</si>
  <si>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</si>
  <si>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</si>
  <si>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</si>
  <si>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</si>
  <si>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</si>
  <si>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</si>
  <si>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</si>
  <si>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Pending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</si>
  <si>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</si>
  <si>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</si>
  <si>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</si>
  <si>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</si>
  <si>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</si>
  <si>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</si>
  <si>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</si>
  <si>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</si>
  <si>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</si>
  <si>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</si>
  <si>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</si>
  <si>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</si>
  <si>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</si>
  <si>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</si>
  <si>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</si>
  <si>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</si>
  <si>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</si>
  <si>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</si>
  <si>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</si>
  <si>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</si>
  <si>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</si>
  <si>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</si>
  <si>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</si>
  <si>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</si>
  <si>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</si>
  <si>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</si>
  <si>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</si>
  <si>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</si>
  <si>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</si>
  <si>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</si>
  <si>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</si>
  <si>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</si>
  <si>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</si>
  <si>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</si>
  <si>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</si>
  <si>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</si>
  <si>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</si>
  <si>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</si>
  <si>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</si>
  <si>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</si>
  <si>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</si>
  <si>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</si>
  <si>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</si>
  <si>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</si>
  <si>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</si>
  <si>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</si>
  <si>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</si>
  <si>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</si>
  <si>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</si>
  <si>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</si>
  <si>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</si>
  <si>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</si>
  <si>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</si>
  <si>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</si>
  <si>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</si>
  <si>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</si>
  <si>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</si>
  <si>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</si>
  <si>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</si>
  <si>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</si>
  <si>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</si>
  <si>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</si>
  <si>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</si>
  <si>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</si>
  <si>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</si>
  <si>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</si>
  <si>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</si>
  <si>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</si>
  <si>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</si>
  <si>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</si>
  <si>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</si>
  <si>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</si>
  <si>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</si>
  <si>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</si>
  <si>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</si>
  <si>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</si>
  <si>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</si>
  <si>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</si>
  <si>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</si>
  <si>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</si>
  <si>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</si>
  <si>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</si>
  <si>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</si>
  <si>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</si>
  <si>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</si>
  <si>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</si>
  <si>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</si>
  <si>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</si>
  <si>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</si>
  <si>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</si>
  <si>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</si>
  <si>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</si>
  <si>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</si>
  <si>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</si>
  <si>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</si>
  <si>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</si>
  <si>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</si>
  <si>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</si>
  <si>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</si>
  <si>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</si>
  <si>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</si>
  <si>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</si>
  <si>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</si>
  <si>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</si>
  <si>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</si>
  <si>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</si>
  <si>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</si>
  <si>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</si>
  <si>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</si>
  <si>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</si>
  <si>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</si>
  <si>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</si>
  <si>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</si>
  <si>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</si>
  <si>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</si>
  <si>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</si>
  <si>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</si>
  <si>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</si>
  <si>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</si>
  <si>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</si>
  <si>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</si>
  <si>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</si>
  <si>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</si>
  <si>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</si>
  <si>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</si>
  <si>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</si>
  <si>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</si>
  <si>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</si>
  <si>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</si>
  <si>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</si>
  <si>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</si>
  <si>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</si>
  <si>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</si>
  <si>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</si>
  <si>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</si>
  <si>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</si>
  <si>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</si>
  <si>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</si>
  <si>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</si>
  <si>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</si>
  <si>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</si>
  <si>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</si>
  <si>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</si>
  <si>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</si>
  <si>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</si>
  <si>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</si>
  <si>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</si>
  <si>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</si>
  <si>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</si>
  <si>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</si>
  <si>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</si>
  <si>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</si>
  <si>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</si>
  <si>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</si>
  <si>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</si>
  <si>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</si>
  <si>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</si>
  <si>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</si>
  <si>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</si>
  <si>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</si>
  <si>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</si>
  <si>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</si>
  <si>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</si>
  <si>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</si>
  <si>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</si>
  <si>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</si>
  <si>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</si>
  <si>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</si>
  <si>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</si>
  <si>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</si>
  <si>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</si>
  <si>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</si>
  <si>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</si>
  <si>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</si>
  <si>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</si>
  <si>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</si>
  <si>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</si>
  <si>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</si>
  <si>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</si>
  <si>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</si>
  <si>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</si>
  <si>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</si>
  <si>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</si>
  <si>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</si>
  <si>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</si>
  <si>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</si>
  <si>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</si>
  <si>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</si>
  <si>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</si>
  <si>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</si>
  <si>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</si>
  <si>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</si>
  <si>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</si>
  <si>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</si>
  <si>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</si>
  <si>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</si>
  <si>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</si>
  <si>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</si>
  <si>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</si>
  <si>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</si>
  <si>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</si>
  <si>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</si>
  <si>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</si>
  <si>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</si>
  <si>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</si>
  <si>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</si>
  <si>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</si>
  <si>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</si>
  <si>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</si>
  <si>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</si>
  <si>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</si>
  <si>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</si>
  <si>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</si>
  <si>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</si>
  <si>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</si>
  <si>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</si>
  <si>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</si>
  <si>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</si>
  <si>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</si>
  <si>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</si>
  <si>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</si>
  <si>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</si>
  <si>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</si>
  <si>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</si>
  <si>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</si>
  <si>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</si>
  <si>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</si>
  <si>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</si>
  <si>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</si>
  <si>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</si>
  <si>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</si>
  <si>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</si>
  <si>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</si>
  <si>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</si>
  <si>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</si>
  <si>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</si>
  <si>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</si>
  <si>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</si>
  <si>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</si>
  <si>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</si>
  <si>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</si>
  <si>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</si>
  <si>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</si>
  <si>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</si>
  <si>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</si>
  <si>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</si>
  <si>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</si>
  <si>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</si>
  <si>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</si>
  <si>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</si>
  <si>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</si>
  <si>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</si>
  <si>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</si>
  <si>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</si>
  <si>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</si>
  <si>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</si>
  <si>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</si>
  <si>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</si>
  <si>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</si>
  <si>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</si>
  <si>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</si>
  <si>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</si>
  <si>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</si>
  <si>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</si>
  <si>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</si>
  <si>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</si>
  <si>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</si>
  <si>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</si>
  <si>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</si>
  <si>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</si>
  <si>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</si>
  <si>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</si>
  <si>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</si>
  <si>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</si>
  <si>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</si>
  <si>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</si>
  <si>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</si>
  <si>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</si>
  <si>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</si>
  <si>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</si>
  <si>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</si>
  <si>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</si>
  <si>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</si>
  <si>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</si>
  <si>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</si>
  <si>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</si>
  <si>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</si>
  <si>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</si>
  <si>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</si>
  <si>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</si>
  <si>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</si>
  <si>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</si>
  <si>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</si>
  <si>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</si>
  <si>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</si>
  <si>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</si>
  <si>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</si>
  <si>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</si>
  <si>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</si>
  <si>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</si>
  <si>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</si>
  <si>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</si>
  <si>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</si>
  <si>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</si>
  <si>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</si>
  <si>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</si>
  <si>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</si>
  <si>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</si>
  <si>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</si>
  <si>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</si>
  <si>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</si>
  <si>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</si>
  <si>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</si>
  <si>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</si>
  <si>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</si>
  <si>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</si>
  <si>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</si>
  <si>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</si>
  <si>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</si>
  <si>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</si>
  <si>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</si>
  <si>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</si>
  <si>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</si>
  <si>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</si>
  <si>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</si>
  <si>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</si>
  <si>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</si>
  <si>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</si>
  <si>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</si>
  <si>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</si>
  <si>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</si>
  <si>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</si>
  <si>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</si>
  <si>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</si>
  <si>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</si>
  <si>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</si>
  <si>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</si>
  <si>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</si>
  <si>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</si>
  <si>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</si>
  <si>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</si>
  <si>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</si>
  <si>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</si>
  <si>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</si>
  <si>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</si>
  <si>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</si>
  <si>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</si>
  <si>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</si>
  <si>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</si>
  <si>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</si>
  <si>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</si>
  <si>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</si>
  <si>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</si>
  <si>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</si>
  <si>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</si>
  <si>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</si>
  <si>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</si>
  <si>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</si>
  <si>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</si>
  <si>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</si>
  <si>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</si>
  <si>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</si>
  <si>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</si>
  <si>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</si>
  <si>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</si>
  <si>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</si>
  <si>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</si>
  <si>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</si>
  <si>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</si>
  <si>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</si>
  <si>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</si>
  <si>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</si>
  <si>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</si>
  <si>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</si>
  <si>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</si>
  <si>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</si>
  <si>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</si>
  <si>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อุปกรณ์กระจายสัญญาณเครือข่ายรองแบบที่ 2 (Distribute Switch Type 2)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</si>
  <si>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</si>
  <si>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</si>
  <si>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</si>
  <si>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</si>
  <si>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</si>
  <si>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</si>
  <si>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</si>
  <si>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</si>
  <si>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</si>
  <si>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</si>
  <si>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</si>
  <si>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</si>
  <si>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</si>
  <si>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</si>
  <si>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</si>
  <si>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</si>
  <si>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</si>
  <si>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</si>
  <si>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</si>
  <si>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</si>
  <si>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</si>
  <si>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</si>
  <si>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</si>
  <si>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</si>
  <si>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</si>
  <si>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</si>
  <si>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</si>
  <si>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</si>
  <si>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</si>
  <si>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</si>
  <si>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</si>
  <si>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</si>
  <si>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</si>
  <si>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</si>
  <si>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</si>
  <si>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</si>
  <si>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</si>
  <si>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</si>
  <si>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</si>
  <si>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</si>
  <si>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</si>
  <si>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</si>
  <si>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</si>
  <si>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</si>
  <si>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</si>
  <si>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</si>
  <si>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</si>
  <si>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</si>
  <si>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</si>
  <si>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</si>
  <si>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</si>
  <si>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</si>
  <si>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</si>
  <si>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</si>
  <si>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</si>
  <si>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</si>
  <si>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</si>
  <si>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</si>
  <si>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</si>
  <si>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</si>
  <si>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</si>
  <si>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</si>
  <si>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</si>
  <si>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</si>
  <si>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</si>
  <si>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</si>
  <si>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</si>
  <si>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</si>
  <si>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</si>
  <si>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</si>
  <si>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</si>
  <si>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</si>
  <si>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</si>
  <si>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</si>
  <si>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</si>
  <si>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</si>
  <si>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</si>
  <si>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</si>
  <si>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</si>
  <si>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</si>
  <si>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</si>
  <si>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</si>
  <si>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</si>
  <si>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</si>
  <si>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</si>
  <si>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</si>
  <si>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</si>
  <si>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</si>
  <si>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</si>
  <si>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</si>
  <si>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</si>
  <si>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</si>
  <si>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</si>
  <si>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</si>
  <si>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</si>
  <si>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</si>
  <si>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</si>
  <si>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</si>
  <si>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</si>
  <si>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</si>
  <si>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</si>
  <si>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</si>
  <si>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</si>
  <si>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</si>
  <si>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</si>
  <si>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</si>
  <si>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</si>
  <si>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</si>
  <si>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</si>
  <si>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</si>
  <si>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</si>
  <si>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</si>
  <si>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</si>
  <si>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</si>
  <si>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</si>
  <si>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</si>
  <si>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</si>
  <si>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</si>
  <si>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</si>
  <si>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</si>
  <si>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</si>
  <si>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</si>
  <si>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</si>
  <si>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</si>
  <si>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</si>
  <si>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</si>
  <si>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</si>
  <si>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</si>
  <si>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</si>
  <si>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</si>
  <si>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</si>
  <si>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</si>
  <si>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</si>
  <si>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</si>
  <si>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</si>
  <si>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</si>
  <si>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</si>
  <si>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</si>
  <si>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</si>
  <si>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</si>
  <si>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</si>
  <si>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</si>
  <si>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</si>
  <si>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</si>
  <si>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</si>
  <si>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</si>
  <si>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</si>
  <si>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</si>
  <si>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</si>
  <si>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</si>
  <si>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</si>
  <si>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</si>
  <si>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</si>
  <si>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</si>
  <si>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</si>
  <si>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</si>
  <si>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</si>
  <si>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</si>
  <si>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</si>
  <si>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</si>
  <si>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</si>
  <si>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</si>
  <si>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</si>
  <si>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</si>
  <si>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</si>
  <si>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</si>
  <si>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</si>
  <si>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</si>
  <si>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</si>
  <si>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</si>
  <si>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</si>
  <si>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</si>
  <si>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</si>
  <si>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</si>
  <si>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</si>
  <si>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</si>
  <si>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</si>
  <si>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</si>
  <si>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</si>
  <si>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</si>
  <si>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</si>
  <si>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</si>
  <si>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</si>
  <si>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</si>
  <si>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</si>
  <si>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</si>
  <si>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</si>
  <si>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</si>
  <si>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</si>
  <si>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</si>
  <si>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</si>
  <si>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</si>
  <si>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</si>
  <si>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</si>
  <si>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</si>
  <si>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</si>
  <si>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</si>
  <si>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</si>
  <si>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</si>
  <si>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</si>
  <si>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</si>
  <si>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</si>
  <si>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</si>
  <si>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</si>
  <si>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</si>
  <si>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</si>
  <si>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</si>
  <si>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</si>
  <si>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</si>
  <si>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</si>
  <si>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</si>
  <si>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</si>
  <si>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</si>
  <si>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</si>
  <si>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</si>
  <si>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</si>
  <si>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</si>
  <si>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</si>
  <si>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</si>
  <si>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</si>
  <si>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</si>
  <si>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</si>
  <si>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</si>
  <si>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</si>
  <si>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</si>
  <si>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</si>
  <si>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</si>
  <si>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</si>
  <si>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</si>
  <si>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</si>
  <si>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</si>
  <si>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</si>
  <si>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</si>
  <si>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</si>
  <si>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</si>
  <si>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</si>
  <si>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</si>
  <si>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</si>
  <si>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</si>
  <si>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</si>
  <si>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</si>
  <si>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</si>
  <si>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</si>
  <si>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</si>
  <si>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</si>
  <si>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</si>
  <si>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</si>
  <si>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</si>
  <si>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W.10
(6/4-12/4)</t>
  </si>
  <si>
    <t>W.11
(13/4-19/4)</t>
  </si>
  <si>
    <t>W.12
(20/4-26/4)</t>
  </si>
  <si>
    <t>W.13
(27/4-3/5)</t>
  </si>
  <si>
    <t>W.14
(4/5-10/5)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</si>
</sst>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</fonts>
  <fills count="8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069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8" fillId="0" borderId="2" xfId="0" applyFont="1" applyBorder="1" applyAlignment="1">
      <alignment horizontal="left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41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71" fontId="10" fillId="0" borderId="2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" fillId="0" borderId="6" xfId="8" applyBorder="1"/>
    <xf numFmtId="0" fontId="1" fillId="0" borderId="5" xfId="8" applyBorder="1"/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9" xfId="0" applyFont="1" applyFill="1" applyBorder="1" applyAlignment="1">
      <alignment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7" fillId="5" borderId="10" xfId="0" applyFont="1" applyFill="1" applyBorder="1" applyAlignment="1">
      <alignment horizontal="left" vertical="top" wrapText="1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25" fillId="9" borderId="3" xfId="0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center" vertical="center" wrapText="1"/>
    </xf>
    <xf numFmtId="170" fontId="25" fillId="0" borderId="4" xfId="0" applyNumberFormat="1" applyFont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FF8B8B"/>
      <color rgb="FFE4D2F2"/>
      <color rgb="FFEEE1F7"/>
      <color rgb="FFE8F3E1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4CC6499-875D-4A23-B98F-118F9E6A1A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33D826F-0B02-48DD-943C-CCC08293C02E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7044A4C-A13E-47DD-AA01-DA61FE872A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9ECC8F7-B36A-4629-8DF3-806AA34B7E02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9931C6D-A7B2-4E0A-BE46-4B92A50A36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D95EE0C-3A22-4BF6-8AA7-60BDB1CC3AEC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F888AD9-D11A-49BD-8789-E1594EEF13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8B585C3-A484-45AB-B1CE-D1FF8D5F343E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3FBCA98-2B12-4F5B-A667-4367173776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2117649-AD0E-42E1-AA50-4E6CB76BAA07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D46397-7D33-4989-820F-F5B1DD9A1E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1061E8-0720-4FAC-84C5-F15E7D259A2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0.81865284974093266</c:v>
                </c:pt>
                <c:pt idx="1">
                  <c:v>0.81865284974093266</c:v>
                </c:pt>
                <c:pt idx="2">
                  <c:v>0.79274611398963735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0.76047904191616766</c:v>
                </c:pt>
                <c:pt idx="1">
                  <c:v>0.76047904191616766</c:v>
                </c:pt>
                <c:pt idx="2">
                  <c:v>0.76047904191616766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DC11FEE-A2B1-473A-9E34-5623F59D9A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9981015-9CB2-40E2-9829-7A690A41DB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5D980A3-7860-47A6-8E98-72C2ECCC8B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35C4B54-02E0-4E09-AC00-88BC64B331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F0D4248-35EF-4FBA-9576-0748F8BAD7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CA02296-08AF-458E-92AB-57ECA889EB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22</c:v>
                </c:pt>
                <c:pt idx="1">
                  <c:v>32</c:v>
                </c:pt>
                <c:pt idx="2">
                  <c:v>41</c:v>
                </c:pt>
                <c:pt idx="3">
                  <c:v>93</c:v>
                </c:pt>
                <c:pt idx="4">
                  <c:v>107</c:v>
                </c:pt>
                <c:pt idx="5">
                  <c:v>125</c:v>
                </c:pt>
                <c:pt idx="6">
                  <c:v>136</c:v>
                </c:pt>
                <c:pt idx="7">
                  <c:v>147</c:v>
                </c:pt>
                <c:pt idx="8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22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0.18134715025906736</c:v>
                </c:pt>
                <c:pt idx="1">
                  <c:v>0.23316062176165803</c:v>
                </c:pt>
                <c:pt idx="2">
                  <c:v>0.27979274611398963</c:v>
                </c:pt>
                <c:pt idx="3">
                  <c:v>0.54922279792746109</c:v>
                </c:pt>
                <c:pt idx="4">
                  <c:v>0.62176165803108807</c:v>
                </c:pt>
                <c:pt idx="5">
                  <c:v>0.71502590673575128</c:v>
                </c:pt>
                <c:pt idx="6">
                  <c:v>0.772020725388601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0.11398963730569948</c:v>
                </c:pt>
                <c:pt idx="1">
                  <c:v>0.16580310880829016</c:v>
                </c:pt>
                <c:pt idx="2">
                  <c:v>0.21243523316062177</c:v>
                </c:pt>
                <c:pt idx="3">
                  <c:v>0.48186528497409326</c:v>
                </c:pt>
                <c:pt idx="4">
                  <c:v>0.55440414507772018</c:v>
                </c:pt>
                <c:pt idx="5">
                  <c:v>0.64766839378238339</c:v>
                </c:pt>
                <c:pt idx="6">
                  <c:v>0.70466321243523311</c:v>
                </c:pt>
                <c:pt idx="7">
                  <c:v>0.76165803108808294</c:v>
                </c:pt>
                <c:pt idx="8">
                  <c:v>0.76165803108808294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0.7857142857142857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0.7857142857142857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0.62857142857142856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0.7857142857142857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0.18134715025906736</c:v>
                </c:pt>
                <c:pt idx="1">
                  <c:v>0.18134715025906736</c:v>
                </c:pt>
                <c:pt idx="2">
                  <c:v>0.18134715025906736</c:v>
                </c:pt>
                <c:pt idx="3">
                  <c:v>0.18134715025906736</c:v>
                </c:pt>
                <c:pt idx="4">
                  <c:v>0.18134715025906736</c:v>
                </c:pt>
                <c:pt idx="5">
                  <c:v>0.18134715025906736</c:v>
                </c:pt>
                <c:pt idx="6">
                  <c:v>0.18134715025906736</c:v>
                </c:pt>
                <c:pt idx="7">
                  <c:v>0.18134715025906736</c:v>
                </c:pt>
                <c:pt idx="8">
                  <c:v>0.23316062176165803</c:v>
                </c:pt>
                <c:pt idx="9">
                  <c:v>0.23316062176165803</c:v>
                </c:pt>
                <c:pt idx="10">
                  <c:v>0.23316062176165803</c:v>
                </c:pt>
                <c:pt idx="11">
                  <c:v>0.23316062176165803</c:v>
                </c:pt>
                <c:pt idx="12">
                  <c:v>0.23316062176165803</c:v>
                </c:pt>
                <c:pt idx="13">
                  <c:v>0.23316062176165803</c:v>
                </c:pt>
                <c:pt idx="14">
                  <c:v>0.23316062176165803</c:v>
                </c:pt>
                <c:pt idx="15">
                  <c:v>0.25906735751295334</c:v>
                </c:pt>
                <c:pt idx="16">
                  <c:v>0.25906735751295334</c:v>
                </c:pt>
                <c:pt idx="17">
                  <c:v>0.27979274611398963</c:v>
                </c:pt>
                <c:pt idx="18">
                  <c:v>0.27979274611398963</c:v>
                </c:pt>
                <c:pt idx="19">
                  <c:v>0.27979274611398963</c:v>
                </c:pt>
                <c:pt idx="20">
                  <c:v>0.35751295336787564</c:v>
                </c:pt>
                <c:pt idx="21">
                  <c:v>0.35751295336787564</c:v>
                </c:pt>
                <c:pt idx="22">
                  <c:v>0.46113989637305697</c:v>
                </c:pt>
                <c:pt idx="23">
                  <c:v>0.46113989637305697</c:v>
                </c:pt>
                <c:pt idx="24">
                  <c:v>0.54922279792746109</c:v>
                </c:pt>
                <c:pt idx="25">
                  <c:v>0.54922279792746109</c:v>
                </c:pt>
                <c:pt idx="26">
                  <c:v>0.54922279792746109</c:v>
                </c:pt>
                <c:pt idx="27">
                  <c:v>0.62176165803108807</c:v>
                </c:pt>
                <c:pt idx="28">
                  <c:v>0.62176165803108807</c:v>
                </c:pt>
                <c:pt idx="29">
                  <c:v>0.62176165803108807</c:v>
                </c:pt>
                <c:pt idx="30">
                  <c:v>0.62176165803108807</c:v>
                </c:pt>
                <c:pt idx="31">
                  <c:v>0.62176165803108807</c:v>
                </c:pt>
                <c:pt idx="32">
                  <c:v>0.62176165803108807</c:v>
                </c:pt>
                <c:pt idx="33">
                  <c:v>0.62176165803108807</c:v>
                </c:pt>
                <c:pt idx="34">
                  <c:v>0.67357512953367871</c:v>
                </c:pt>
                <c:pt idx="35">
                  <c:v>0.67357512953367871</c:v>
                </c:pt>
                <c:pt idx="36">
                  <c:v>0.71502590673575128</c:v>
                </c:pt>
                <c:pt idx="37">
                  <c:v>0.71502590673575128</c:v>
                </c:pt>
                <c:pt idx="38">
                  <c:v>0.71502590673575128</c:v>
                </c:pt>
                <c:pt idx="39">
                  <c:v>0.71502590673575128</c:v>
                </c:pt>
                <c:pt idx="40">
                  <c:v>0.71502590673575128</c:v>
                </c:pt>
                <c:pt idx="41">
                  <c:v>0.772020725388601</c:v>
                </c:pt>
                <c:pt idx="42">
                  <c:v>0.772020725388601</c:v>
                </c:pt>
                <c:pt idx="43">
                  <c:v>0.772020725388601</c:v>
                </c:pt>
                <c:pt idx="44">
                  <c:v>0.772020725388601</c:v>
                </c:pt>
                <c:pt idx="45">
                  <c:v>0.772020725388601</c:v>
                </c:pt>
                <c:pt idx="46">
                  <c:v>0.772020725388601</c:v>
                </c:pt>
                <c:pt idx="47">
                  <c:v>0.772020725388601</c:v>
                </c:pt>
                <c:pt idx="48">
                  <c:v>0.772020725388601</c:v>
                </c:pt>
                <c:pt idx="49">
                  <c:v>0.80829015544041449</c:v>
                </c:pt>
                <c:pt idx="50">
                  <c:v>0.81865284974093266</c:v>
                </c:pt>
                <c:pt idx="51">
                  <c:v>0.81865284974093266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0.11398963730569948</c:v>
                </c:pt>
                <c:pt idx="1">
                  <c:v>0.11398963730569948</c:v>
                </c:pt>
                <c:pt idx="2">
                  <c:v>0.11398963730569948</c:v>
                </c:pt>
                <c:pt idx="3">
                  <c:v>0.11398963730569948</c:v>
                </c:pt>
                <c:pt idx="4">
                  <c:v>0.11398963730569948</c:v>
                </c:pt>
                <c:pt idx="5">
                  <c:v>0.11398963730569948</c:v>
                </c:pt>
                <c:pt idx="6">
                  <c:v>0.11398963730569948</c:v>
                </c:pt>
                <c:pt idx="7">
                  <c:v>0.11398963730569948</c:v>
                </c:pt>
                <c:pt idx="8">
                  <c:v>0.16580310880829016</c:v>
                </c:pt>
                <c:pt idx="9">
                  <c:v>0.16580310880829016</c:v>
                </c:pt>
                <c:pt idx="10">
                  <c:v>0.16580310880829016</c:v>
                </c:pt>
                <c:pt idx="11">
                  <c:v>0.16580310880829016</c:v>
                </c:pt>
                <c:pt idx="12">
                  <c:v>0.16580310880829016</c:v>
                </c:pt>
                <c:pt idx="13">
                  <c:v>0.16580310880829016</c:v>
                </c:pt>
                <c:pt idx="14">
                  <c:v>0.16580310880829016</c:v>
                </c:pt>
                <c:pt idx="15">
                  <c:v>0.19170984455958548</c:v>
                </c:pt>
                <c:pt idx="16">
                  <c:v>0.19170984455958548</c:v>
                </c:pt>
                <c:pt idx="17">
                  <c:v>0.21243523316062177</c:v>
                </c:pt>
                <c:pt idx="18">
                  <c:v>0.21243523316062177</c:v>
                </c:pt>
                <c:pt idx="19">
                  <c:v>0.21243523316062177</c:v>
                </c:pt>
                <c:pt idx="20">
                  <c:v>0.29015544041450775</c:v>
                </c:pt>
                <c:pt idx="21">
                  <c:v>0.29015544041450775</c:v>
                </c:pt>
                <c:pt idx="22">
                  <c:v>0.39378238341968913</c:v>
                </c:pt>
                <c:pt idx="23">
                  <c:v>0.39378238341968913</c:v>
                </c:pt>
                <c:pt idx="24">
                  <c:v>0.48186528497409326</c:v>
                </c:pt>
                <c:pt idx="25">
                  <c:v>0.48186528497409326</c:v>
                </c:pt>
                <c:pt idx="26">
                  <c:v>0.48186528497409326</c:v>
                </c:pt>
                <c:pt idx="27">
                  <c:v>0.55440414507772018</c:v>
                </c:pt>
                <c:pt idx="28">
                  <c:v>0.55440414507772018</c:v>
                </c:pt>
                <c:pt idx="29">
                  <c:v>0.55440414507772018</c:v>
                </c:pt>
                <c:pt idx="30">
                  <c:v>0.55440414507772018</c:v>
                </c:pt>
                <c:pt idx="31">
                  <c:v>0.55440414507772018</c:v>
                </c:pt>
                <c:pt idx="32">
                  <c:v>0.55440414507772018</c:v>
                </c:pt>
                <c:pt idx="33">
                  <c:v>0.55440414507772018</c:v>
                </c:pt>
                <c:pt idx="34">
                  <c:v>0.60621761658031093</c:v>
                </c:pt>
                <c:pt idx="35">
                  <c:v>0.60621761658031093</c:v>
                </c:pt>
                <c:pt idx="36">
                  <c:v>0.64766839378238339</c:v>
                </c:pt>
                <c:pt idx="37">
                  <c:v>0.64766839378238339</c:v>
                </c:pt>
                <c:pt idx="38">
                  <c:v>0.64766839378238339</c:v>
                </c:pt>
                <c:pt idx="39">
                  <c:v>0.64766839378238339</c:v>
                </c:pt>
                <c:pt idx="40">
                  <c:v>0.64766839378238339</c:v>
                </c:pt>
                <c:pt idx="41">
                  <c:v>0.70466321243523311</c:v>
                </c:pt>
                <c:pt idx="42">
                  <c:v>0.70466321243523311</c:v>
                </c:pt>
                <c:pt idx="43">
                  <c:v>0.70466321243523311</c:v>
                </c:pt>
                <c:pt idx="44">
                  <c:v>0.70466321243523311</c:v>
                </c:pt>
                <c:pt idx="45">
                  <c:v>0.70466321243523311</c:v>
                </c:pt>
                <c:pt idx="46">
                  <c:v>0.70466321243523311</c:v>
                </c:pt>
                <c:pt idx="47">
                  <c:v>0.70466321243523311</c:v>
                </c:pt>
                <c:pt idx="48">
                  <c:v>0.70466321243523311</c:v>
                </c:pt>
                <c:pt idx="49">
                  <c:v>0.7409326424870466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F3-4CBD-BBB9-CEF1E9FEFC7C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B6-44D2-B139-46F826AD543D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AD0-4CFE-9CBC-C8FCEC832C3B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0.81865284974093266</v>
      </c>
      <c r="D23" s="62"/>
      <c r="E23" s="55"/>
    </row>
    <row r="24" spans="1:5">
      <c r="A24" s="59"/>
      <c r="B24" s="60" t="s">
        <v>13</v>
      </c>
      <c r="C24" s="61">
        <f>HQ!O90</f>
        <v>0.81865284974093266</v>
      </c>
      <c r="D24" s="62"/>
      <c r="E24" s="55"/>
    </row>
    <row r="25" spans="1:5">
      <c r="A25" s="59"/>
      <c r="B25" s="60" t="s">
        <v>14</v>
      </c>
      <c r="C25" s="61">
        <f>HQ!P90</f>
        <v>0.79274611398963735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0.76047904191616766</v>
      </c>
      <c r="D23" s="62"/>
      <c r="E23" s="55"/>
    </row>
    <row r="24" spans="1:5">
      <c r="A24" s="59"/>
      <c r="B24" s="60" t="s">
        <v>13</v>
      </c>
      <c r="C24" s="61">
        <f>'HQ-WL'!P119</f>
        <v>0.76047904191616766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0.76047904191616766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topLeftCell="H1" zoomScale="70" zoomScaleNormal="70" workbookViewId="0">
      <pane ySplit="2" topLeftCell="A3" activePane="bottomLeft" state="frozen"/>
      <selection pane="bottomLeft" activeCell="P89" sqref="P3:P89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8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2" customWidth="1"/>
    <col min="22" max="16384" width="120.6640625" style="194"/>
  </cols>
  <sheetData>
    <row r="1" spans="1:21" ht="42">
      <c r="A1" s="844" t="s">
        <v>15</v>
      </c>
      <c r="B1" s="843" t="s">
        <v>16</v>
      </c>
      <c r="C1" s="844" t="s">
        <v>17</v>
      </c>
      <c r="D1" s="844" t="s">
        <v>18</v>
      </c>
      <c r="E1" s="844" t="s">
        <v>19</v>
      </c>
      <c r="F1" s="823" t="s">
        <v>20</v>
      </c>
      <c r="G1" s="823" t="s">
        <v>21</v>
      </c>
      <c r="H1" s="825" t="s">
        <v>22</v>
      </c>
      <c r="I1" s="825"/>
      <c r="J1" s="906" t="s">
        <v>23</v>
      </c>
      <c r="K1" s="906" t="s">
        <v>24</v>
      </c>
      <c r="L1" s="906" t="s">
        <v>3</v>
      </c>
      <c r="M1" s="917" t="s">
        <v>25</v>
      </c>
      <c r="N1" s="902" t="s">
        <v>26</v>
      </c>
      <c r="O1" s="904" t="s">
        <v>27</v>
      </c>
      <c r="P1" s="904" t="s">
        <v>28</v>
      </c>
      <c r="Q1" s="898" t="s">
        <v>29</v>
      </c>
      <c r="R1" s="900" t="s">
        <v>30</v>
      </c>
      <c r="S1" s="771" t="s">
        <v>31</v>
      </c>
      <c r="T1" s="540" t="s">
        <v>32</v>
      </c>
      <c r="U1" s="541" t="s">
        <v>33</v>
      </c>
    </row>
    <row r="2" spans="1:21" ht="21">
      <c r="A2" s="844"/>
      <c r="B2" s="843"/>
      <c r="C2" s="844"/>
      <c r="D2" s="844"/>
      <c r="E2" s="844"/>
      <c r="F2" s="824"/>
      <c r="G2" s="824"/>
      <c r="H2" s="731" t="s">
        <v>34</v>
      </c>
      <c r="I2" s="731" t="s">
        <v>35</v>
      </c>
      <c r="J2" s="907"/>
      <c r="K2" s="907"/>
      <c r="L2" s="907"/>
      <c r="M2" s="844"/>
      <c r="N2" s="903"/>
      <c r="O2" s="905"/>
      <c r="P2" s="905"/>
      <c r="Q2" s="899"/>
      <c r="R2" s="901"/>
      <c r="S2" s="772"/>
      <c r="T2" s="511"/>
      <c r="U2" s="511"/>
    </row>
    <row r="3" spans="1:21" ht="21">
      <c r="A3" s="819" t="s">
        <v>36</v>
      </c>
      <c r="B3" s="791" t="s">
        <v>37</v>
      </c>
      <c r="C3" s="837">
        <v>1</v>
      </c>
      <c r="D3" s="363" t="s">
        <v>38</v>
      </c>
      <c r="E3" s="457" t="s">
        <v>39</v>
      </c>
      <c r="F3" s="458">
        <v>4</v>
      </c>
      <c r="G3" s="459">
        <v>0</v>
      </c>
      <c r="H3" s="846" t="s">
        <v>40</v>
      </c>
      <c r="I3" s="846" t="s">
        <v>40</v>
      </c>
      <c r="J3" s="913"/>
      <c r="K3" s="912" t="s">
        <v>40</v>
      </c>
      <c r="L3" s="846" t="s">
        <v>40</v>
      </c>
      <c r="M3" s="813" t="s">
        <v>41</v>
      </c>
      <c r="N3" s="460">
        <v>0</v>
      </c>
      <c r="O3" s="460">
        <v>0</v>
      </c>
      <c r="P3" s="460">
        <v>0</v>
      </c>
      <c r="Q3" s="461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10"/>
      <c r="U3" s="510"/>
    </row>
    <row r="4" spans="1:21" ht="21">
      <c r="A4" s="820"/>
      <c r="B4" s="792"/>
      <c r="C4" s="838"/>
      <c r="D4" s="364" t="s">
        <v>42</v>
      </c>
      <c r="E4" s="735" t="s">
        <v>43</v>
      </c>
      <c r="F4" s="462">
        <v>1</v>
      </c>
      <c r="G4" s="459">
        <v>0</v>
      </c>
      <c r="H4" s="847"/>
      <c r="I4" s="847"/>
      <c r="J4" s="914"/>
      <c r="K4" s="910"/>
      <c r="L4" s="847"/>
      <c r="M4" s="814"/>
      <c r="N4" s="460">
        <v>0</v>
      </c>
      <c r="O4" s="460">
        <v>0</v>
      </c>
      <c r="P4" s="460">
        <v>0</v>
      </c>
      <c r="Q4" s="461">
        <f t="shared" si="0"/>
        <v>1</v>
      </c>
      <c r="R4" s="463"/>
      <c r="S4" s="201" t="str">
        <f t="shared" si="1"/>
        <v>Switch</v>
      </c>
      <c r="T4" s="509"/>
      <c r="U4" s="509"/>
    </row>
    <row r="5" spans="1:21" ht="21" customHeight="1">
      <c r="A5" s="820"/>
      <c r="B5" s="791" t="s">
        <v>44</v>
      </c>
      <c r="C5" s="837">
        <v>2</v>
      </c>
      <c r="D5" s="352" t="s">
        <v>45</v>
      </c>
      <c r="E5" s="464" t="s">
        <v>46</v>
      </c>
      <c r="F5" s="465">
        <v>1</v>
      </c>
      <c r="G5" s="466">
        <v>1</v>
      </c>
      <c r="H5" s="852">
        <v>46056</v>
      </c>
      <c r="I5" s="852">
        <v>46094</v>
      </c>
      <c r="J5" s="852">
        <v>46056</v>
      </c>
      <c r="K5" s="908"/>
      <c r="L5" s="908" t="s">
        <v>47</v>
      </c>
      <c r="M5" s="813"/>
      <c r="N5" s="467">
        <v>1</v>
      </c>
      <c r="O5" s="467">
        <v>1</v>
      </c>
      <c r="P5" s="467">
        <v>0</v>
      </c>
      <c r="Q5" s="461">
        <f>IF($G5=0,1,(N5+O5+P5)/($G5*3))</f>
        <v>0.66666666666666663</v>
      </c>
      <c r="R5" s="468"/>
      <c r="S5" s="201" t="str">
        <f t="shared" si="1"/>
        <v>Infra</v>
      </c>
      <c r="T5" s="508">
        <f t="shared" ref="T5:T15" si="2">$H$5</f>
        <v>46056</v>
      </c>
      <c r="U5" s="508">
        <f>$J$5</f>
        <v>46056</v>
      </c>
    </row>
    <row r="6" spans="1:21" ht="21" customHeight="1">
      <c r="A6" s="820"/>
      <c r="B6" s="848"/>
      <c r="C6" s="850"/>
      <c r="D6" s="352" t="s">
        <v>48</v>
      </c>
      <c r="E6" s="464" t="s">
        <v>49</v>
      </c>
      <c r="F6" s="469">
        <v>2</v>
      </c>
      <c r="G6" s="470">
        <v>2</v>
      </c>
      <c r="H6" s="853"/>
      <c r="I6" s="853"/>
      <c r="J6" s="853"/>
      <c r="K6" s="909"/>
      <c r="L6" s="909"/>
      <c r="M6" s="855"/>
      <c r="N6" s="467">
        <v>2</v>
      </c>
      <c r="O6" s="467">
        <v>2</v>
      </c>
      <c r="P6" s="467">
        <v>2</v>
      </c>
      <c r="Q6" s="461">
        <f t="shared" ref="Q6:Q70" si="3">IF($G6=0,1,(N6+O6+P6)/($G6*3))</f>
        <v>1</v>
      </c>
      <c r="R6" s="468"/>
      <c r="S6" s="201" t="str">
        <f t="shared" si="1"/>
        <v>Switch</v>
      </c>
      <c r="T6" s="508">
        <f t="shared" si="2"/>
        <v>46056</v>
      </c>
      <c r="U6" s="508">
        <f t="shared" ref="U6:U16" si="4">$J$5</f>
        <v>46056</v>
      </c>
    </row>
    <row r="7" spans="1:21" ht="21" customHeight="1">
      <c r="A7" s="820"/>
      <c r="B7" s="848"/>
      <c r="C7" s="850"/>
      <c r="D7" s="365" t="s">
        <v>38</v>
      </c>
      <c r="E7" s="464" t="s">
        <v>39</v>
      </c>
      <c r="F7" s="471">
        <v>7</v>
      </c>
      <c r="G7" s="472">
        <v>7</v>
      </c>
      <c r="H7" s="853"/>
      <c r="I7" s="853"/>
      <c r="J7" s="853"/>
      <c r="K7" s="909"/>
      <c r="L7" s="909"/>
      <c r="M7" s="855"/>
      <c r="N7" s="467">
        <v>0</v>
      </c>
      <c r="O7" s="467">
        <v>0</v>
      </c>
      <c r="P7" s="467">
        <v>0</v>
      </c>
      <c r="Q7" s="461">
        <f t="shared" si="3"/>
        <v>0</v>
      </c>
      <c r="R7" s="468"/>
      <c r="S7" s="201" t="str">
        <f t="shared" si="1"/>
        <v>Switch</v>
      </c>
      <c r="T7" s="508">
        <f t="shared" si="2"/>
        <v>46056</v>
      </c>
      <c r="U7" s="508">
        <f t="shared" si="4"/>
        <v>46056</v>
      </c>
    </row>
    <row r="8" spans="1:21" ht="21" customHeight="1">
      <c r="A8" s="820"/>
      <c r="B8" s="849"/>
      <c r="C8" s="851"/>
      <c r="D8" s="736" t="s">
        <v>42</v>
      </c>
      <c r="E8" s="464" t="s">
        <v>43</v>
      </c>
      <c r="F8" s="353">
        <v>1</v>
      </c>
      <c r="G8" s="353">
        <v>1</v>
      </c>
      <c r="H8" s="853"/>
      <c r="I8" s="853"/>
      <c r="J8" s="853"/>
      <c r="K8" s="909"/>
      <c r="L8" s="909"/>
      <c r="M8" s="855"/>
      <c r="N8" s="467">
        <v>0</v>
      </c>
      <c r="O8" s="467">
        <v>0</v>
      </c>
      <c r="P8" s="467">
        <v>0</v>
      </c>
      <c r="Q8" s="461">
        <f t="shared" si="3"/>
        <v>0</v>
      </c>
      <c r="R8" s="468"/>
      <c r="S8" s="201" t="str">
        <f t="shared" si="1"/>
        <v>Switch</v>
      </c>
      <c r="T8" s="508">
        <f t="shared" si="2"/>
        <v>46056</v>
      </c>
      <c r="U8" s="508">
        <f t="shared" si="4"/>
        <v>46056</v>
      </c>
    </row>
    <row r="9" spans="1:21" ht="21" customHeight="1">
      <c r="A9" s="820"/>
      <c r="B9" s="848"/>
      <c r="C9" s="850"/>
      <c r="D9" s="366" t="s">
        <v>50</v>
      </c>
      <c r="E9" s="464" t="s">
        <v>51</v>
      </c>
      <c r="F9" s="473">
        <v>4</v>
      </c>
      <c r="G9" s="474">
        <v>4</v>
      </c>
      <c r="H9" s="853"/>
      <c r="I9" s="853"/>
      <c r="J9" s="853"/>
      <c r="K9" s="909"/>
      <c r="L9" s="909"/>
      <c r="M9" s="855"/>
      <c r="N9" s="467">
        <v>4</v>
      </c>
      <c r="O9" s="467">
        <v>4</v>
      </c>
      <c r="P9" s="467">
        <v>4</v>
      </c>
      <c r="Q9" s="461">
        <f t="shared" si="3"/>
        <v>1</v>
      </c>
      <c r="R9" s="468"/>
      <c r="S9" s="201" t="str">
        <f t="shared" si="1"/>
        <v>Switch</v>
      </c>
      <c r="T9" s="508">
        <f t="shared" si="2"/>
        <v>46056</v>
      </c>
      <c r="U9" s="508">
        <f t="shared" si="4"/>
        <v>46056</v>
      </c>
    </row>
    <row r="10" spans="1:21" ht="21" customHeight="1">
      <c r="A10" s="820"/>
      <c r="B10" s="848"/>
      <c r="C10" s="850"/>
      <c r="D10" s="352" t="s">
        <v>52</v>
      </c>
      <c r="E10" s="464" t="s">
        <v>53</v>
      </c>
      <c r="F10" s="465">
        <v>2</v>
      </c>
      <c r="G10" s="466">
        <v>2</v>
      </c>
      <c r="H10" s="853"/>
      <c r="I10" s="853"/>
      <c r="J10" s="853"/>
      <c r="K10" s="909"/>
      <c r="L10" s="909"/>
      <c r="M10" s="855"/>
      <c r="N10" s="467">
        <v>2</v>
      </c>
      <c r="O10" s="467">
        <v>2</v>
      </c>
      <c r="P10" s="467">
        <v>2</v>
      </c>
      <c r="Q10" s="461">
        <f t="shared" si="3"/>
        <v>1</v>
      </c>
      <c r="R10" s="468"/>
      <c r="S10" s="201" t="str">
        <f t="shared" si="1"/>
        <v>Infra</v>
      </c>
      <c r="T10" s="508">
        <f t="shared" si="2"/>
        <v>46056</v>
      </c>
      <c r="U10" s="508">
        <f t="shared" si="4"/>
        <v>46056</v>
      </c>
    </row>
    <row r="11" spans="1:21" ht="21" customHeight="1">
      <c r="A11" s="820"/>
      <c r="B11" s="848"/>
      <c r="C11" s="850"/>
      <c r="D11" s="352" t="s">
        <v>54</v>
      </c>
      <c r="E11" s="464" t="s">
        <v>55</v>
      </c>
      <c r="F11" s="465">
        <v>3</v>
      </c>
      <c r="G11" s="466">
        <v>3</v>
      </c>
      <c r="H11" s="853"/>
      <c r="I11" s="853"/>
      <c r="J11" s="853"/>
      <c r="K11" s="909"/>
      <c r="L11" s="909"/>
      <c r="M11" s="855"/>
      <c r="N11" s="467">
        <v>3</v>
      </c>
      <c r="O11" s="467">
        <v>3</v>
      </c>
      <c r="P11" s="467">
        <v>3</v>
      </c>
      <c r="Q11" s="461">
        <f t="shared" si="3"/>
        <v>1</v>
      </c>
      <c r="R11" s="468"/>
      <c r="S11" s="201" t="str">
        <f t="shared" si="1"/>
        <v>Infra</v>
      </c>
      <c r="T11" s="508">
        <f t="shared" si="2"/>
        <v>46056</v>
      </c>
      <c r="U11" s="508">
        <f t="shared" si="4"/>
        <v>46056</v>
      </c>
    </row>
    <row r="12" spans="1:21" ht="21" customHeight="1">
      <c r="A12" s="820"/>
      <c r="B12" s="848"/>
      <c r="C12" s="850"/>
      <c r="D12" s="352" t="s">
        <v>56</v>
      </c>
      <c r="E12" s="464" t="s">
        <v>57</v>
      </c>
      <c r="F12" s="465">
        <v>2</v>
      </c>
      <c r="G12" s="466">
        <v>2</v>
      </c>
      <c r="H12" s="853"/>
      <c r="I12" s="853"/>
      <c r="J12" s="853"/>
      <c r="K12" s="909"/>
      <c r="L12" s="909"/>
      <c r="M12" s="855"/>
      <c r="N12" s="467">
        <v>2</v>
      </c>
      <c r="O12" s="467">
        <v>2</v>
      </c>
      <c r="P12" s="467">
        <v>0</v>
      </c>
      <c r="Q12" s="461">
        <f t="shared" si="3"/>
        <v>0.66666666666666663</v>
      </c>
      <c r="R12" s="492"/>
      <c r="S12" s="201" t="str">
        <f t="shared" si="1"/>
        <v>Infra</v>
      </c>
      <c r="T12" s="508">
        <f t="shared" si="2"/>
        <v>46056</v>
      </c>
      <c r="U12" s="508">
        <f t="shared" si="4"/>
        <v>46056</v>
      </c>
    </row>
    <row r="13" spans="1:21" ht="21" customHeight="1">
      <c r="A13" s="820"/>
      <c r="B13" s="848"/>
      <c r="C13" s="850"/>
      <c r="D13" s="352" t="s">
        <v>58</v>
      </c>
      <c r="E13" s="464" t="s">
        <v>59</v>
      </c>
      <c r="F13" s="465">
        <v>2</v>
      </c>
      <c r="G13" s="466">
        <v>2</v>
      </c>
      <c r="H13" s="853"/>
      <c r="I13" s="853"/>
      <c r="J13" s="853"/>
      <c r="K13" s="909"/>
      <c r="L13" s="909"/>
      <c r="M13" s="855"/>
      <c r="N13" s="467">
        <v>2</v>
      </c>
      <c r="O13" s="467">
        <v>2</v>
      </c>
      <c r="P13" s="467">
        <v>0</v>
      </c>
      <c r="Q13" s="461">
        <f t="shared" si="3"/>
        <v>0.66666666666666663</v>
      </c>
      <c r="R13" s="468"/>
      <c r="S13" s="201" t="str">
        <f t="shared" si="1"/>
        <v>Infra</v>
      </c>
      <c r="T13" s="508">
        <f t="shared" si="2"/>
        <v>46056</v>
      </c>
      <c r="U13" s="508">
        <f t="shared" si="4"/>
        <v>46056</v>
      </c>
    </row>
    <row r="14" spans="1:21" ht="21" customHeight="1">
      <c r="A14" s="820"/>
      <c r="B14" s="848"/>
      <c r="C14" s="850"/>
      <c r="D14" s="352" t="s">
        <v>60</v>
      </c>
      <c r="E14" s="464" t="s">
        <v>61</v>
      </c>
      <c r="F14" s="465">
        <v>1</v>
      </c>
      <c r="G14" s="466">
        <v>1</v>
      </c>
      <c r="H14" s="853"/>
      <c r="I14" s="853"/>
      <c r="J14" s="853"/>
      <c r="K14" s="909"/>
      <c r="L14" s="909"/>
      <c r="M14" s="855"/>
      <c r="N14" s="467">
        <v>1</v>
      </c>
      <c r="O14" s="467">
        <v>1</v>
      </c>
      <c r="P14" s="467">
        <v>1</v>
      </c>
      <c r="Q14" s="461">
        <f t="shared" si="3"/>
        <v>1</v>
      </c>
      <c r="R14" s="468"/>
      <c r="S14" s="201" t="str">
        <f t="shared" si="1"/>
        <v>Infra</v>
      </c>
      <c r="T14" s="508">
        <f t="shared" si="2"/>
        <v>46056</v>
      </c>
      <c r="U14" s="508">
        <f t="shared" si="4"/>
        <v>46056</v>
      </c>
    </row>
    <row r="15" spans="1:21" ht="21" customHeight="1">
      <c r="A15" s="820"/>
      <c r="B15" s="848"/>
      <c r="C15" s="850"/>
      <c r="D15" s="352" t="s">
        <v>62</v>
      </c>
      <c r="E15" s="464" t="s">
        <v>63</v>
      </c>
      <c r="F15" s="465">
        <v>2</v>
      </c>
      <c r="G15" s="466">
        <v>2</v>
      </c>
      <c r="H15" s="853"/>
      <c r="I15" s="853"/>
      <c r="J15" s="853"/>
      <c r="K15" s="909"/>
      <c r="L15" s="909"/>
      <c r="M15" s="855"/>
      <c r="N15" s="467">
        <v>2</v>
      </c>
      <c r="O15" s="467">
        <v>2</v>
      </c>
      <c r="P15" s="467">
        <v>2</v>
      </c>
      <c r="Q15" s="461">
        <f t="shared" si="3"/>
        <v>1</v>
      </c>
      <c r="R15" s="475"/>
      <c r="S15" s="201" t="str">
        <f t="shared" si="1"/>
        <v>Switch</v>
      </c>
      <c r="T15" s="508">
        <f t="shared" si="2"/>
        <v>46056</v>
      </c>
      <c r="U15" s="508">
        <f t="shared" si="4"/>
        <v>46056</v>
      </c>
    </row>
    <row r="16" spans="1:21" ht="21" customHeight="1">
      <c r="A16" s="820"/>
      <c r="B16" s="792"/>
      <c r="C16" s="838"/>
      <c r="D16" s="352" t="s">
        <v>64</v>
      </c>
      <c r="E16" s="464" t="s">
        <v>65</v>
      </c>
      <c r="F16" s="469">
        <v>2</v>
      </c>
      <c r="G16" s="470">
        <v>2</v>
      </c>
      <c r="H16" s="854"/>
      <c r="I16" s="854"/>
      <c r="J16" s="854"/>
      <c r="K16" s="910"/>
      <c r="L16" s="910"/>
      <c r="M16" s="814"/>
      <c r="N16" s="467">
        <v>2</v>
      </c>
      <c r="O16" s="467">
        <v>2</v>
      </c>
      <c r="P16" s="467">
        <v>2</v>
      </c>
      <c r="Q16" s="461">
        <f t="shared" si="3"/>
        <v>1</v>
      </c>
      <c r="R16" s="199"/>
      <c r="S16" s="201" t="str">
        <f t="shared" si="1"/>
        <v>Switch</v>
      </c>
      <c r="T16" s="508">
        <f>$H$5</f>
        <v>46056</v>
      </c>
      <c r="U16" s="508">
        <f t="shared" si="4"/>
        <v>46056</v>
      </c>
    </row>
    <row r="17" spans="1:21" ht="21" customHeight="1">
      <c r="A17" s="820"/>
      <c r="B17" s="849" t="s">
        <v>66</v>
      </c>
      <c r="C17" s="837">
        <v>1</v>
      </c>
      <c r="D17" s="736" t="s">
        <v>38</v>
      </c>
      <c r="E17" s="476" t="s">
        <v>39</v>
      </c>
      <c r="F17" s="353">
        <v>6</v>
      </c>
      <c r="G17" s="353">
        <v>5</v>
      </c>
      <c r="H17" s="804">
        <v>46064</v>
      </c>
      <c r="I17" s="804">
        <v>46065</v>
      </c>
      <c r="J17" s="804">
        <v>46064</v>
      </c>
      <c r="K17" s="864">
        <v>46064</v>
      </c>
      <c r="L17" s="911" t="s">
        <v>67</v>
      </c>
      <c r="M17" s="856" t="s">
        <v>68</v>
      </c>
      <c r="N17" s="467">
        <v>5</v>
      </c>
      <c r="O17" s="467">
        <v>5</v>
      </c>
      <c r="P17" s="467">
        <v>5</v>
      </c>
      <c r="Q17" s="461">
        <f t="shared" si="3"/>
        <v>1</v>
      </c>
      <c r="R17" s="201"/>
      <c r="S17" s="201" t="str">
        <f t="shared" si="1"/>
        <v>Switch</v>
      </c>
      <c r="T17" s="508">
        <f>$H$17</f>
        <v>46064</v>
      </c>
      <c r="U17" s="508">
        <f>$J$17</f>
        <v>46064</v>
      </c>
    </row>
    <row r="18" spans="1:21" ht="21" customHeight="1">
      <c r="A18" s="820"/>
      <c r="B18" s="849"/>
      <c r="C18" s="838"/>
      <c r="D18" s="736" t="s">
        <v>42</v>
      </c>
      <c r="E18" s="477" t="s">
        <v>43</v>
      </c>
      <c r="F18" s="353">
        <v>5</v>
      </c>
      <c r="G18" s="353">
        <v>5</v>
      </c>
      <c r="H18" s="804"/>
      <c r="I18" s="804"/>
      <c r="J18" s="804"/>
      <c r="K18" s="865"/>
      <c r="L18" s="911"/>
      <c r="M18" s="856"/>
      <c r="N18" s="467">
        <v>5</v>
      </c>
      <c r="O18" s="467">
        <v>5</v>
      </c>
      <c r="P18" s="467">
        <v>5</v>
      </c>
      <c r="Q18" s="461">
        <f t="shared" si="3"/>
        <v>1</v>
      </c>
      <c r="R18" s="201"/>
      <c r="S18" s="201" t="str">
        <f t="shared" si="1"/>
        <v>Switch</v>
      </c>
      <c r="T18" s="508">
        <f>$H$17</f>
        <v>46064</v>
      </c>
      <c r="U18" s="508">
        <f>$J$17</f>
        <v>46064</v>
      </c>
    </row>
    <row r="19" spans="1:21" ht="21" customHeight="1">
      <c r="A19" s="821"/>
      <c r="B19" s="857" t="s">
        <v>69</v>
      </c>
      <c r="C19" s="859">
        <v>2</v>
      </c>
      <c r="D19" s="367" t="s">
        <v>38</v>
      </c>
      <c r="E19" s="478" t="s">
        <v>39</v>
      </c>
      <c r="F19" s="353">
        <v>3</v>
      </c>
      <c r="G19" s="479">
        <v>3</v>
      </c>
      <c r="H19" s="804">
        <v>46056</v>
      </c>
      <c r="I19" s="804">
        <v>46057</v>
      </c>
      <c r="J19" s="804">
        <v>46056</v>
      </c>
      <c r="K19" s="864">
        <v>46060</v>
      </c>
      <c r="L19" s="909" t="s">
        <v>67</v>
      </c>
      <c r="M19" s="862" t="s">
        <v>70</v>
      </c>
      <c r="N19" s="467">
        <v>3</v>
      </c>
      <c r="O19" s="467">
        <v>3</v>
      </c>
      <c r="P19" s="467">
        <v>3</v>
      </c>
      <c r="Q19" s="461">
        <f t="shared" si="3"/>
        <v>1</v>
      </c>
      <c r="R19" s="201"/>
      <c r="S19" s="201" t="str">
        <f t="shared" si="1"/>
        <v>Switch</v>
      </c>
      <c r="T19" s="508">
        <f>$H$19</f>
        <v>46056</v>
      </c>
      <c r="U19" s="508">
        <f>$J$19</f>
        <v>46056</v>
      </c>
    </row>
    <row r="20" spans="1:21" ht="21" customHeight="1">
      <c r="A20" s="820"/>
      <c r="B20" s="858"/>
      <c r="C20" s="860"/>
      <c r="D20" s="368" t="s">
        <v>42</v>
      </c>
      <c r="E20" s="480" t="s">
        <v>43</v>
      </c>
      <c r="F20" s="471">
        <v>3</v>
      </c>
      <c r="G20" s="527">
        <v>3</v>
      </c>
      <c r="H20" s="861"/>
      <c r="I20" s="861"/>
      <c r="J20" s="861"/>
      <c r="K20" s="864"/>
      <c r="L20" s="909"/>
      <c r="M20" s="863"/>
      <c r="N20" s="467">
        <v>3</v>
      </c>
      <c r="O20" s="467">
        <v>3</v>
      </c>
      <c r="P20" s="467">
        <v>3</v>
      </c>
      <c r="Q20" s="461">
        <f t="shared" si="3"/>
        <v>1</v>
      </c>
      <c r="R20" s="201"/>
      <c r="S20" s="201" t="str">
        <f t="shared" si="1"/>
        <v>Switch</v>
      </c>
      <c r="T20" s="508">
        <f>$H$19</f>
        <v>46056</v>
      </c>
      <c r="U20" s="508">
        <f>$J$19</f>
        <v>46056</v>
      </c>
    </row>
    <row r="21" spans="1:21" ht="21" customHeight="1">
      <c r="A21" s="821"/>
      <c r="B21" s="791" t="s">
        <v>71</v>
      </c>
      <c r="C21" s="837">
        <v>3</v>
      </c>
      <c r="D21" s="363" t="s">
        <v>38</v>
      </c>
      <c r="E21" s="525" t="s">
        <v>39</v>
      </c>
      <c r="F21" s="466">
        <v>1</v>
      </c>
      <c r="G21" s="466">
        <v>1</v>
      </c>
      <c r="H21" s="834">
        <v>46071</v>
      </c>
      <c r="I21" s="834">
        <v>46073</v>
      </c>
      <c r="J21" s="834">
        <v>46071</v>
      </c>
      <c r="K21" s="834">
        <v>46071</v>
      </c>
      <c r="L21" s="797" t="s">
        <v>67</v>
      </c>
      <c r="M21" s="805"/>
      <c r="N21" s="467">
        <v>1</v>
      </c>
      <c r="O21" s="467">
        <v>1</v>
      </c>
      <c r="P21" s="467">
        <v>1</v>
      </c>
      <c r="Q21" s="461">
        <f t="shared" si="3"/>
        <v>1</v>
      </c>
      <c r="R21" s="201"/>
      <c r="S21" s="201" t="str">
        <f t="shared" si="1"/>
        <v>Switch</v>
      </c>
      <c r="T21" s="508">
        <f>$H$21</f>
        <v>46071</v>
      </c>
      <c r="U21" s="508">
        <f>$J$21</f>
        <v>46071</v>
      </c>
    </row>
    <row r="22" spans="1:21" ht="21" customHeight="1">
      <c r="A22" s="820"/>
      <c r="B22" s="792"/>
      <c r="C22" s="838"/>
      <c r="D22" s="364" t="s">
        <v>42</v>
      </c>
      <c r="E22" s="526" t="s">
        <v>43</v>
      </c>
      <c r="F22" s="466">
        <v>4</v>
      </c>
      <c r="G22" s="466">
        <v>4</v>
      </c>
      <c r="H22" s="834"/>
      <c r="I22" s="834"/>
      <c r="J22" s="834"/>
      <c r="K22" s="834"/>
      <c r="L22" s="797"/>
      <c r="M22" s="916"/>
      <c r="N22" s="759">
        <v>4</v>
      </c>
      <c r="O22" s="759">
        <v>4</v>
      </c>
      <c r="P22" s="759">
        <v>4</v>
      </c>
      <c r="Q22" s="461">
        <f t="shared" si="3"/>
        <v>1</v>
      </c>
      <c r="R22" s="201"/>
      <c r="S22" s="201" t="str">
        <f t="shared" si="1"/>
        <v>Switch</v>
      </c>
      <c r="T22" s="508">
        <f>$H$21</f>
        <v>46071</v>
      </c>
      <c r="U22" s="508">
        <f>$J$21</f>
        <v>46071</v>
      </c>
    </row>
    <row r="23" spans="1:21" ht="21" customHeight="1">
      <c r="A23" s="820"/>
      <c r="B23" s="791" t="s">
        <v>72</v>
      </c>
      <c r="C23" s="793">
        <v>4</v>
      </c>
      <c r="D23" s="363" t="s">
        <v>38</v>
      </c>
      <c r="E23" s="525" t="s">
        <v>39</v>
      </c>
      <c r="F23" s="466">
        <v>0</v>
      </c>
      <c r="G23" s="466">
        <v>1</v>
      </c>
      <c r="H23" s="795">
        <v>46073</v>
      </c>
      <c r="I23" s="795">
        <v>46074</v>
      </c>
      <c r="J23" s="795">
        <v>46073</v>
      </c>
      <c r="K23" s="795">
        <v>46073</v>
      </c>
      <c r="L23" s="797" t="s">
        <v>67</v>
      </c>
      <c r="M23" s="798" t="s">
        <v>73</v>
      </c>
      <c r="N23" s="467">
        <v>1</v>
      </c>
      <c r="O23" s="467">
        <v>1</v>
      </c>
      <c r="P23" s="467">
        <v>1</v>
      </c>
      <c r="Q23" s="461">
        <f t="shared" si="3"/>
        <v>1</v>
      </c>
      <c r="R23" s="531"/>
      <c r="S23" s="201" t="str">
        <f t="shared" si="1"/>
        <v>Switch</v>
      </c>
      <c r="T23" s="508">
        <f>$H$23</f>
        <v>46073</v>
      </c>
      <c r="U23" s="508">
        <f>$J$23</f>
        <v>46073</v>
      </c>
    </row>
    <row r="24" spans="1:21" ht="41.25" customHeight="1">
      <c r="A24" s="845"/>
      <c r="B24" s="792"/>
      <c r="C24" s="794"/>
      <c r="D24" s="363" t="s">
        <v>42</v>
      </c>
      <c r="E24" s="477" t="s">
        <v>43</v>
      </c>
      <c r="F24" s="528">
        <v>2</v>
      </c>
      <c r="G24" s="529">
        <v>3</v>
      </c>
      <c r="H24" s="796"/>
      <c r="I24" s="796"/>
      <c r="J24" s="796"/>
      <c r="K24" s="796"/>
      <c r="L24" s="797"/>
      <c r="M24" s="799"/>
      <c r="N24" s="467">
        <v>3</v>
      </c>
      <c r="O24" s="467">
        <v>3</v>
      </c>
      <c r="P24" s="467">
        <v>3</v>
      </c>
      <c r="Q24" s="530">
        <f t="shared" si="3"/>
        <v>1</v>
      </c>
      <c r="R24" s="531"/>
      <c r="S24" s="201" t="str">
        <f t="shared" si="1"/>
        <v>Switch</v>
      </c>
      <c r="T24" s="508">
        <f>$H$23</f>
        <v>46073</v>
      </c>
      <c r="U24" s="508">
        <f>$J$23</f>
        <v>46073</v>
      </c>
    </row>
    <row r="25" spans="1:21" s="538" customFormat="1" ht="42">
      <c r="A25" s="788" t="s">
        <v>74</v>
      </c>
      <c r="B25" s="608" t="s">
        <v>75</v>
      </c>
      <c r="C25" s="604">
        <v>1</v>
      </c>
      <c r="D25" s="609" t="s">
        <v>76</v>
      </c>
      <c r="E25" s="532" t="s">
        <v>63</v>
      </c>
      <c r="F25" s="533">
        <v>2</v>
      </c>
      <c r="G25" s="385">
        <v>2</v>
      </c>
      <c r="H25" s="738">
        <v>46076</v>
      </c>
      <c r="I25" s="738">
        <v>46075</v>
      </c>
      <c r="J25" s="738">
        <v>46076</v>
      </c>
      <c r="K25" s="737">
        <v>46076</v>
      </c>
      <c r="L25" s="654" t="s">
        <v>67</v>
      </c>
      <c r="M25" s="534" t="s">
        <v>77</v>
      </c>
      <c r="N25" s="535">
        <v>2</v>
      </c>
      <c r="O25" s="535">
        <v>2</v>
      </c>
      <c r="P25" s="535">
        <v>2</v>
      </c>
      <c r="Q25" s="536">
        <f t="shared" si="3"/>
        <v>1</v>
      </c>
      <c r="R25" s="8"/>
      <c r="S25" s="201" t="str">
        <f t="shared" si="1"/>
        <v>Switch</v>
      </c>
      <c r="T25" s="537">
        <f>$H$25</f>
        <v>46076</v>
      </c>
      <c r="U25" s="537">
        <f>$J$25</f>
        <v>46076</v>
      </c>
    </row>
    <row r="26" spans="1:21" ht="21" customHeight="1">
      <c r="A26" s="789"/>
      <c r="B26" s="839" t="s">
        <v>78</v>
      </c>
      <c r="C26" s="802">
        <v>5</v>
      </c>
      <c r="D26" s="588" t="s">
        <v>38</v>
      </c>
      <c r="E26" s="476" t="s">
        <v>39</v>
      </c>
      <c r="F26" s="471">
        <v>6</v>
      </c>
      <c r="G26" s="353">
        <v>6</v>
      </c>
      <c r="H26" s="804">
        <v>46090</v>
      </c>
      <c r="I26" s="804">
        <v>46092</v>
      </c>
      <c r="J26" s="655">
        <v>46094</v>
      </c>
      <c r="K26" s="670">
        <v>46094</v>
      </c>
      <c r="L26" s="656" t="s">
        <v>67</v>
      </c>
      <c r="M26" s="805"/>
      <c r="N26" s="467">
        <v>6</v>
      </c>
      <c r="O26" s="467">
        <v>6</v>
      </c>
      <c r="P26" s="467">
        <v>6</v>
      </c>
      <c r="Q26" s="461">
        <f t="shared" si="3"/>
        <v>1</v>
      </c>
      <c r="R26" s="201"/>
      <c r="S26" s="201" t="str">
        <f t="shared" si="1"/>
        <v>Switch</v>
      </c>
      <c r="T26" s="508">
        <f>$H$26</f>
        <v>46090</v>
      </c>
      <c r="U26" s="508">
        <f>$J$26</f>
        <v>46094</v>
      </c>
    </row>
    <row r="27" spans="1:21" ht="21" customHeight="1">
      <c r="A27" s="789"/>
      <c r="B27" s="840"/>
      <c r="C27" s="803"/>
      <c r="D27" s="589" t="s">
        <v>42</v>
      </c>
      <c r="E27" s="477" t="s">
        <v>43</v>
      </c>
      <c r="F27" s="471">
        <v>1</v>
      </c>
      <c r="G27" s="353">
        <v>1</v>
      </c>
      <c r="H27" s="804"/>
      <c r="I27" s="804"/>
      <c r="J27" s="655">
        <v>46090</v>
      </c>
      <c r="K27" s="742">
        <v>46092</v>
      </c>
      <c r="L27" s="656" t="s">
        <v>67</v>
      </c>
      <c r="M27" s="806"/>
      <c r="N27" s="467">
        <v>1</v>
      </c>
      <c r="O27" s="467">
        <v>1</v>
      </c>
      <c r="P27" s="467">
        <v>1</v>
      </c>
      <c r="Q27" s="461">
        <f t="shared" si="3"/>
        <v>1</v>
      </c>
      <c r="R27" s="201"/>
      <c r="S27" s="201" t="str">
        <f t="shared" si="1"/>
        <v>Switch</v>
      </c>
      <c r="T27" s="508">
        <f>$H$26</f>
        <v>46090</v>
      </c>
      <c r="U27" s="508">
        <f>$J$26</f>
        <v>46094</v>
      </c>
    </row>
    <row r="28" spans="1:21" ht="21" customHeight="1">
      <c r="A28" s="789"/>
      <c r="B28" s="826" t="s">
        <v>79</v>
      </c>
      <c r="C28" s="828">
        <v>2</v>
      </c>
      <c r="D28" s="569" t="s">
        <v>38</v>
      </c>
      <c r="E28" s="476" t="s">
        <v>39</v>
      </c>
      <c r="F28" s="471">
        <v>5</v>
      </c>
      <c r="G28" s="353">
        <v>5</v>
      </c>
      <c r="H28" s="811">
        <v>46078</v>
      </c>
      <c r="I28" s="811">
        <v>46081</v>
      </c>
      <c r="J28" s="811">
        <v>46078</v>
      </c>
      <c r="K28" s="811">
        <v>46085</v>
      </c>
      <c r="L28" s="877" t="s">
        <v>67</v>
      </c>
      <c r="M28" s="800"/>
      <c r="N28" s="467">
        <v>5</v>
      </c>
      <c r="O28" s="467">
        <v>5</v>
      </c>
      <c r="P28" s="467">
        <v>5</v>
      </c>
      <c r="Q28" s="461">
        <f t="shared" si="3"/>
        <v>1</v>
      </c>
      <c r="R28" s="201"/>
      <c r="S28" s="201" t="str">
        <f t="shared" si="1"/>
        <v>Switch</v>
      </c>
      <c r="T28" s="508">
        <f>$H$28</f>
        <v>46078</v>
      </c>
      <c r="U28" s="508">
        <f>$J$28</f>
        <v>46078</v>
      </c>
    </row>
    <row r="29" spans="1:21" ht="21" customHeight="1">
      <c r="A29" s="789"/>
      <c r="B29" s="827"/>
      <c r="C29" s="829"/>
      <c r="D29" s="570" t="s">
        <v>42</v>
      </c>
      <c r="E29" s="477" t="s">
        <v>43</v>
      </c>
      <c r="F29" s="471">
        <v>1</v>
      </c>
      <c r="G29" s="353">
        <v>1</v>
      </c>
      <c r="H29" s="812"/>
      <c r="I29" s="812"/>
      <c r="J29" s="812"/>
      <c r="K29" s="811"/>
      <c r="L29" s="878"/>
      <c r="M29" s="801"/>
      <c r="N29" s="467">
        <v>1</v>
      </c>
      <c r="O29" s="467">
        <v>1</v>
      </c>
      <c r="P29" s="467">
        <v>1</v>
      </c>
      <c r="Q29" s="461">
        <f t="shared" si="3"/>
        <v>1</v>
      </c>
      <c r="R29" s="201"/>
      <c r="S29" s="201" t="str">
        <f t="shared" si="1"/>
        <v>Switch</v>
      </c>
      <c r="T29" s="508">
        <f>$H$28</f>
        <v>46078</v>
      </c>
      <c r="U29" s="508">
        <f>$J$28</f>
        <v>46078</v>
      </c>
    </row>
    <row r="30" spans="1:21" ht="21" customHeight="1">
      <c r="A30" s="789"/>
      <c r="B30" s="815" t="s">
        <v>80</v>
      </c>
      <c r="C30" s="817">
        <v>4</v>
      </c>
      <c r="D30" s="581" t="s">
        <v>38</v>
      </c>
      <c r="E30" s="476" t="s">
        <v>39</v>
      </c>
      <c r="F30" s="471">
        <v>5</v>
      </c>
      <c r="G30" s="353">
        <v>5</v>
      </c>
      <c r="H30" s="811">
        <v>46083</v>
      </c>
      <c r="I30" s="811">
        <v>46086</v>
      </c>
      <c r="J30" s="869">
        <v>46087</v>
      </c>
      <c r="K30" s="739">
        <v>46087</v>
      </c>
      <c r="L30" s="867" t="s">
        <v>67</v>
      </c>
      <c r="M30" s="813" t="s">
        <v>81</v>
      </c>
      <c r="N30" s="467">
        <v>5</v>
      </c>
      <c r="O30" s="467">
        <v>5</v>
      </c>
      <c r="P30" s="467">
        <v>5</v>
      </c>
      <c r="Q30" s="461">
        <f t="shared" si="3"/>
        <v>1</v>
      </c>
      <c r="R30" s="201"/>
      <c r="S30" s="201" t="str">
        <f t="shared" si="1"/>
        <v>Switch</v>
      </c>
      <c r="T30" s="508">
        <f>$H$30</f>
        <v>46083</v>
      </c>
      <c r="U30" s="508">
        <f>$J$30</f>
        <v>46087</v>
      </c>
    </row>
    <row r="31" spans="1:21" ht="21" customHeight="1">
      <c r="A31" s="789"/>
      <c r="B31" s="816"/>
      <c r="C31" s="818"/>
      <c r="D31" s="582" t="s">
        <v>42</v>
      </c>
      <c r="E31" s="477" t="s">
        <v>43</v>
      </c>
      <c r="F31" s="471">
        <v>1</v>
      </c>
      <c r="G31" s="353">
        <v>2</v>
      </c>
      <c r="H31" s="812"/>
      <c r="I31" s="812"/>
      <c r="J31" s="915"/>
      <c r="K31" s="739">
        <v>46087</v>
      </c>
      <c r="L31" s="868"/>
      <c r="M31" s="814"/>
      <c r="N31" s="467">
        <v>2</v>
      </c>
      <c r="O31" s="467">
        <v>2</v>
      </c>
      <c r="P31" s="467">
        <v>2</v>
      </c>
      <c r="Q31" s="461">
        <f t="shared" si="3"/>
        <v>1</v>
      </c>
      <c r="R31" s="201"/>
      <c r="S31" s="201" t="str">
        <f t="shared" si="1"/>
        <v>Switch</v>
      </c>
      <c r="T31" s="508">
        <f>$H$30</f>
        <v>46083</v>
      </c>
      <c r="U31" s="508">
        <f>$J$30</f>
        <v>46087</v>
      </c>
    </row>
    <row r="32" spans="1:21" ht="21" customHeight="1">
      <c r="A32" s="789"/>
      <c r="B32" s="807" t="s">
        <v>82</v>
      </c>
      <c r="C32" s="809">
        <v>1</v>
      </c>
      <c r="D32" s="601" t="s">
        <v>38</v>
      </c>
      <c r="E32" s="476" t="s">
        <v>39</v>
      </c>
      <c r="F32" s="471">
        <v>4</v>
      </c>
      <c r="G32" s="353">
        <v>4</v>
      </c>
      <c r="H32" s="811">
        <v>46076</v>
      </c>
      <c r="I32" s="811">
        <v>46079</v>
      </c>
      <c r="J32" s="811">
        <v>46076</v>
      </c>
      <c r="K32" s="811">
        <v>46080</v>
      </c>
      <c r="L32" s="877" t="s">
        <v>67</v>
      </c>
      <c r="M32" s="813"/>
      <c r="N32" s="467">
        <v>4</v>
      </c>
      <c r="O32" s="467">
        <v>4</v>
      </c>
      <c r="P32" s="467">
        <v>4</v>
      </c>
      <c r="Q32" s="461">
        <f t="shared" si="3"/>
        <v>1</v>
      </c>
      <c r="R32" s="201"/>
      <c r="S32" s="201" t="str">
        <f t="shared" si="1"/>
        <v>Switch</v>
      </c>
      <c r="T32" s="508">
        <f>$H$32</f>
        <v>46076</v>
      </c>
      <c r="U32" s="508">
        <f>$J$32</f>
        <v>46076</v>
      </c>
    </row>
    <row r="33" spans="1:21" ht="21" customHeight="1">
      <c r="A33" s="789"/>
      <c r="B33" s="808"/>
      <c r="C33" s="810"/>
      <c r="D33" s="602" t="s">
        <v>42</v>
      </c>
      <c r="E33" s="477" t="s">
        <v>43</v>
      </c>
      <c r="F33" s="471">
        <v>1</v>
      </c>
      <c r="G33" s="353">
        <v>1</v>
      </c>
      <c r="H33" s="812"/>
      <c r="I33" s="812"/>
      <c r="J33" s="812"/>
      <c r="K33" s="811"/>
      <c r="L33" s="878"/>
      <c r="M33" s="814"/>
      <c r="N33" s="467">
        <v>1</v>
      </c>
      <c r="O33" s="467">
        <v>1</v>
      </c>
      <c r="P33" s="467">
        <v>1</v>
      </c>
      <c r="Q33" s="461">
        <f t="shared" si="3"/>
        <v>1</v>
      </c>
      <c r="R33" s="201"/>
      <c r="S33" s="201" t="str">
        <f t="shared" si="1"/>
        <v>Switch</v>
      </c>
      <c r="T33" s="508">
        <f>$H$32</f>
        <v>46076</v>
      </c>
      <c r="U33" s="508">
        <f>$J$32</f>
        <v>46076</v>
      </c>
    </row>
    <row r="34" spans="1:21" ht="21" customHeight="1">
      <c r="A34" s="789"/>
      <c r="B34" s="830" t="s">
        <v>83</v>
      </c>
      <c r="C34" s="832">
        <v>3</v>
      </c>
      <c r="D34" s="595" t="s">
        <v>38</v>
      </c>
      <c r="E34" s="476" t="s">
        <v>39</v>
      </c>
      <c r="F34" s="471">
        <v>4</v>
      </c>
      <c r="G34" s="353">
        <v>5</v>
      </c>
      <c r="H34" s="811">
        <v>46080</v>
      </c>
      <c r="I34" s="811">
        <v>46083</v>
      </c>
      <c r="J34" s="869">
        <v>46080</v>
      </c>
      <c r="K34" s="866">
        <v>46087</v>
      </c>
      <c r="L34" s="867" t="s">
        <v>67</v>
      </c>
      <c r="M34" s="813" t="s">
        <v>84</v>
      </c>
      <c r="N34" s="467">
        <v>5</v>
      </c>
      <c r="O34" s="467">
        <v>5</v>
      </c>
      <c r="P34" s="467">
        <v>5</v>
      </c>
      <c r="Q34" s="461">
        <f t="shared" si="3"/>
        <v>1</v>
      </c>
      <c r="R34" s="201"/>
      <c r="S34" s="201" t="str">
        <f t="shared" si="1"/>
        <v>Switch</v>
      </c>
      <c r="T34" s="508">
        <f>$H$34</f>
        <v>46080</v>
      </c>
      <c r="U34" s="508">
        <f>$J$34</f>
        <v>46080</v>
      </c>
    </row>
    <row r="35" spans="1:21" ht="21" customHeight="1">
      <c r="A35" s="789"/>
      <c r="B35" s="831"/>
      <c r="C35" s="833"/>
      <c r="D35" s="596" t="s">
        <v>42</v>
      </c>
      <c r="E35" s="477" t="s">
        <v>43</v>
      </c>
      <c r="F35" s="471">
        <v>1</v>
      </c>
      <c r="G35" s="353">
        <v>1</v>
      </c>
      <c r="H35" s="811"/>
      <c r="I35" s="812"/>
      <c r="J35" s="869"/>
      <c r="K35" s="866"/>
      <c r="L35" s="868"/>
      <c r="M35" s="814"/>
      <c r="N35" s="467">
        <v>1</v>
      </c>
      <c r="O35" s="467">
        <v>1</v>
      </c>
      <c r="P35" s="467">
        <v>1</v>
      </c>
      <c r="Q35" s="461">
        <f t="shared" si="3"/>
        <v>1</v>
      </c>
      <c r="R35" s="201"/>
      <c r="S35" s="201" t="str">
        <f t="shared" si="1"/>
        <v>Switch</v>
      </c>
      <c r="T35" s="508">
        <f>$H$34</f>
        <v>46080</v>
      </c>
      <c r="U35" s="508">
        <f>$J$34</f>
        <v>46080</v>
      </c>
    </row>
    <row r="36" spans="1:21" ht="21" customHeight="1">
      <c r="A36" s="789"/>
      <c r="B36" s="571" t="s">
        <v>79</v>
      </c>
      <c r="C36" s="572">
        <v>2</v>
      </c>
      <c r="D36" s="569" t="s">
        <v>38</v>
      </c>
      <c r="E36" s="476" t="s">
        <v>39</v>
      </c>
      <c r="F36" s="471">
        <v>3</v>
      </c>
      <c r="G36" s="496">
        <v>4</v>
      </c>
      <c r="H36" s="739">
        <v>46078</v>
      </c>
      <c r="I36" s="504">
        <v>46081</v>
      </c>
      <c r="J36" s="739">
        <v>46078</v>
      </c>
      <c r="K36" s="739">
        <v>46087</v>
      </c>
      <c r="L36" s="502" t="s">
        <v>67</v>
      </c>
      <c r="M36" s="622" t="s">
        <v>85</v>
      </c>
      <c r="N36" s="467">
        <v>4</v>
      </c>
      <c r="O36" s="467">
        <v>4</v>
      </c>
      <c r="P36" s="467">
        <v>4</v>
      </c>
      <c r="Q36" s="461">
        <f t="shared" si="3"/>
        <v>1</v>
      </c>
      <c r="R36" s="201"/>
      <c r="S36" s="201" t="str">
        <f t="shared" si="1"/>
        <v>Switch</v>
      </c>
      <c r="T36" s="508">
        <f>$H$36</f>
        <v>46078</v>
      </c>
      <c r="U36" s="508">
        <f>$J$36</f>
        <v>46078</v>
      </c>
    </row>
    <row r="37" spans="1:21" ht="21" customHeight="1">
      <c r="A37" s="789"/>
      <c r="B37" s="830" t="s">
        <v>83</v>
      </c>
      <c r="C37" s="832">
        <v>3</v>
      </c>
      <c r="D37" s="595" t="s">
        <v>38</v>
      </c>
      <c r="E37" s="476" t="s">
        <v>39</v>
      </c>
      <c r="F37" s="471">
        <v>3</v>
      </c>
      <c r="G37" s="496">
        <v>3</v>
      </c>
      <c r="H37" s="834">
        <v>46080</v>
      </c>
      <c r="I37" s="835">
        <v>46083</v>
      </c>
      <c r="J37" s="870">
        <v>46080</v>
      </c>
      <c r="K37" s="866">
        <v>46087</v>
      </c>
      <c r="L37" s="867" t="s">
        <v>67</v>
      </c>
      <c r="M37" s="813" t="s">
        <v>86</v>
      </c>
      <c r="N37" s="467">
        <v>3</v>
      </c>
      <c r="O37" s="467">
        <v>3</v>
      </c>
      <c r="P37" s="467">
        <v>3</v>
      </c>
      <c r="Q37" s="461">
        <f t="shared" si="3"/>
        <v>1</v>
      </c>
      <c r="R37" s="201"/>
      <c r="S37" s="201" t="str">
        <f t="shared" si="1"/>
        <v>Switch</v>
      </c>
      <c r="T37" s="508">
        <f>$H$37</f>
        <v>46080</v>
      </c>
      <c r="U37" s="508">
        <f>$J$37</f>
        <v>46080</v>
      </c>
    </row>
    <row r="38" spans="1:21" ht="21" customHeight="1">
      <c r="A38" s="789"/>
      <c r="B38" s="831"/>
      <c r="C38" s="833"/>
      <c r="D38" s="596" t="s">
        <v>42</v>
      </c>
      <c r="E38" s="477" t="s">
        <v>43</v>
      </c>
      <c r="F38" s="471">
        <v>1</v>
      </c>
      <c r="G38" s="496">
        <v>1</v>
      </c>
      <c r="H38" s="834"/>
      <c r="I38" s="836"/>
      <c r="J38" s="870"/>
      <c r="K38" s="866"/>
      <c r="L38" s="868"/>
      <c r="M38" s="814"/>
      <c r="N38" s="467">
        <v>1</v>
      </c>
      <c r="O38" s="467">
        <v>1</v>
      </c>
      <c r="P38" s="467">
        <v>1</v>
      </c>
      <c r="Q38" s="461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8">
        <f>$H$37</f>
        <v>46080</v>
      </c>
      <c r="U38" s="508">
        <f>$J$37</f>
        <v>46080</v>
      </c>
    </row>
    <row r="39" spans="1:21" ht="21" customHeight="1">
      <c r="A39" s="789"/>
      <c r="B39" s="590" t="s">
        <v>78</v>
      </c>
      <c r="C39" s="591">
        <v>5</v>
      </c>
      <c r="D39" s="588" t="s">
        <v>38</v>
      </c>
      <c r="E39" s="476" t="s">
        <v>39</v>
      </c>
      <c r="F39" s="471">
        <v>3</v>
      </c>
      <c r="G39" s="353">
        <v>3</v>
      </c>
      <c r="H39" s="728">
        <v>46090</v>
      </c>
      <c r="I39" s="728">
        <v>46092</v>
      </c>
      <c r="J39" s="742">
        <v>46090</v>
      </c>
      <c r="K39" s="742">
        <v>46092</v>
      </c>
      <c r="L39" s="502" t="s">
        <v>67</v>
      </c>
      <c r="M39" s="481" t="s">
        <v>87</v>
      </c>
      <c r="N39" s="467">
        <v>3</v>
      </c>
      <c r="O39" s="467">
        <v>3</v>
      </c>
      <c r="P39" s="467">
        <v>3</v>
      </c>
      <c r="Q39" s="461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8">
        <f>$H$39</f>
        <v>46090</v>
      </c>
      <c r="U39" s="508">
        <f>$J$39</f>
        <v>46090</v>
      </c>
    </row>
    <row r="40" spans="1:21" ht="21" customHeight="1">
      <c r="A40" s="789"/>
      <c r="B40" s="873" t="s">
        <v>88</v>
      </c>
      <c r="C40" s="875">
        <v>6</v>
      </c>
      <c r="D40" s="637" t="s">
        <v>38</v>
      </c>
      <c r="E40" s="476" t="s">
        <v>39</v>
      </c>
      <c r="F40" s="471">
        <v>2</v>
      </c>
      <c r="G40" s="496">
        <v>3</v>
      </c>
      <c r="H40" s="739">
        <v>46097</v>
      </c>
      <c r="I40" s="739">
        <v>46098</v>
      </c>
      <c r="J40" s="732">
        <v>46097</v>
      </c>
      <c r="K40" s="732">
        <v>46098</v>
      </c>
      <c r="L40" s="741" t="s">
        <v>67</v>
      </c>
      <c r="M40" s="813"/>
      <c r="N40" s="467">
        <v>3</v>
      </c>
      <c r="O40" s="467">
        <v>3</v>
      </c>
      <c r="P40" s="467">
        <v>3</v>
      </c>
      <c r="Q40" s="461">
        <f t="shared" si="3"/>
        <v>1</v>
      </c>
      <c r="R40" s="201"/>
      <c r="S40" s="201" t="str">
        <f t="shared" si="5"/>
        <v>Switch</v>
      </c>
      <c r="T40" s="508">
        <f>$H$40</f>
        <v>46097</v>
      </c>
      <c r="U40" s="508">
        <f>$J$40</f>
        <v>46097</v>
      </c>
    </row>
    <row r="41" spans="1:21" ht="21" customHeight="1">
      <c r="A41" s="789"/>
      <c r="B41" s="874"/>
      <c r="C41" s="876"/>
      <c r="D41" s="638" t="s">
        <v>42</v>
      </c>
      <c r="E41" s="477" t="s">
        <v>43</v>
      </c>
      <c r="F41" s="471">
        <v>1</v>
      </c>
      <c r="G41" s="496">
        <v>1</v>
      </c>
      <c r="H41" s="739">
        <v>46097</v>
      </c>
      <c r="I41" s="739">
        <v>46098</v>
      </c>
      <c r="J41" s="660">
        <v>46094</v>
      </c>
      <c r="K41" s="660">
        <v>46094</v>
      </c>
      <c r="L41" s="656" t="s">
        <v>67</v>
      </c>
      <c r="M41" s="806"/>
      <c r="N41" s="467">
        <v>1</v>
      </c>
      <c r="O41" s="467">
        <v>1</v>
      </c>
      <c r="P41" s="467">
        <v>1</v>
      </c>
      <c r="Q41" s="461">
        <f t="shared" si="3"/>
        <v>1</v>
      </c>
      <c r="R41" s="201"/>
      <c r="S41" s="201" t="str">
        <f t="shared" si="5"/>
        <v>Switch</v>
      </c>
      <c r="T41" s="508">
        <f>$H$40</f>
        <v>46097</v>
      </c>
      <c r="U41" s="508">
        <f>$J$41</f>
        <v>46094</v>
      </c>
    </row>
    <row r="42" spans="1:21" ht="21" customHeight="1">
      <c r="A42" s="789"/>
      <c r="B42" s="603" t="s">
        <v>82</v>
      </c>
      <c r="C42" s="604">
        <v>1</v>
      </c>
      <c r="D42" s="605" t="s">
        <v>38</v>
      </c>
      <c r="E42" s="476" t="s">
        <v>39</v>
      </c>
      <c r="F42" s="471">
        <v>2</v>
      </c>
      <c r="G42" s="353">
        <v>2</v>
      </c>
      <c r="H42" s="742">
        <v>46076</v>
      </c>
      <c r="I42" s="732">
        <v>46079</v>
      </c>
      <c r="J42" s="742">
        <v>46076</v>
      </c>
      <c r="K42" s="600">
        <v>46078</v>
      </c>
      <c r="L42" s="740" t="s">
        <v>67</v>
      </c>
      <c r="M42" s="481" t="s">
        <v>89</v>
      </c>
      <c r="N42" s="467">
        <v>2</v>
      </c>
      <c r="O42" s="467">
        <v>2</v>
      </c>
      <c r="P42" s="467">
        <v>2</v>
      </c>
      <c r="Q42" s="461">
        <f t="shared" si="3"/>
        <v>1</v>
      </c>
      <c r="R42" s="201"/>
      <c r="S42" s="201" t="str">
        <f t="shared" si="5"/>
        <v>Switch</v>
      </c>
      <c r="T42" s="508">
        <f>$H$42</f>
        <v>46076</v>
      </c>
      <c r="U42" s="508">
        <f>$J$42</f>
        <v>46076</v>
      </c>
    </row>
    <row r="43" spans="1:21" ht="21" customHeight="1">
      <c r="A43" s="789"/>
      <c r="B43" s="583" t="s">
        <v>80</v>
      </c>
      <c r="C43" s="584">
        <v>4</v>
      </c>
      <c r="D43" s="585" t="s">
        <v>38</v>
      </c>
      <c r="E43" s="476" t="s">
        <v>39</v>
      </c>
      <c r="F43" s="471">
        <v>2</v>
      </c>
      <c r="G43" s="353">
        <v>1</v>
      </c>
      <c r="H43" s="742">
        <v>46083</v>
      </c>
      <c r="I43" s="505">
        <v>46086</v>
      </c>
      <c r="J43" s="742">
        <v>46087</v>
      </c>
      <c r="K43" s="742">
        <v>46087</v>
      </c>
      <c r="L43" s="610" t="s">
        <v>67</v>
      </c>
      <c r="M43" s="481" t="s">
        <v>90</v>
      </c>
      <c r="N43" s="467">
        <v>1</v>
      </c>
      <c r="O43" s="467">
        <v>1</v>
      </c>
      <c r="P43" s="467">
        <v>1</v>
      </c>
      <c r="Q43" s="461">
        <f t="shared" si="3"/>
        <v>1</v>
      </c>
      <c r="R43" s="201"/>
      <c r="S43" s="201" t="str">
        <f t="shared" si="5"/>
        <v>Switch</v>
      </c>
      <c r="T43" s="508">
        <f>$H$43</f>
        <v>46083</v>
      </c>
      <c r="U43" s="508">
        <f>$J$43</f>
        <v>46087</v>
      </c>
    </row>
    <row r="44" spans="1:21" ht="21" customHeight="1">
      <c r="A44" s="789"/>
      <c r="B44" s="841" t="s">
        <v>91</v>
      </c>
      <c r="C44" s="871">
        <v>7</v>
      </c>
      <c r="D44" s="642" t="s">
        <v>38</v>
      </c>
      <c r="E44" s="476" t="s">
        <v>39</v>
      </c>
      <c r="F44" s="471">
        <v>1</v>
      </c>
      <c r="G44" s="353">
        <v>1</v>
      </c>
      <c r="H44" s="811">
        <v>46097</v>
      </c>
      <c r="I44" s="811">
        <v>46098</v>
      </c>
      <c r="J44" s="811">
        <v>46100</v>
      </c>
      <c r="K44" s="811">
        <v>46101</v>
      </c>
      <c r="L44" s="877" t="s">
        <v>67</v>
      </c>
      <c r="M44" s="813"/>
      <c r="N44" s="467">
        <v>1</v>
      </c>
      <c r="O44" s="467">
        <v>1</v>
      </c>
      <c r="P44" s="467">
        <v>1</v>
      </c>
      <c r="Q44" s="461">
        <f t="shared" si="3"/>
        <v>1</v>
      </c>
      <c r="R44" s="201"/>
      <c r="S44" s="201" t="str">
        <f t="shared" si="5"/>
        <v>Switch</v>
      </c>
      <c r="T44" s="508">
        <f>$H$44</f>
        <v>46097</v>
      </c>
      <c r="U44" s="508">
        <f>$J$44</f>
        <v>46100</v>
      </c>
    </row>
    <row r="45" spans="1:21" ht="21" customHeight="1">
      <c r="A45" s="789"/>
      <c r="B45" s="842"/>
      <c r="C45" s="872"/>
      <c r="D45" s="643" t="s">
        <v>42</v>
      </c>
      <c r="E45" s="477" t="s">
        <v>43</v>
      </c>
      <c r="F45" s="471">
        <v>2</v>
      </c>
      <c r="G45" s="353">
        <v>2</v>
      </c>
      <c r="H45" s="812"/>
      <c r="I45" s="812"/>
      <c r="J45" s="812"/>
      <c r="K45" s="812"/>
      <c r="L45" s="878"/>
      <c r="M45" s="814"/>
      <c r="N45" s="467">
        <v>2</v>
      </c>
      <c r="O45" s="467">
        <v>2</v>
      </c>
      <c r="P45" s="467">
        <v>2</v>
      </c>
      <c r="Q45" s="461">
        <f t="shared" si="3"/>
        <v>1</v>
      </c>
      <c r="R45" s="201"/>
      <c r="S45" s="201" t="str">
        <f t="shared" si="5"/>
        <v>Switch</v>
      </c>
      <c r="T45" s="508">
        <f>$H$44</f>
        <v>46097</v>
      </c>
      <c r="U45" s="508">
        <f>$J$44</f>
        <v>46100</v>
      </c>
    </row>
    <row r="46" spans="1:21" ht="21" customHeight="1">
      <c r="A46" s="789"/>
      <c r="B46" s="826" t="s">
        <v>92</v>
      </c>
      <c r="C46" s="828">
        <v>2</v>
      </c>
      <c r="D46" s="569" t="s">
        <v>38</v>
      </c>
      <c r="E46" s="476" t="s">
        <v>39</v>
      </c>
      <c r="F46" s="471">
        <v>2</v>
      </c>
      <c r="G46" s="624">
        <v>0</v>
      </c>
      <c r="H46" s="811">
        <v>46078</v>
      </c>
      <c r="I46" s="811">
        <v>46081</v>
      </c>
      <c r="J46" s="811">
        <v>46078</v>
      </c>
      <c r="K46" s="811">
        <v>46080</v>
      </c>
      <c r="L46" s="877" t="s">
        <v>67</v>
      </c>
      <c r="M46" s="879" t="s">
        <v>93</v>
      </c>
      <c r="N46" s="467">
        <v>0</v>
      </c>
      <c r="O46" s="467">
        <v>0</v>
      </c>
      <c r="P46" s="467">
        <v>0</v>
      </c>
      <c r="Q46" s="461">
        <f t="shared" si="3"/>
        <v>1</v>
      </c>
      <c r="R46" s="201"/>
      <c r="S46" s="201" t="str">
        <f t="shared" si="5"/>
        <v>Switch</v>
      </c>
      <c r="T46" s="508">
        <f>$H$46</f>
        <v>46078</v>
      </c>
      <c r="U46" s="508">
        <f>$J$46</f>
        <v>46078</v>
      </c>
    </row>
    <row r="47" spans="1:21" ht="21" customHeight="1">
      <c r="A47" s="789"/>
      <c r="B47" s="827"/>
      <c r="C47" s="829"/>
      <c r="D47" s="573" t="s">
        <v>42</v>
      </c>
      <c r="E47" s="477" t="s">
        <v>43</v>
      </c>
      <c r="F47" s="482">
        <v>3</v>
      </c>
      <c r="G47" s="353">
        <v>4</v>
      </c>
      <c r="H47" s="812"/>
      <c r="I47" s="812"/>
      <c r="J47" s="812"/>
      <c r="K47" s="812"/>
      <c r="L47" s="878"/>
      <c r="M47" s="880"/>
      <c r="N47" s="633">
        <v>4</v>
      </c>
      <c r="O47" s="633">
        <v>4</v>
      </c>
      <c r="P47" s="633">
        <v>4</v>
      </c>
      <c r="Q47" s="461">
        <f t="shared" si="3"/>
        <v>1</v>
      </c>
      <c r="R47" s="749"/>
      <c r="S47" s="201" t="str">
        <f t="shared" si="5"/>
        <v>Switch</v>
      </c>
      <c r="T47" s="508">
        <f>$H$46</f>
        <v>46078</v>
      </c>
      <c r="U47" s="508">
        <f>$J$46</f>
        <v>46078</v>
      </c>
    </row>
    <row r="48" spans="1:21" ht="21" customHeight="1">
      <c r="A48" s="789"/>
      <c r="B48" s="807" t="s">
        <v>94</v>
      </c>
      <c r="C48" s="809">
        <v>1</v>
      </c>
      <c r="D48" s="601" t="s">
        <v>38</v>
      </c>
      <c r="E48" s="476" t="s">
        <v>39</v>
      </c>
      <c r="F48" s="471">
        <v>1</v>
      </c>
      <c r="G48" s="353">
        <v>1</v>
      </c>
      <c r="H48" s="811">
        <v>46076</v>
      </c>
      <c r="I48" s="811">
        <v>46079</v>
      </c>
      <c r="J48" s="811">
        <v>46076</v>
      </c>
      <c r="K48" s="886">
        <v>46078</v>
      </c>
      <c r="L48" s="877" t="s">
        <v>67</v>
      </c>
      <c r="M48" s="813"/>
      <c r="N48" s="467">
        <v>1</v>
      </c>
      <c r="O48" s="467">
        <v>1</v>
      </c>
      <c r="P48" s="467">
        <v>1</v>
      </c>
      <c r="Q48" s="461">
        <f t="shared" si="3"/>
        <v>1</v>
      </c>
      <c r="R48" s="201"/>
      <c r="S48" s="201" t="str">
        <f t="shared" si="5"/>
        <v>Switch</v>
      </c>
      <c r="T48" s="508">
        <f>$H$48</f>
        <v>46076</v>
      </c>
      <c r="U48" s="508">
        <f>$J$48</f>
        <v>46076</v>
      </c>
    </row>
    <row r="49" spans="1:21" ht="21" customHeight="1">
      <c r="A49" s="789"/>
      <c r="B49" s="808"/>
      <c r="C49" s="810"/>
      <c r="D49" s="606" t="s">
        <v>42</v>
      </c>
      <c r="E49" s="477" t="s">
        <v>43</v>
      </c>
      <c r="F49" s="482">
        <v>2</v>
      </c>
      <c r="G49" s="353">
        <v>2</v>
      </c>
      <c r="H49" s="812"/>
      <c r="I49" s="812"/>
      <c r="J49" s="812"/>
      <c r="K49" s="887"/>
      <c r="L49" s="878"/>
      <c r="M49" s="814"/>
      <c r="N49" s="467">
        <v>2</v>
      </c>
      <c r="O49" s="467">
        <v>2</v>
      </c>
      <c r="P49" s="467">
        <v>2</v>
      </c>
      <c r="Q49" s="461">
        <f t="shared" si="3"/>
        <v>1</v>
      </c>
      <c r="R49" s="201"/>
      <c r="S49" s="201" t="str">
        <f t="shared" si="5"/>
        <v>Switch</v>
      </c>
      <c r="T49" s="508">
        <f>$H$48</f>
        <v>46076</v>
      </c>
      <c r="U49" s="508">
        <f>$J$48</f>
        <v>46076</v>
      </c>
    </row>
    <row r="50" spans="1:21" ht="42" customHeight="1">
      <c r="A50" s="789"/>
      <c r="B50" s="592" t="s">
        <v>95</v>
      </c>
      <c r="C50" s="593">
        <v>5</v>
      </c>
      <c r="D50" s="594" t="s">
        <v>42</v>
      </c>
      <c r="E50" s="477" t="s">
        <v>43</v>
      </c>
      <c r="F50" s="578">
        <v>9</v>
      </c>
      <c r="G50" s="353">
        <v>8</v>
      </c>
      <c r="H50" s="742">
        <v>46092</v>
      </c>
      <c r="I50" s="742">
        <v>46094</v>
      </c>
      <c r="J50" s="742">
        <v>46092</v>
      </c>
      <c r="K50" s="742">
        <v>46092</v>
      </c>
      <c r="L50" s="502" t="s">
        <v>67</v>
      </c>
      <c r="M50" s="481" t="s">
        <v>96</v>
      </c>
      <c r="N50" s="467">
        <v>8</v>
      </c>
      <c r="O50" s="467">
        <v>8</v>
      </c>
      <c r="P50" s="467">
        <v>8</v>
      </c>
      <c r="Q50" s="652">
        <f t="shared" si="3"/>
        <v>1</v>
      </c>
      <c r="R50" s="201"/>
      <c r="S50" s="201" t="str">
        <f t="shared" si="5"/>
        <v>Switch</v>
      </c>
      <c r="T50" s="508">
        <f>$H$50</f>
        <v>46092</v>
      </c>
      <c r="U50" s="508">
        <f>$J$50</f>
        <v>46092</v>
      </c>
    </row>
    <row r="51" spans="1:21" ht="21" customHeight="1">
      <c r="A51" s="789"/>
      <c r="B51" s="574" t="s">
        <v>97</v>
      </c>
      <c r="C51" s="575">
        <v>2</v>
      </c>
      <c r="D51" s="576" t="s">
        <v>42</v>
      </c>
      <c r="E51" s="577" t="s">
        <v>43</v>
      </c>
      <c r="F51" s="644">
        <v>6</v>
      </c>
      <c r="G51" s="579">
        <v>5</v>
      </c>
      <c r="H51" s="729">
        <v>46078</v>
      </c>
      <c r="I51" s="733">
        <v>46081</v>
      </c>
      <c r="J51" s="742">
        <v>46078</v>
      </c>
      <c r="K51" s="742">
        <v>46080</v>
      </c>
      <c r="L51" s="502" t="s">
        <v>67</v>
      </c>
      <c r="M51" s="623" t="s">
        <v>98</v>
      </c>
      <c r="N51" s="633">
        <v>5</v>
      </c>
      <c r="O51" s="633">
        <v>5</v>
      </c>
      <c r="P51" s="633">
        <v>5</v>
      </c>
      <c r="Q51" s="653">
        <f t="shared" si="3"/>
        <v>1</v>
      </c>
      <c r="R51" s="201"/>
      <c r="S51" s="201" t="str">
        <f t="shared" si="5"/>
        <v>Switch</v>
      </c>
      <c r="T51" s="508">
        <f>$H$51</f>
        <v>46078</v>
      </c>
      <c r="U51" s="508">
        <f>$J$51</f>
        <v>46078</v>
      </c>
    </row>
    <row r="52" spans="1:21" ht="21" customHeight="1">
      <c r="A52" s="789"/>
      <c r="B52" s="597" t="s">
        <v>99</v>
      </c>
      <c r="C52" s="598">
        <v>3</v>
      </c>
      <c r="D52" s="599" t="s">
        <v>42</v>
      </c>
      <c r="E52" s="477" t="s">
        <v>43</v>
      </c>
      <c r="F52" s="578">
        <v>6</v>
      </c>
      <c r="G52" s="579">
        <v>6</v>
      </c>
      <c r="H52" s="742">
        <v>46080</v>
      </c>
      <c r="I52" s="504">
        <v>46083</v>
      </c>
      <c r="J52" s="742">
        <v>46080</v>
      </c>
      <c r="K52" s="568">
        <v>46084</v>
      </c>
      <c r="L52" s="502" t="s">
        <v>67</v>
      </c>
      <c r="M52" s="481"/>
      <c r="N52" s="467">
        <v>6</v>
      </c>
      <c r="O52" s="467">
        <v>6</v>
      </c>
      <c r="P52" s="467">
        <v>6</v>
      </c>
      <c r="Q52" s="461">
        <f t="shared" si="3"/>
        <v>1</v>
      </c>
      <c r="R52" s="201"/>
      <c r="S52" s="201" t="str">
        <f t="shared" si="5"/>
        <v>Switch</v>
      </c>
      <c r="T52" s="508">
        <f>$H$52</f>
        <v>46080</v>
      </c>
      <c r="U52" s="508">
        <f>$J$52</f>
        <v>46080</v>
      </c>
    </row>
    <row r="53" spans="1:21" ht="21" customHeight="1">
      <c r="A53" s="789"/>
      <c r="B53" s="583" t="s">
        <v>100</v>
      </c>
      <c r="C53" s="586">
        <v>4</v>
      </c>
      <c r="D53" s="587" t="s">
        <v>42</v>
      </c>
      <c r="E53" s="477" t="s">
        <v>43</v>
      </c>
      <c r="F53" s="578">
        <v>6</v>
      </c>
      <c r="G53" s="353">
        <v>6</v>
      </c>
      <c r="H53" s="742">
        <v>46083</v>
      </c>
      <c r="I53" s="505">
        <v>46086</v>
      </c>
      <c r="J53" s="742">
        <v>46085</v>
      </c>
      <c r="K53" s="742">
        <v>46085</v>
      </c>
      <c r="L53" s="502" t="s">
        <v>67</v>
      </c>
      <c r="M53" s="481"/>
      <c r="N53" s="467">
        <v>6</v>
      </c>
      <c r="O53" s="467">
        <v>6</v>
      </c>
      <c r="P53" s="467">
        <v>6</v>
      </c>
      <c r="Q53" s="461">
        <f t="shared" si="3"/>
        <v>1</v>
      </c>
      <c r="R53" s="201"/>
      <c r="S53" s="201" t="str">
        <f t="shared" si="5"/>
        <v>Switch</v>
      </c>
      <c r="T53" s="508">
        <f>$H$53</f>
        <v>46083</v>
      </c>
      <c r="U53" s="508">
        <f>$J$53</f>
        <v>46085</v>
      </c>
    </row>
    <row r="54" spans="1:21" ht="21" customHeight="1">
      <c r="A54" s="789"/>
      <c r="B54" s="603" t="s">
        <v>101</v>
      </c>
      <c r="C54" s="604">
        <v>1</v>
      </c>
      <c r="D54" s="607" t="s">
        <v>42</v>
      </c>
      <c r="E54" s="477" t="s">
        <v>43</v>
      </c>
      <c r="F54" s="528">
        <v>3</v>
      </c>
      <c r="G54" s="353">
        <v>3</v>
      </c>
      <c r="H54" s="742">
        <v>46076</v>
      </c>
      <c r="I54" s="504">
        <v>46079</v>
      </c>
      <c r="J54" s="742">
        <v>46076</v>
      </c>
      <c r="K54" s="568">
        <v>46078</v>
      </c>
      <c r="L54" s="502" t="s">
        <v>67</v>
      </c>
      <c r="M54" s="481" t="s">
        <v>102</v>
      </c>
      <c r="N54" s="467">
        <v>3</v>
      </c>
      <c r="O54" s="467">
        <v>3</v>
      </c>
      <c r="P54" s="467">
        <v>3</v>
      </c>
      <c r="Q54" s="461">
        <f t="shared" si="3"/>
        <v>1</v>
      </c>
      <c r="R54" s="201"/>
      <c r="S54" s="201" t="str">
        <f t="shared" si="5"/>
        <v>Switch</v>
      </c>
      <c r="T54" s="508">
        <f>$H$54</f>
        <v>46076</v>
      </c>
      <c r="U54" s="508">
        <f>$J$54</f>
        <v>46076</v>
      </c>
    </row>
    <row r="55" spans="1:21" ht="21" customHeight="1">
      <c r="A55" s="789"/>
      <c r="B55" s="634" t="s">
        <v>103</v>
      </c>
      <c r="C55" s="635">
        <v>6</v>
      </c>
      <c r="D55" s="636" t="s">
        <v>42</v>
      </c>
      <c r="E55" s="477" t="s">
        <v>43</v>
      </c>
      <c r="F55" s="578">
        <v>2</v>
      </c>
      <c r="G55" s="353">
        <v>2</v>
      </c>
      <c r="H55" s="742">
        <v>46097</v>
      </c>
      <c r="I55" s="742">
        <v>46098</v>
      </c>
      <c r="J55" s="742">
        <v>46097</v>
      </c>
      <c r="K55" s="742">
        <v>46098</v>
      </c>
      <c r="L55" s="502" t="s">
        <v>67</v>
      </c>
      <c r="M55" s="481"/>
      <c r="N55" s="467">
        <v>2</v>
      </c>
      <c r="O55" s="467">
        <v>2</v>
      </c>
      <c r="P55" s="467">
        <v>2</v>
      </c>
      <c r="Q55" s="461">
        <f t="shared" si="3"/>
        <v>1</v>
      </c>
      <c r="R55" s="201"/>
      <c r="S55" s="201" t="str">
        <f t="shared" si="5"/>
        <v>Switch</v>
      </c>
      <c r="T55" s="508">
        <f>$H$55</f>
        <v>46097</v>
      </c>
      <c r="U55" s="508">
        <f>$J$55</f>
        <v>46097</v>
      </c>
    </row>
    <row r="56" spans="1:21" ht="21" customHeight="1">
      <c r="A56" s="789"/>
      <c r="B56" s="639" t="s">
        <v>91</v>
      </c>
      <c r="C56" s="640">
        <v>7</v>
      </c>
      <c r="D56" s="641" t="s">
        <v>42</v>
      </c>
      <c r="E56" s="477" t="s">
        <v>43</v>
      </c>
      <c r="F56" s="528">
        <v>2</v>
      </c>
      <c r="G56" s="353">
        <v>2</v>
      </c>
      <c r="H56" s="742">
        <v>46097</v>
      </c>
      <c r="I56" s="742">
        <v>46098</v>
      </c>
      <c r="J56" s="742">
        <v>46100</v>
      </c>
      <c r="K56" s="742">
        <v>46101</v>
      </c>
      <c r="L56" s="502" t="s">
        <v>67</v>
      </c>
      <c r="M56" s="481" t="s">
        <v>104</v>
      </c>
      <c r="N56" s="467">
        <v>2</v>
      </c>
      <c r="O56" s="467">
        <v>2</v>
      </c>
      <c r="P56" s="467">
        <v>2</v>
      </c>
      <c r="Q56" s="461">
        <f t="shared" si="3"/>
        <v>1</v>
      </c>
      <c r="R56" s="201"/>
      <c r="S56" s="201" t="str">
        <f t="shared" si="5"/>
        <v>Switch</v>
      </c>
      <c r="T56" s="508">
        <f>$H$56</f>
        <v>46097</v>
      </c>
      <c r="U56" s="508">
        <f>$J$56</f>
        <v>46100</v>
      </c>
    </row>
    <row r="57" spans="1:21" ht="21" customHeight="1">
      <c r="A57" s="790"/>
      <c r="B57" s="597" t="s">
        <v>105</v>
      </c>
      <c r="C57" s="598">
        <v>3</v>
      </c>
      <c r="D57" s="599" t="s">
        <v>42</v>
      </c>
      <c r="E57" s="477" t="s">
        <v>43</v>
      </c>
      <c r="F57" s="578">
        <v>1</v>
      </c>
      <c r="G57" s="579">
        <v>1</v>
      </c>
      <c r="H57" s="742">
        <v>46080</v>
      </c>
      <c r="I57" s="504">
        <v>46083</v>
      </c>
      <c r="J57" s="742">
        <v>46080</v>
      </c>
      <c r="K57" s="568">
        <v>46084</v>
      </c>
      <c r="L57" s="502" t="s">
        <v>67</v>
      </c>
      <c r="M57" s="481"/>
      <c r="N57" s="467">
        <v>1</v>
      </c>
      <c r="O57" s="467">
        <v>1</v>
      </c>
      <c r="P57" s="467">
        <v>1</v>
      </c>
      <c r="Q57" s="461">
        <f t="shared" si="3"/>
        <v>1</v>
      </c>
      <c r="R57" s="201"/>
      <c r="S57" s="201" t="str">
        <f t="shared" si="5"/>
        <v>Switch</v>
      </c>
      <c r="T57" s="508">
        <f>$H$57</f>
        <v>46080</v>
      </c>
      <c r="U57" s="508">
        <f>$J$57</f>
        <v>46080</v>
      </c>
    </row>
    <row r="58" spans="1:21" ht="21" customHeight="1">
      <c r="A58" s="819" t="s">
        <v>106</v>
      </c>
      <c r="B58" s="881" t="s">
        <v>107</v>
      </c>
      <c r="C58" s="883">
        <v>1</v>
      </c>
      <c r="D58" s="723" t="s">
        <v>38</v>
      </c>
      <c r="E58" s="476" t="s">
        <v>39</v>
      </c>
      <c r="F58" s="471">
        <v>3</v>
      </c>
      <c r="G58" s="353">
        <v>3</v>
      </c>
      <c r="H58" s="885">
        <v>46105</v>
      </c>
      <c r="I58" s="885">
        <v>46092</v>
      </c>
      <c r="J58" s="885">
        <v>46102</v>
      </c>
      <c r="K58" s="885">
        <v>46106</v>
      </c>
      <c r="L58" s="888" t="s">
        <v>67</v>
      </c>
      <c r="M58" s="813" t="s">
        <v>108</v>
      </c>
      <c r="N58" s="467">
        <v>3</v>
      </c>
      <c r="O58" s="467">
        <v>3</v>
      </c>
      <c r="P58" s="467">
        <v>3</v>
      </c>
      <c r="Q58" s="461">
        <f t="shared" si="3"/>
        <v>1</v>
      </c>
      <c r="R58" s="201"/>
      <c r="S58" s="201" t="str">
        <f t="shared" si="5"/>
        <v>Switch</v>
      </c>
      <c r="T58" s="508">
        <f>$H$58</f>
        <v>46105</v>
      </c>
      <c r="U58" s="508">
        <f>$J$58</f>
        <v>46102</v>
      </c>
    </row>
    <row r="59" spans="1:21" ht="21" customHeight="1">
      <c r="A59" s="820"/>
      <c r="B59" s="882"/>
      <c r="C59" s="884"/>
      <c r="D59" s="724" t="s">
        <v>42</v>
      </c>
      <c r="E59" s="477" t="s">
        <v>43</v>
      </c>
      <c r="F59" s="471">
        <v>1</v>
      </c>
      <c r="G59" s="353">
        <v>1</v>
      </c>
      <c r="H59" s="812"/>
      <c r="I59" s="812"/>
      <c r="J59" s="812"/>
      <c r="K59" s="812"/>
      <c r="L59" s="878"/>
      <c r="M59" s="814"/>
      <c r="N59" s="467">
        <v>1</v>
      </c>
      <c r="O59" s="467">
        <v>1</v>
      </c>
      <c r="P59" s="467">
        <v>1</v>
      </c>
      <c r="Q59" s="461">
        <f t="shared" si="3"/>
        <v>1</v>
      </c>
      <c r="R59" s="201"/>
      <c r="S59" s="201" t="str">
        <f t="shared" si="5"/>
        <v>Switch</v>
      </c>
      <c r="T59" s="508">
        <f>$H$58</f>
        <v>46105</v>
      </c>
      <c r="U59" s="508">
        <f>$J$58</f>
        <v>46102</v>
      </c>
    </row>
    <row r="60" spans="1:21" ht="21" customHeight="1">
      <c r="A60" s="821"/>
      <c r="B60" s="881" t="s">
        <v>109</v>
      </c>
      <c r="C60" s="883">
        <v>1</v>
      </c>
      <c r="D60" s="723" t="s">
        <v>38</v>
      </c>
      <c r="E60" s="476" t="s">
        <v>39</v>
      </c>
      <c r="F60" s="471">
        <v>1</v>
      </c>
      <c r="G60" s="353">
        <v>2</v>
      </c>
      <c r="H60" s="811">
        <v>46105</v>
      </c>
      <c r="I60" s="811">
        <v>46092</v>
      </c>
      <c r="J60" s="811">
        <v>46102</v>
      </c>
      <c r="K60" s="811">
        <v>46102</v>
      </c>
      <c r="L60" s="877" t="s">
        <v>67</v>
      </c>
      <c r="M60" s="813" t="s">
        <v>110</v>
      </c>
      <c r="N60" s="467">
        <v>2</v>
      </c>
      <c r="O60" s="467">
        <v>2</v>
      </c>
      <c r="P60" s="467">
        <v>2</v>
      </c>
      <c r="Q60" s="461">
        <f t="shared" si="3"/>
        <v>1</v>
      </c>
      <c r="R60" s="201"/>
      <c r="S60" s="201" t="str">
        <f t="shared" si="5"/>
        <v>Switch</v>
      </c>
      <c r="T60" s="508">
        <f>$H$60</f>
        <v>46105</v>
      </c>
      <c r="U60" s="508">
        <f>$J$60</f>
        <v>46102</v>
      </c>
    </row>
    <row r="61" spans="1:21" ht="21" customHeight="1">
      <c r="A61" s="820"/>
      <c r="B61" s="882"/>
      <c r="C61" s="884"/>
      <c r="D61" s="724" t="s">
        <v>42</v>
      </c>
      <c r="E61" s="476" t="s">
        <v>43</v>
      </c>
      <c r="F61" s="471">
        <v>1</v>
      </c>
      <c r="G61" s="353">
        <v>1</v>
      </c>
      <c r="H61" s="812"/>
      <c r="I61" s="812"/>
      <c r="J61" s="812"/>
      <c r="K61" s="812"/>
      <c r="L61" s="878"/>
      <c r="M61" s="814"/>
      <c r="N61" s="467">
        <v>1</v>
      </c>
      <c r="O61" s="467">
        <v>1</v>
      </c>
      <c r="P61" s="467">
        <v>1</v>
      </c>
      <c r="Q61" s="461">
        <f t="shared" si="3"/>
        <v>1</v>
      </c>
      <c r="R61" s="201"/>
      <c r="S61" s="201" t="str">
        <f t="shared" si="5"/>
        <v>Switch</v>
      </c>
      <c r="T61" s="508">
        <f>$H$60</f>
        <v>46105</v>
      </c>
      <c r="U61" s="508">
        <f>$J$60</f>
        <v>46102</v>
      </c>
    </row>
    <row r="62" spans="1:21" ht="21" customHeight="1">
      <c r="A62" s="821"/>
      <c r="B62" s="881" t="s">
        <v>111</v>
      </c>
      <c r="C62" s="883">
        <v>2</v>
      </c>
      <c r="D62" s="723" t="s">
        <v>38</v>
      </c>
      <c r="E62" s="476" t="s">
        <v>39</v>
      </c>
      <c r="F62" s="471">
        <v>1</v>
      </c>
      <c r="G62" s="353">
        <v>2</v>
      </c>
      <c r="H62" s="811">
        <v>46106</v>
      </c>
      <c r="I62" s="811">
        <v>46092</v>
      </c>
      <c r="J62" s="811">
        <v>46104</v>
      </c>
      <c r="K62" s="889">
        <v>46104</v>
      </c>
      <c r="L62" s="877" t="s">
        <v>67</v>
      </c>
      <c r="M62" s="813" t="s">
        <v>112</v>
      </c>
      <c r="N62" s="467">
        <v>2</v>
      </c>
      <c r="O62" s="467">
        <v>2</v>
      </c>
      <c r="P62" s="467">
        <v>2</v>
      </c>
      <c r="Q62" s="461">
        <f t="shared" si="3"/>
        <v>1</v>
      </c>
      <c r="R62" s="201"/>
      <c r="S62" s="201" t="str">
        <f t="shared" si="5"/>
        <v>Switch</v>
      </c>
      <c r="T62" s="508">
        <f>$H$62</f>
        <v>46106</v>
      </c>
      <c r="U62" s="508">
        <f>$J$62</f>
        <v>46104</v>
      </c>
    </row>
    <row r="63" spans="1:21" ht="21" customHeight="1">
      <c r="A63" s="822"/>
      <c r="B63" s="882"/>
      <c r="C63" s="884"/>
      <c r="D63" s="724" t="s">
        <v>42</v>
      </c>
      <c r="E63" s="476" t="s">
        <v>43</v>
      </c>
      <c r="F63" s="471">
        <v>1</v>
      </c>
      <c r="G63" s="353">
        <v>0</v>
      </c>
      <c r="H63" s="812"/>
      <c r="I63" s="812"/>
      <c r="J63" s="812"/>
      <c r="K63" s="890"/>
      <c r="L63" s="878"/>
      <c r="M63" s="814"/>
      <c r="N63" s="467">
        <v>0</v>
      </c>
      <c r="O63" s="467">
        <v>0</v>
      </c>
      <c r="P63" s="467">
        <v>0</v>
      </c>
      <c r="Q63" s="461">
        <f t="shared" si="3"/>
        <v>1</v>
      </c>
      <c r="R63" s="201"/>
      <c r="S63" s="201" t="str">
        <f t="shared" si="5"/>
        <v>Switch</v>
      </c>
      <c r="T63" s="508">
        <f>$H$62</f>
        <v>46106</v>
      </c>
      <c r="U63" s="508">
        <f>$J$62</f>
        <v>46104</v>
      </c>
    </row>
    <row r="64" spans="1:21" ht="21" customHeight="1">
      <c r="A64" s="819" t="s">
        <v>113</v>
      </c>
      <c r="B64" s="791" t="s">
        <v>114</v>
      </c>
      <c r="C64" s="837">
        <v>2</v>
      </c>
      <c r="D64" s="363" t="s">
        <v>38</v>
      </c>
      <c r="E64" s="476" t="s">
        <v>39</v>
      </c>
      <c r="F64" s="471">
        <v>4</v>
      </c>
      <c r="G64" s="353">
        <v>4</v>
      </c>
      <c r="H64" s="811">
        <v>46113</v>
      </c>
      <c r="I64" s="811">
        <v>46093</v>
      </c>
      <c r="J64" s="811"/>
      <c r="K64" s="891"/>
      <c r="L64" s="877"/>
      <c r="M64" s="813" t="s">
        <v>115</v>
      </c>
      <c r="N64" s="467">
        <v>0</v>
      </c>
      <c r="O64" s="467">
        <v>0</v>
      </c>
      <c r="P64" s="467">
        <v>0</v>
      </c>
      <c r="Q64" s="461">
        <f t="shared" si="3"/>
        <v>0</v>
      </c>
      <c r="R64" s="201"/>
      <c r="S64" s="201" t="str">
        <f t="shared" si="5"/>
        <v>Switch</v>
      </c>
      <c r="T64" s="508">
        <f>$H$64</f>
        <v>46113</v>
      </c>
      <c r="U64" s="508">
        <f>$J$64</f>
        <v>0</v>
      </c>
    </row>
    <row r="65" spans="1:21" ht="21" customHeight="1">
      <c r="A65" s="820"/>
      <c r="B65" s="792"/>
      <c r="C65" s="838"/>
      <c r="D65" s="364" t="s">
        <v>42</v>
      </c>
      <c r="E65" s="477" t="s">
        <v>43</v>
      </c>
      <c r="F65" s="471">
        <v>2</v>
      </c>
      <c r="G65" s="353">
        <v>2</v>
      </c>
      <c r="H65" s="812"/>
      <c r="I65" s="812"/>
      <c r="J65" s="812"/>
      <c r="K65" s="887"/>
      <c r="L65" s="878"/>
      <c r="M65" s="814"/>
      <c r="N65" s="467">
        <v>0</v>
      </c>
      <c r="O65" s="467">
        <v>0</v>
      </c>
      <c r="P65" s="467">
        <v>0</v>
      </c>
      <c r="Q65" s="461">
        <f t="shared" si="3"/>
        <v>0</v>
      </c>
      <c r="R65" s="201"/>
      <c r="S65" s="201" t="str">
        <f t="shared" si="5"/>
        <v>Switch</v>
      </c>
      <c r="T65" s="508">
        <f>$H$64</f>
        <v>46113</v>
      </c>
      <c r="U65" s="508">
        <f>$J$64</f>
        <v>0</v>
      </c>
    </row>
    <row r="66" spans="1:21" ht="21" customHeight="1">
      <c r="A66" s="821"/>
      <c r="B66" s="791" t="s">
        <v>116</v>
      </c>
      <c r="C66" s="837">
        <v>2</v>
      </c>
      <c r="D66" s="363" t="s">
        <v>38</v>
      </c>
      <c r="E66" s="476" t="s">
        <v>39</v>
      </c>
      <c r="F66" s="471">
        <v>3</v>
      </c>
      <c r="G66" s="353">
        <v>3</v>
      </c>
      <c r="H66" s="811">
        <v>46113</v>
      </c>
      <c r="I66" s="811">
        <v>46093</v>
      </c>
      <c r="J66" s="811"/>
      <c r="K66" s="892"/>
      <c r="L66" s="877"/>
      <c r="M66" s="813" t="s">
        <v>117</v>
      </c>
      <c r="N66" s="467">
        <v>0</v>
      </c>
      <c r="O66" s="467">
        <v>0</v>
      </c>
      <c r="P66" s="467">
        <v>0</v>
      </c>
      <c r="Q66" s="461">
        <f t="shared" si="3"/>
        <v>0</v>
      </c>
      <c r="R66" s="201"/>
      <c r="S66" s="201" t="str">
        <f t="shared" si="5"/>
        <v>Switch</v>
      </c>
      <c r="T66" s="508">
        <f>$H$66</f>
        <v>46113</v>
      </c>
      <c r="U66" s="508">
        <f>$J$66</f>
        <v>0</v>
      </c>
    </row>
    <row r="67" spans="1:21" ht="21" customHeight="1">
      <c r="A67" s="822"/>
      <c r="B67" s="792"/>
      <c r="C67" s="838"/>
      <c r="D67" s="364" t="s">
        <v>42</v>
      </c>
      <c r="E67" s="477" t="s">
        <v>43</v>
      </c>
      <c r="F67" s="471">
        <v>2</v>
      </c>
      <c r="G67" s="353">
        <v>1</v>
      </c>
      <c r="H67" s="812"/>
      <c r="I67" s="812"/>
      <c r="J67" s="812"/>
      <c r="K67" s="887"/>
      <c r="L67" s="878"/>
      <c r="M67" s="814"/>
      <c r="N67" s="467">
        <v>0</v>
      </c>
      <c r="O67" s="467">
        <v>0</v>
      </c>
      <c r="P67" s="467">
        <v>0</v>
      </c>
      <c r="Q67" s="461">
        <f t="shared" si="3"/>
        <v>0</v>
      </c>
      <c r="R67" s="201"/>
      <c r="S67" s="201" t="str">
        <f t="shared" si="5"/>
        <v>Switch</v>
      </c>
      <c r="T67" s="508">
        <f>$H$66</f>
        <v>46113</v>
      </c>
      <c r="U67" s="508">
        <f>$J$66</f>
        <v>0</v>
      </c>
    </row>
    <row r="68" spans="1:21" ht="21" customHeight="1">
      <c r="A68" s="369" t="s">
        <v>118</v>
      </c>
      <c r="B68" s="735" t="s">
        <v>119</v>
      </c>
      <c r="C68" s="370">
        <v>1</v>
      </c>
      <c r="D68" s="363" t="s">
        <v>38</v>
      </c>
      <c r="E68" s="476" t="s">
        <v>39</v>
      </c>
      <c r="F68" s="471">
        <v>2</v>
      </c>
      <c r="G68" s="353">
        <v>2</v>
      </c>
      <c r="H68" s="742">
        <v>46108</v>
      </c>
      <c r="I68" s="504">
        <v>46094</v>
      </c>
      <c r="J68" s="742"/>
      <c r="K68" s="501"/>
      <c r="L68" s="502"/>
      <c r="M68" s="481"/>
      <c r="N68" s="467">
        <v>0</v>
      </c>
      <c r="O68" s="467">
        <v>0</v>
      </c>
      <c r="P68" s="467">
        <v>0</v>
      </c>
      <c r="Q68" s="461">
        <f t="shared" si="3"/>
        <v>0</v>
      </c>
      <c r="R68" s="201"/>
      <c r="S68" s="201" t="str">
        <f t="shared" si="5"/>
        <v>Switch</v>
      </c>
      <c r="T68" s="508">
        <f>$H$68</f>
        <v>46108</v>
      </c>
      <c r="U68" s="508">
        <f>$J$68</f>
        <v>0</v>
      </c>
    </row>
    <row r="69" spans="1:21" ht="21" customHeight="1">
      <c r="A69" s="369" t="s">
        <v>120</v>
      </c>
      <c r="B69" s="735" t="s">
        <v>69</v>
      </c>
      <c r="C69" s="370">
        <v>1</v>
      </c>
      <c r="D69" s="363" t="s">
        <v>38</v>
      </c>
      <c r="E69" s="476" t="s">
        <v>39</v>
      </c>
      <c r="F69" s="471">
        <v>1</v>
      </c>
      <c r="G69" s="353">
        <v>1</v>
      </c>
      <c r="H69" s="742">
        <v>46108</v>
      </c>
      <c r="I69" s="504">
        <v>46094</v>
      </c>
      <c r="J69" s="742"/>
      <c r="K69" s="501"/>
      <c r="L69" s="502"/>
      <c r="M69" s="481"/>
      <c r="N69" s="467">
        <v>0</v>
      </c>
      <c r="O69" s="467">
        <v>0</v>
      </c>
      <c r="P69" s="467">
        <v>0</v>
      </c>
      <c r="Q69" s="461">
        <f t="shared" si="3"/>
        <v>0</v>
      </c>
      <c r="R69" s="201"/>
      <c r="S69" s="201" t="str">
        <f t="shared" si="5"/>
        <v>Switch</v>
      </c>
      <c r="T69" s="508">
        <f>$H$69</f>
        <v>46108</v>
      </c>
      <c r="U69" s="508">
        <f>$J$69</f>
        <v>0</v>
      </c>
    </row>
    <row r="70" spans="1:21" ht="21" customHeight="1">
      <c r="A70" s="819" t="s">
        <v>121</v>
      </c>
      <c r="B70" s="791" t="s">
        <v>122</v>
      </c>
      <c r="C70" s="837">
        <v>1</v>
      </c>
      <c r="D70" s="363" t="s">
        <v>38</v>
      </c>
      <c r="E70" s="476" t="s">
        <v>39</v>
      </c>
      <c r="F70" s="471">
        <v>1</v>
      </c>
      <c r="G70" s="353">
        <v>1</v>
      </c>
      <c r="H70" s="811">
        <v>46108</v>
      </c>
      <c r="I70" s="811">
        <v>46094</v>
      </c>
      <c r="J70" s="811">
        <v>46106</v>
      </c>
      <c r="K70" s="811">
        <v>46107</v>
      </c>
      <c r="L70" s="877" t="s">
        <v>67</v>
      </c>
      <c r="M70" s="813" t="s">
        <v>123</v>
      </c>
      <c r="N70" s="467">
        <v>1</v>
      </c>
      <c r="O70" s="467">
        <v>1</v>
      </c>
      <c r="P70" s="467">
        <v>1</v>
      </c>
      <c r="Q70" s="461">
        <f t="shared" si="3"/>
        <v>1</v>
      </c>
      <c r="R70" s="201"/>
      <c r="S70" s="201" t="str">
        <f t="shared" si="5"/>
        <v>Switch</v>
      </c>
      <c r="T70" s="508">
        <f>$H$70</f>
        <v>46108</v>
      </c>
      <c r="U70" s="508">
        <f>$J$70</f>
        <v>46106</v>
      </c>
    </row>
    <row r="71" spans="1:21" ht="21" customHeight="1">
      <c r="A71" s="822"/>
      <c r="B71" s="792"/>
      <c r="C71" s="838"/>
      <c r="D71" s="364" t="s">
        <v>42</v>
      </c>
      <c r="E71" s="477" t="s">
        <v>43</v>
      </c>
      <c r="F71" s="471">
        <v>1</v>
      </c>
      <c r="G71" s="353">
        <v>1</v>
      </c>
      <c r="H71" s="812"/>
      <c r="I71" s="812"/>
      <c r="J71" s="812"/>
      <c r="K71" s="812"/>
      <c r="L71" s="878"/>
      <c r="M71" s="814"/>
      <c r="N71" s="467">
        <v>1</v>
      </c>
      <c r="O71" s="467">
        <v>1</v>
      </c>
      <c r="P71" s="467">
        <v>1</v>
      </c>
      <c r="Q71" s="461">
        <f t="shared" ref="Q71:Q83" si="6">IF($G71=0,1,(N71+O71+P71)/($G71*3))</f>
        <v>1</v>
      </c>
      <c r="R71" s="201"/>
      <c r="S71" s="201" t="str">
        <f t="shared" si="5"/>
        <v>Switch</v>
      </c>
      <c r="T71" s="508">
        <f>$H$70</f>
        <v>46108</v>
      </c>
      <c r="U71" s="508">
        <f>$J$70</f>
        <v>46106</v>
      </c>
    </row>
    <row r="72" spans="1:21" ht="21" customHeight="1">
      <c r="A72" s="819" t="s">
        <v>124</v>
      </c>
      <c r="B72" s="791" t="s">
        <v>125</v>
      </c>
      <c r="C72" s="837">
        <v>1</v>
      </c>
      <c r="D72" s="363" t="s">
        <v>38</v>
      </c>
      <c r="E72" s="476" t="s">
        <v>39</v>
      </c>
      <c r="F72" s="471">
        <v>1</v>
      </c>
      <c r="G72" s="353">
        <v>1</v>
      </c>
      <c r="H72" s="811">
        <v>46115</v>
      </c>
      <c r="I72" s="811">
        <v>46094</v>
      </c>
      <c r="J72" s="921"/>
      <c r="K72" s="891"/>
      <c r="L72" s="877"/>
      <c r="M72" s="813" t="s">
        <v>126</v>
      </c>
      <c r="N72" s="467">
        <v>0</v>
      </c>
      <c r="O72" s="467">
        <v>0</v>
      </c>
      <c r="P72" s="467">
        <v>0</v>
      </c>
      <c r="Q72" s="461">
        <f t="shared" si="6"/>
        <v>0</v>
      </c>
      <c r="R72" s="201"/>
      <c r="S72" s="201" t="str">
        <f t="shared" si="5"/>
        <v>Switch</v>
      </c>
      <c r="T72" s="508">
        <f>$H$72</f>
        <v>46115</v>
      </c>
      <c r="U72" s="508">
        <f>$J$72</f>
        <v>0</v>
      </c>
    </row>
    <row r="73" spans="1:21" ht="21" customHeight="1">
      <c r="A73" s="822"/>
      <c r="B73" s="792"/>
      <c r="C73" s="838"/>
      <c r="D73" s="364" t="s">
        <v>42</v>
      </c>
      <c r="E73" s="477" t="s">
        <v>43</v>
      </c>
      <c r="F73" s="471">
        <v>1</v>
      </c>
      <c r="G73" s="353">
        <v>1</v>
      </c>
      <c r="H73" s="812"/>
      <c r="I73" s="812"/>
      <c r="J73" s="812"/>
      <c r="K73" s="887"/>
      <c r="L73" s="878"/>
      <c r="M73" s="814"/>
      <c r="N73" s="467">
        <v>0</v>
      </c>
      <c r="O73" s="467">
        <v>0</v>
      </c>
      <c r="P73" s="467">
        <v>0</v>
      </c>
      <c r="Q73" s="461">
        <f t="shared" si="6"/>
        <v>0</v>
      </c>
      <c r="R73" s="201"/>
      <c r="S73" s="201" t="str">
        <f t="shared" si="5"/>
        <v>Switch</v>
      </c>
      <c r="T73" s="508">
        <f>$H$72</f>
        <v>46115</v>
      </c>
      <c r="U73" s="508">
        <f>$J$72</f>
        <v>0</v>
      </c>
    </row>
    <row r="74" spans="1:21" ht="21" customHeight="1">
      <c r="A74" s="819" t="s">
        <v>127</v>
      </c>
      <c r="B74" s="791" t="s">
        <v>128</v>
      </c>
      <c r="C74" s="837">
        <v>1</v>
      </c>
      <c r="D74" s="363" t="s">
        <v>38</v>
      </c>
      <c r="E74" s="476" t="s">
        <v>39</v>
      </c>
      <c r="F74" s="471">
        <v>1</v>
      </c>
      <c r="G74" s="353">
        <v>1</v>
      </c>
      <c r="H74" s="811">
        <v>46118</v>
      </c>
      <c r="I74" s="811">
        <v>46094</v>
      </c>
      <c r="J74" s="811"/>
      <c r="K74" s="891"/>
      <c r="L74" s="877"/>
      <c r="M74" s="813"/>
      <c r="N74" s="467">
        <v>0</v>
      </c>
      <c r="O74" s="467">
        <v>0</v>
      </c>
      <c r="P74" s="467">
        <v>0</v>
      </c>
      <c r="Q74" s="461">
        <f t="shared" si="6"/>
        <v>0</v>
      </c>
      <c r="R74" s="201"/>
      <c r="S74" s="201" t="str">
        <f t="shared" si="5"/>
        <v>Switch</v>
      </c>
      <c r="T74" s="508">
        <f>$H$74</f>
        <v>46118</v>
      </c>
      <c r="U74" s="508">
        <f>$J$74</f>
        <v>0</v>
      </c>
    </row>
    <row r="75" spans="1:21" ht="21" customHeight="1">
      <c r="A75" s="822"/>
      <c r="B75" s="792"/>
      <c r="C75" s="838"/>
      <c r="D75" s="364" t="s">
        <v>42</v>
      </c>
      <c r="E75" s="477" t="s">
        <v>43</v>
      </c>
      <c r="F75" s="471">
        <v>1</v>
      </c>
      <c r="G75" s="353">
        <v>1</v>
      </c>
      <c r="H75" s="812"/>
      <c r="I75" s="812"/>
      <c r="J75" s="812"/>
      <c r="K75" s="887"/>
      <c r="L75" s="878"/>
      <c r="M75" s="814"/>
      <c r="N75" s="467">
        <v>0</v>
      </c>
      <c r="O75" s="467">
        <v>0</v>
      </c>
      <c r="P75" s="467">
        <v>0</v>
      </c>
      <c r="Q75" s="461">
        <f t="shared" si="6"/>
        <v>0</v>
      </c>
      <c r="R75" s="201"/>
      <c r="S75" s="201" t="str">
        <f t="shared" si="5"/>
        <v>Switch</v>
      </c>
      <c r="T75" s="508">
        <f>$H$74</f>
        <v>46118</v>
      </c>
      <c r="U75" s="508">
        <f>$J$74</f>
        <v>0</v>
      </c>
    </row>
    <row r="76" spans="1:21" ht="21" customHeight="1">
      <c r="A76" s="819" t="s">
        <v>129</v>
      </c>
      <c r="B76" s="791" t="s">
        <v>128</v>
      </c>
      <c r="C76" s="837">
        <v>1</v>
      </c>
      <c r="D76" s="363" t="s">
        <v>38</v>
      </c>
      <c r="E76" s="476" t="s">
        <v>39</v>
      </c>
      <c r="F76" s="471">
        <v>1</v>
      </c>
      <c r="G76" s="353">
        <v>1</v>
      </c>
      <c r="H76" s="811">
        <v>46118</v>
      </c>
      <c r="I76" s="811">
        <v>46094</v>
      </c>
      <c r="J76" s="811"/>
      <c r="K76" s="891"/>
      <c r="L76" s="877"/>
      <c r="M76" s="813"/>
      <c r="N76" s="467">
        <v>0</v>
      </c>
      <c r="O76" s="467">
        <v>0</v>
      </c>
      <c r="P76" s="467">
        <v>0</v>
      </c>
      <c r="Q76" s="461">
        <f t="shared" si="6"/>
        <v>0</v>
      </c>
      <c r="R76" s="201"/>
      <c r="S76" s="201" t="str">
        <f t="shared" si="5"/>
        <v>Switch</v>
      </c>
      <c r="T76" s="508">
        <f>$H$76</f>
        <v>46118</v>
      </c>
      <c r="U76" s="508">
        <f>$J$76</f>
        <v>0</v>
      </c>
    </row>
    <row r="77" spans="1:21" ht="21" customHeight="1">
      <c r="A77" s="822"/>
      <c r="B77" s="792"/>
      <c r="C77" s="838"/>
      <c r="D77" s="364" t="s">
        <v>42</v>
      </c>
      <c r="E77" s="477" t="s">
        <v>43</v>
      </c>
      <c r="F77" s="471">
        <v>1</v>
      </c>
      <c r="G77" s="353">
        <v>1</v>
      </c>
      <c r="H77" s="812"/>
      <c r="I77" s="812"/>
      <c r="J77" s="812"/>
      <c r="K77" s="887"/>
      <c r="L77" s="878"/>
      <c r="M77" s="814"/>
      <c r="N77" s="467">
        <v>0</v>
      </c>
      <c r="O77" s="467">
        <v>0</v>
      </c>
      <c r="P77" s="467">
        <v>0</v>
      </c>
      <c r="Q77" s="461">
        <f t="shared" si="6"/>
        <v>0</v>
      </c>
      <c r="R77" s="201"/>
      <c r="S77" s="201" t="str">
        <f t="shared" si="5"/>
        <v>Switch</v>
      </c>
      <c r="T77" s="508">
        <f>$H$76</f>
        <v>46118</v>
      </c>
      <c r="U77" s="508">
        <f>$J$76</f>
        <v>0</v>
      </c>
    </row>
    <row r="78" spans="1:21" ht="21" customHeight="1">
      <c r="A78" s="369" t="s">
        <v>130</v>
      </c>
      <c r="B78" s="736" t="s">
        <v>131</v>
      </c>
      <c r="C78" s="370">
        <v>1</v>
      </c>
      <c r="D78" s="363" t="s">
        <v>38</v>
      </c>
      <c r="E78" s="476" t="s">
        <v>39</v>
      </c>
      <c r="F78" s="471">
        <v>1</v>
      </c>
      <c r="G78" s="353">
        <v>1</v>
      </c>
      <c r="H78" s="742">
        <v>46119</v>
      </c>
      <c r="I78" s="504">
        <v>46094</v>
      </c>
      <c r="J78" s="742"/>
      <c r="K78" s="501"/>
      <c r="L78" s="502"/>
      <c r="M78" s="481"/>
      <c r="N78" s="467">
        <v>0</v>
      </c>
      <c r="O78" s="467">
        <v>0</v>
      </c>
      <c r="P78" s="467">
        <v>0</v>
      </c>
      <c r="Q78" s="200">
        <f t="shared" si="6"/>
        <v>0</v>
      </c>
      <c r="R78" s="201"/>
      <c r="S78" s="201" t="str">
        <f t="shared" si="5"/>
        <v>Switch</v>
      </c>
      <c r="T78" s="508">
        <f>$H$78</f>
        <v>46119</v>
      </c>
      <c r="U78" s="508">
        <f>$J$78</f>
        <v>0</v>
      </c>
    </row>
    <row r="79" spans="1:21" ht="21" customHeight="1">
      <c r="A79" s="819" t="s">
        <v>132</v>
      </c>
      <c r="B79" s="791" t="s">
        <v>69</v>
      </c>
      <c r="C79" s="837">
        <v>1</v>
      </c>
      <c r="D79" s="363" t="s">
        <v>38</v>
      </c>
      <c r="E79" s="476" t="s">
        <v>39</v>
      </c>
      <c r="F79" s="471">
        <v>1</v>
      </c>
      <c r="G79" s="353">
        <v>1</v>
      </c>
      <c r="H79" s="811">
        <v>46119</v>
      </c>
      <c r="I79" s="811">
        <v>46094</v>
      </c>
      <c r="J79" s="811"/>
      <c r="K79" s="891"/>
      <c r="L79" s="877"/>
      <c r="M79" s="813" t="s">
        <v>133</v>
      </c>
      <c r="N79" s="467">
        <v>0</v>
      </c>
      <c r="O79" s="467">
        <v>0</v>
      </c>
      <c r="P79" s="467">
        <v>0</v>
      </c>
      <c r="Q79" s="200">
        <f t="shared" si="6"/>
        <v>0</v>
      </c>
      <c r="R79" s="201"/>
      <c r="S79" s="201" t="str">
        <f t="shared" si="5"/>
        <v>Switch</v>
      </c>
      <c r="T79" s="508">
        <f>$H$79</f>
        <v>46119</v>
      </c>
      <c r="U79" s="508">
        <f>$J$79</f>
        <v>0</v>
      </c>
    </row>
    <row r="80" spans="1:21" ht="21" customHeight="1">
      <c r="A80" s="820"/>
      <c r="B80" s="792"/>
      <c r="C80" s="838"/>
      <c r="D80" s="364" t="s">
        <v>42</v>
      </c>
      <c r="E80" s="477" t="s">
        <v>43</v>
      </c>
      <c r="F80" s="471">
        <v>1</v>
      </c>
      <c r="G80" s="353">
        <v>1</v>
      </c>
      <c r="H80" s="812"/>
      <c r="I80" s="812"/>
      <c r="J80" s="812"/>
      <c r="K80" s="887"/>
      <c r="L80" s="878"/>
      <c r="M80" s="814"/>
      <c r="N80" s="467">
        <v>0</v>
      </c>
      <c r="O80" s="467">
        <v>0</v>
      </c>
      <c r="P80" s="467">
        <v>0</v>
      </c>
      <c r="Q80" s="200">
        <f t="shared" si="6"/>
        <v>0</v>
      </c>
      <c r="R80" s="201"/>
      <c r="S80" s="201" t="str">
        <f t="shared" si="5"/>
        <v>Switch</v>
      </c>
      <c r="T80" s="508">
        <f>$H$79</f>
        <v>46119</v>
      </c>
      <c r="U80" s="508">
        <f>$J$79</f>
        <v>0</v>
      </c>
    </row>
    <row r="81" spans="1:21" ht="21" customHeight="1">
      <c r="A81" s="845"/>
      <c r="B81" s="736" t="s">
        <v>134</v>
      </c>
      <c r="C81" s="353">
        <v>1</v>
      </c>
      <c r="D81" s="363" t="s">
        <v>42</v>
      </c>
      <c r="E81" s="477" t="s">
        <v>43</v>
      </c>
      <c r="F81" s="471">
        <v>1</v>
      </c>
      <c r="G81" s="353">
        <v>1</v>
      </c>
      <c r="H81" s="742">
        <v>46120</v>
      </c>
      <c r="I81" s="504">
        <v>46094</v>
      </c>
      <c r="J81" s="742"/>
      <c r="K81" s="501"/>
      <c r="L81" s="502"/>
      <c r="M81" s="481" t="s">
        <v>135</v>
      </c>
      <c r="N81" s="467">
        <v>0</v>
      </c>
      <c r="O81" s="467">
        <v>0</v>
      </c>
      <c r="P81" s="467">
        <v>0</v>
      </c>
      <c r="Q81" s="200">
        <f t="shared" si="6"/>
        <v>0</v>
      </c>
      <c r="R81" s="201"/>
      <c r="S81" s="201" t="str">
        <f t="shared" si="5"/>
        <v>Switch</v>
      </c>
      <c r="T81" s="508">
        <f>$H$81</f>
        <v>46120</v>
      </c>
      <c r="U81" s="508">
        <f>$J$81</f>
        <v>0</v>
      </c>
    </row>
    <row r="82" spans="1:21" ht="21" customHeight="1">
      <c r="A82" s="819" t="s">
        <v>136</v>
      </c>
      <c r="B82" s="725" t="s">
        <v>109</v>
      </c>
      <c r="C82" s="726">
        <v>1</v>
      </c>
      <c r="D82" s="723" t="s">
        <v>42</v>
      </c>
      <c r="E82" s="477" t="s">
        <v>43</v>
      </c>
      <c r="F82" s="471">
        <v>2</v>
      </c>
      <c r="G82" s="353">
        <v>2</v>
      </c>
      <c r="H82" s="742">
        <v>46120</v>
      </c>
      <c r="I82" s="504">
        <v>46094</v>
      </c>
      <c r="J82" s="742">
        <v>46102</v>
      </c>
      <c r="K82" s="742">
        <v>46102</v>
      </c>
      <c r="L82" s="502" t="s">
        <v>67</v>
      </c>
      <c r="M82" s="481" t="s">
        <v>137</v>
      </c>
      <c r="N82" s="467">
        <v>2</v>
      </c>
      <c r="O82" s="467">
        <v>2</v>
      </c>
      <c r="P82" s="467">
        <v>2</v>
      </c>
      <c r="Q82" s="200">
        <f t="shared" si="6"/>
        <v>1</v>
      </c>
      <c r="R82" s="201"/>
      <c r="S82" s="201" t="str">
        <f t="shared" si="5"/>
        <v>Switch</v>
      </c>
      <c r="T82" s="508">
        <f>$H$82</f>
        <v>46120</v>
      </c>
      <c r="U82" s="508">
        <f>$J$82</f>
        <v>46102</v>
      </c>
    </row>
    <row r="83" spans="1:21" ht="42" customHeight="1">
      <c r="A83" s="845"/>
      <c r="B83" s="725" t="s">
        <v>138</v>
      </c>
      <c r="C83" s="726">
        <v>2</v>
      </c>
      <c r="D83" s="723" t="s">
        <v>42</v>
      </c>
      <c r="E83" s="477" t="s">
        <v>43</v>
      </c>
      <c r="F83" s="578">
        <v>4</v>
      </c>
      <c r="G83" s="353">
        <v>4</v>
      </c>
      <c r="H83" s="742">
        <v>46122</v>
      </c>
      <c r="I83" s="504">
        <f>H83+2</f>
        <v>46124</v>
      </c>
      <c r="J83" s="742">
        <v>46102</v>
      </c>
      <c r="K83" s="742">
        <v>46102</v>
      </c>
      <c r="L83" s="502" t="s">
        <v>67</v>
      </c>
      <c r="M83" s="481" t="s">
        <v>137</v>
      </c>
      <c r="N83" s="467">
        <v>4</v>
      </c>
      <c r="O83" s="467">
        <v>4</v>
      </c>
      <c r="P83" s="467">
        <v>4</v>
      </c>
      <c r="Q83" s="200">
        <f t="shared" si="6"/>
        <v>1</v>
      </c>
      <c r="R83" s="201"/>
      <c r="S83" s="201" t="str">
        <f t="shared" si="5"/>
        <v>Switch</v>
      </c>
      <c r="T83" s="508">
        <f>$H$83</f>
        <v>46122</v>
      </c>
      <c r="U83" s="508">
        <f>$J$83</f>
        <v>46102</v>
      </c>
    </row>
    <row r="84" spans="1:21" ht="21" customHeight="1">
      <c r="A84" s="788" t="s">
        <v>139</v>
      </c>
      <c r="B84" s="813" t="s">
        <v>140</v>
      </c>
      <c r="C84" s="370">
        <v>1</v>
      </c>
      <c r="D84" s="363" t="s">
        <v>38</v>
      </c>
      <c r="E84" s="476" t="s">
        <v>39</v>
      </c>
      <c r="F84" s="528">
        <v>0</v>
      </c>
      <c r="G84" s="353">
        <v>1</v>
      </c>
      <c r="H84" s="885">
        <v>46122</v>
      </c>
      <c r="I84" s="885">
        <f>H84+2</f>
        <v>46124</v>
      </c>
      <c r="J84" s="885"/>
      <c r="K84" s="896"/>
      <c r="L84" s="888"/>
      <c r="M84" s="918" t="s">
        <v>141</v>
      </c>
      <c r="N84" s="467">
        <v>0</v>
      </c>
      <c r="O84" s="467">
        <v>0</v>
      </c>
      <c r="P84" s="467">
        <v>0</v>
      </c>
      <c r="Q84" s="200">
        <f>IF($G84=0,1,(N84+O84+P84)/($G84*3))</f>
        <v>0</v>
      </c>
      <c r="R84" s="201"/>
      <c r="S84" s="201" t="str">
        <f t="shared" si="5"/>
        <v>Switch</v>
      </c>
      <c r="T84" s="508">
        <f>$H$83</f>
        <v>46122</v>
      </c>
      <c r="U84" s="508">
        <f>$J$83</f>
        <v>46102</v>
      </c>
    </row>
    <row r="85" spans="1:21" ht="42" customHeight="1">
      <c r="A85" s="790"/>
      <c r="B85" s="814"/>
      <c r="C85" s="353">
        <v>1</v>
      </c>
      <c r="D85" s="363" t="s">
        <v>42</v>
      </c>
      <c r="E85" s="477" t="s">
        <v>43</v>
      </c>
      <c r="F85" s="471">
        <v>1</v>
      </c>
      <c r="G85" s="353">
        <v>1</v>
      </c>
      <c r="H85" s="893"/>
      <c r="I85" s="893"/>
      <c r="J85" s="893"/>
      <c r="K85" s="897"/>
      <c r="L85" s="920"/>
      <c r="M85" s="919"/>
      <c r="N85" s="467">
        <v>0</v>
      </c>
      <c r="O85" s="467">
        <v>0</v>
      </c>
      <c r="P85" s="467">
        <v>0</v>
      </c>
      <c r="Q85" s="200">
        <f t="shared" ref="Q85:Q89" si="7">IF($G85=0,1,(N85+O85+P85)/($G85*3))</f>
        <v>0</v>
      </c>
      <c r="R85" s="201"/>
      <c r="S85" s="201" t="str">
        <f t="shared" si="5"/>
        <v>Switch</v>
      </c>
      <c r="T85" s="508">
        <f>$H$84</f>
        <v>46122</v>
      </c>
      <c r="U85" s="508">
        <f>$J$84</f>
        <v>0</v>
      </c>
    </row>
    <row r="86" spans="1:21" ht="21" customHeight="1">
      <c r="A86" s="371" t="s">
        <v>142</v>
      </c>
      <c r="B86" s="372"/>
      <c r="C86" s="372"/>
      <c r="D86" s="372"/>
      <c r="E86" s="483"/>
      <c r="F86" s="372"/>
      <c r="G86" s="372"/>
      <c r="H86" s="506"/>
      <c r="I86" s="506"/>
      <c r="J86" s="506"/>
      <c r="K86" s="503"/>
      <c r="L86" s="503"/>
      <c r="M86" s="484"/>
      <c r="N86" s="485"/>
      <c r="O86" s="485"/>
      <c r="P86" s="485"/>
      <c r="Q86" s="486"/>
      <c r="R86" s="485"/>
      <c r="S86" s="485"/>
      <c r="T86" s="508"/>
      <c r="U86" s="508"/>
    </row>
    <row r="87" spans="1:21" ht="21" customHeight="1">
      <c r="A87" s="894" t="s">
        <v>113</v>
      </c>
      <c r="B87" s="791" t="s">
        <v>143</v>
      </c>
      <c r="C87" s="837">
        <v>2</v>
      </c>
      <c r="D87" s="373" t="s">
        <v>38</v>
      </c>
      <c r="E87" s="476" t="s">
        <v>39</v>
      </c>
      <c r="F87" s="487" t="s">
        <v>40</v>
      </c>
      <c r="G87" s="353">
        <v>0</v>
      </c>
      <c r="H87" s="885">
        <v>46113</v>
      </c>
      <c r="I87" s="885">
        <v>46093</v>
      </c>
      <c r="J87" s="885"/>
      <c r="K87" s="896"/>
      <c r="L87" s="888"/>
      <c r="M87" s="813" t="s">
        <v>144</v>
      </c>
      <c r="N87" s="467">
        <v>0</v>
      </c>
      <c r="O87" s="467">
        <v>0</v>
      </c>
      <c r="P87" s="467">
        <v>0</v>
      </c>
      <c r="Q87" s="200">
        <f t="shared" si="7"/>
        <v>1</v>
      </c>
      <c r="R87" s="201"/>
      <c r="S87" s="201" t="str">
        <f t="shared" si="5"/>
        <v>Switch</v>
      </c>
      <c r="T87" s="508">
        <f>$H$87</f>
        <v>46113</v>
      </c>
      <c r="U87" s="508">
        <f>$J$87</f>
        <v>0</v>
      </c>
    </row>
    <row r="88" spans="1:21" ht="21" customHeight="1">
      <c r="A88" s="895"/>
      <c r="B88" s="792"/>
      <c r="C88" s="838"/>
      <c r="D88" s="364" t="s">
        <v>42</v>
      </c>
      <c r="E88" s="488" t="s">
        <v>43</v>
      </c>
      <c r="F88" s="489" t="s">
        <v>40</v>
      </c>
      <c r="G88" s="353">
        <v>2</v>
      </c>
      <c r="H88" s="893"/>
      <c r="I88" s="893"/>
      <c r="J88" s="893"/>
      <c r="K88" s="887"/>
      <c r="L88" s="878"/>
      <c r="M88" s="814"/>
      <c r="N88" s="467">
        <v>0</v>
      </c>
      <c r="O88" s="467">
        <v>0</v>
      </c>
      <c r="P88" s="467">
        <v>0</v>
      </c>
      <c r="Q88" s="200">
        <f t="shared" si="7"/>
        <v>0</v>
      </c>
      <c r="R88" s="201"/>
      <c r="S88" s="201" t="str">
        <f t="shared" si="5"/>
        <v>Switch</v>
      </c>
      <c r="T88" s="508">
        <f>$H$87</f>
        <v>46113</v>
      </c>
      <c r="U88" s="508">
        <f>$J$87</f>
        <v>0</v>
      </c>
    </row>
    <row r="89" spans="1:21" s="538" customFormat="1" ht="42" customHeight="1">
      <c r="A89" s="625" t="s">
        <v>74</v>
      </c>
      <c r="B89" s="626" t="s">
        <v>145</v>
      </c>
      <c r="C89" s="627">
        <v>2</v>
      </c>
      <c r="D89" s="628" t="s">
        <v>38</v>
      </c>
      <c r="E89" s="629" t="s">
        <v>39</v>
      </c>
      <c r="F89" s="630" t="s">
        <v>40</v>
      </c>
      <c r="G89" s="631">
        <v>1</v>
      </c>
      <c r="H89" s="507">
        <v>46078</v>
      </c>
      <c r="I89" s="507">
        <v>46081</v>
      </c>
      <c r="J89" s="507"/>
      <c r="K89" s="507">
        <v>46080</v>
      </c>
      <c r="L89" s="502" t="s">
        <v>67</v>
      </c>
      <c r="M89" s="622" t="s">
        <v>144</v>
      </c>
      <c r="N89" s="632">
        <v>1</v>
      </c>
      <c r="O89" s="632">
        <v>1</v>
      </c>
      <c r="P89" s="632">
        <v>1</v>
      </c>
      <c r="Q89" s="7">
        <f t="shared" si="7"/>
        <v>1</v>
      </c>
      <c r="R89" s="8"/>
      <c r="S89" s="201" t="str">
        <f t="shared" si="5"/>
        <v>Switch</v>
      </c>
      <c r="T89" s="537">
        <f>$H$89</f>
        <v>46078</v>
      </c>
      <c r="U89" s="537">
        <f>$J$89</f>
        <v>0</v>
      </c>
    </row>
    <row r="90" spans="1:21" ht="21" customHeight="1">
      <c r="E90" s="490" t="s">
        <v>146</v>
      </c>
      <c r="F90" s="194">
        <f>SUM(F3:F89)</f>
        <v>193</v>
      </c>
      <c r="G90" s="194">
        <f>SUM(G3:G89)</f>
        <v>193</v>
      </c>
      <c r="M90" s="194"/>
      <c r="N90" s="224">
        <f>SUM(N3:N89)/G90</f>
        <v>0.81865284974093266</v>
      </c>
      <c r="O90" s="224">
        <f>SUM(O3:O89)/G90</f>
        <v>0.81865284974093266</v>
      </c>
      <c r="P90" s="224">
        <f>SUM(P3:P89)/G90</f>
        <v>0.79274611398963735</v>
      </c>
      <c r="Q90" s="225"/>
    </row>
    <row r="91" spans="1:21" ht="21">
      <c r="M91" s="194"/>
      <c r="N91" s="491">
        <f>SUM(N3:N89)</f>
        <v>158</v>
      </c>
      <c r="O91" s="491">
        <f>SUM(O3:O89)</f>
        <v>158</v>
      </c>
      <c r="P91" s="491">
        <f>SUM(P3:P89)</f>
        <v>153</v>
      </c>
      <c r="Q91" s="491"/>
    </row>
    <row r="92" spans="1:21" ht="21">
      <c r="M92" s="493" t="s">
        <v>147</v>
      </c>
    </row>
    <row r="93" spans="1:21" ht="21">
      <c r="M93" s="494">
        <f>SUM(P17:P89)</f>
        <v>137</v>
      </c>
    </row>
    <row r="94" spans="1:21" ht="21">
      <c r="M94" s="495">
        <f>M93/170</f>
        <v>0.80588235294117649</v>
      </c>
    </row>
    <row r="95" spans="1:21" ht="24" customHeight="1">
      <c r="N95" s="194">
        <v>170</v>
      </c>
    </row>
    <row r="96" spans="1:21" ht="24" customHeight="1">
      <c r="N96" s="722">
        <f>N95-M93</f>
        <v>33</v>
      </c>
    </row>
  </sheetData>
  <autoFilter ref="A1:U96" xr:uid="{EE30FD31-2E01-4AF4-9806-0C27F692DB33}">
    <filterColumn colId="7" showButton="0"/>
  </autoFilter>
  <mergeCells count="243"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20"/>
  <sheetViews>
    <sheetView zoomScale="80" zoomScaleNormal="80" workbookViewId="0">
      <pane ySplit="1" topLeftCell="A80" activePane="bottomLeft" state="frozen"/>
      <selection pane="bottomLeft" activeCell="D117" sqref="D2:D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 ht="21">
      <c r="A1" s="386" t="s">
        <v>15</v>
      </c>
      <c r="B1" s="734" t="s">
        <v>17</v>
      </c>
      <c r="C1" s="744" t="s">
        <v>16</v>
      </c>
      <c r="D1" s="731" t="s">
        <v>148</v>
      </c>
      <c r="E1" s="743" t="s">
        <v>149</v>
      </c>
      <c r="F1" s="743" t="s">
        <v>150</v>
      </c>
      <c r="G1" s="743" t="s">
        <v>151</v>
      </c>
      <c r="H1" s="754" t="s">
        <v>152</v>
      </c>
      <c r="I1" s="498" t="s">
        <v>23</v>
      </c>
      <c r="J1" s="498" t="s">
        <v>24</v>
      </c>
      <c r="K1" s="731" t="s">
        <v>148</v>
      </c>
      <c r="L1" s="743" t="s">
        <v>149</v>
      </c>
      <c r="M1" s="743" t="s">
        <v>150</v>
      </c>
      <c r="N1" s="743" t="s">
        <v>151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 ht="21">
      <c r="A2" s="930" t="s">
        <v>74</v>
      </c>
      <c r="B2" s="926">
        <v>1</v>
      </c>
      <c r="C2" s="79" t="s">
        <v>153</v>
      </c>
      <c r="D2" s="8">
        <v>1</v>
      </c>
      <c r="E2" s="8">
        <v>1</v>
      </c>
      <c r="F2" s="387">
        <v>0</v>
      </c>
      <c r="G2" s="767" t="s">
        <v>154</v>
      </c>
      <c r="H2" s="933">
        <v>244403</v>
      </c>
      <c r="I2" s="497"/>
      <c r="J2" s="497"/>
      <c r="K2" s="8">
        <v>1</v>
      </c>
      <c r="L2" s="8">
        <v>1</v>
      </c>
      <c r="M2" s="387">
        <v>0</v>
      </c>
      <c r="N2" s="767" t="s">
        <v>154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 ht="21">
      <c r="A3" s="930"/>
      <c r="B3" s="926"/>
      <c r="C3" s="79" t="s">
        <v>155</v>
      </c>
      <c r="D3" s="8">
        <v>1</v>
      </c>
      <c r="E3" s="8">
        <v>1</v>
      </c>
      <c r="F3" s="387">
        <v>0</v>
      </c>
      <c r="G3" s="767" t="s">
        <v>154</v>
      </c>
      <c r="H3" s="934"/>
      <c r="I3" s="79"/>
      <c r="J3" s="79"/>
      <c r="K3" s="8">
        <v>1</v>
      </c>
      <c r="L3" s="8">
        <v>1</v>
      </c>
      <c r="M3" s="387">
        <v>0</v>
      </c>
      <c r="N3" s="767" t="s">
        <v>154</v>
      </c>
      <c r="O3" s="8">
        <v>1</v>
      </c>
      <c r="P3" s="8">
        <v>1</v>
      </c>
      <c r="Q3" s="8">
        <v>1</v>
      </c>
      <c r="R3" s="7">
        <f t="shared" si="0"/>
        <v>1</v>
      </c>
      <c r="S3" s="385"/>
    </row>
    <row r="4" spans="1:19" ht="21">
      <c r="A4" s="930"/>
      <c r="B4" s="926"/>
      <c r="C4" s="79" t="s">
        <v>156</v>
      </c>
      <c r="D4" s="8">
        <v>1</v>
      </c>
      <c r="E4" s="8">
        <v>1</v>
      </c>
      <c r="F4" s="387">
        <v>0</v>
      </c>
      <c r="G4" s="767" t="s">
        <v>154</v>
      </c>
      <c r="H4" s="934"/>
      <c r="I4" s="79"/>
      <c r="J4" s="79"/>
      <c r="K4" s="8">
        <v>1</v>
      </c>
      <c r="L4" s="8">
        <v>1</v>
      </c>
      <c r="M4" s="387">
        <v>0</v>
      </c>
      <c r="N4" s="767" t="s">
        <v>154</v>
      </c>
      <c r="O4" s="8">
        <v>1</v>
      </c>
      <c r="P4" s="8">
        <v>1</v>
      </c>
      <c r="Q4" s="8">
        <v>1</v>
      </c>
      <c r="R4" s="7">
        <f t="shared" si="0"/>
        <v>1</v>
      </c>
      <c r="S4" s="385"/>
    </row>
    <row r="5" spans="1:19" ht="21">
      <c r="A5" s="930"/>
      <c r="B5" s="926"/>
      <c r="C5" s="79" t="s">
        <v>157</v>
      </c>
      <c r="D5" s="8">
        <v>1</v>
      </c>
      <c r="E5" s="8">
        <v>1</v>
      </c>
      <c r="F5" s="387">
        <v>0</v>
      </c>
      <c r="G5" s="767" t="s">
        <v>154</v>
      </c>
      <c r="H5" s="934"/>
      <c r="I5" s="79"/>
      <c r="J5" s="79"/>
      <c r="K5" s="8">
        <v>1</v>
      </c>
      <c r="L5" s="8">
        <v>1</v>
      </c>
      <c r="M5" s="387">
        <v>0</v>
      </c>
      <c r="N5" s="767" t="s">
        <v>154</v>
      </c>
      <c r="O5" s="8">
        <v>1</v>
      </c>
      <c r="P5" s="8">
        <v>1</v>
      </c>
      <c r="Q5" s="8">
        <v>1</v>
      </c>
      <c r="R5" s="7">
        <f t="shared" si="0"/>
        <v>1</v>
      </c>
      <c r="S5" s="385"/>
    </row>
    <row r="6" spans="1:19" ht="21">
      <c r="A6" s="930"/>
      <c r="B6" s="926"/>
      <c r="C6" s="79" t="s">
        <v>158</v>
      </c>
      <c r="D6" s="8">
        <v>1</v>
      </c>
      <c r="E6" s="8">
        <v>1</v>
      </c>
      <c r="F6" s="387">
        <v>0</v>
      </c>
      <c r="G6" s="767" t="s">
        <v>154</v>
      </c>
      <c r="H6" s="934"/>
      <c r="I6" s="79"/>
      <c r="J6" s="79"/>
      <c r="K6" s="8">
        <v>1</v>
      </c>
      <c r="L6" s="8">
        <v>1</v>
      </c>
      <c r="M6" s="387">
        <v>0</v>
      </c>
      <c r="N6" s="767" t="s">
        <v>154</v>
      </c>
      <c r="O6" s="8">
        <v>1</v>
      </c>
      <c r="P6" s="8">
        <v>1</v>
      </c>
      <c r="Q6" s="8">
        <v>1</v>
      </c>
      <c r="R6" s="7">
        <f t="shared" si="0"/>
        <v>1</v>
      </c>
      <c r="S6" s="385"/>
    </row>
    <row r="7" spans="1:19" ht="21">
      <c r="A7" s="930"/>
      <c r="B7" s="926"/>
      <c r="C7" s="79" t="s">
        <v>159</v>
      </c>
      <c r="D7" s="8">
        <v>1</v>
      </c>
      <c r="E7" s="8">
        <v>1</v>
      </c>
      <c r="F7" s="387">
        <v>0</v>
      </c>
      <c r="G7" s="767" t="s">
        <v>154</v>
      </c>
      <c r="H7" s="934"/>
      <c r="I7" s="79"/>
      <c r="J7" s="79"/>
      <c r="K7" s="8">
        <v>1</v>
      </c>
      <c r="L7" s="8">
        <v>1</v>
      </c>
      <c r="M7" s="387">
        <v>0</v>
      </c>
      <c r="N7" s="767" t="s">
        <v>154</v>
      </c>
      <c r="O7" s="8">
        <v>1</v>
      </c>
      <c r="P7" s="8">
        <v>1</v>
      </c>
      <c r="Q7" s="8">
        <v>1</v>
      </c>
      <c r="R7" s="7">
        <f t="shared" si="0"/>
        <v>1</v>
      </c>
      <c r="S7" s="385"/>
    </row>
    <row r="8" spans="1:19" ht="21">
      <c r="A8" s="930"/>
      <c r="B8" s="926"/>
      <c r="C8" s="79" t="s">
        <v>160</v>
      </c>
      <c r="D8" s="8">
        <v>1</v>
      </c>
      <c r="E8" s="8">
        <v>1</v>
      </c>
      <c r="F8" s="387">
        <v>0</v>
      </c>
      <c r="G8" s="767" t="s">
        <v>154</v>
      </c>
      <c r="H8" s="934"/>
      <c r="I8" s="79"/>
      <c r="J8" s="79"/>
      <c r="K8" s="8">
        <v>1</v>
      </c>
      <c r="L8" s="8">
        <v>1</v>
      </c>
      <c r="M8" s="387">
        <v>0</v>
      </c>
      <c r="N8" s="767" t="s">
        <v>154</v>
      </c>
      <c r="O8" s="8">
        <v>1</v>
      </c>
      <c r="P8" s="8">
        <v>1</v>
      </c>
      <c r="Q8" s="8">
        <v>1</v>
      </c>
      <c r="R8" s="7">
        <f t="shared" si="0"/>
        <v>1</v>
      </c>
      <c r="S8" s="385"/>
    </row>
    <row r="9" spans="1:19" ht="21">
      <c r="A9" s="930"/>
      <c r="B9" s="926"/>
      <c r="C9" s="79" t="s">
        <v>161</v>
      </c>
      <c r="D9" s="8">
        <v>1</v>
      </c>
      <c r="E9" s="8">
        <v>1</v>
      </c>
      <c r="F9" s="387">
        <v>0</v>
      </c>
      <c r="G9" s="767" t="s">
        <v>154</v>
      </c>
      <c r="H9" s="934"/>
      <c r="I9" s="79"/>
      <c r="J9" s="79"/>
      <c r="K9" s="8">
        <v>1</v>
      </c>
      <c r="L9" s="8">
        <v>1</v>
      </c>
      <c r="M9" s="387">
        <v>0</v>
      </c>
      <c r="N9" s="767" t="s">
        <v>154</v>
      </c>
      <c r="O9" s="8">
        <v>1</v>
      </c>
      <c r="P9" s="8">
        <v>1</v>
      </c>
      <c r="Q9" s="8">
        <v>1</v>
      </c>
      <c r="R9" s="7">
        <f t="shared" si="0"/>
        <v>1</v>
      </c>
      <c r="S9" s="385"/>
    </row>
    <row r="10" spans="1:19" ht="21">
      <c r="A10" s="930"/>
      <c r="B10" s="926"/>
      <c r="C10" s="79" t="s">
        <v>162</v>
      </c>
      <c r="D10" s="8">
        <v>1</v>
      </c>
      <c r="E10" s="8">
        <v>1</v>
      </c>
      <c r="F10" s="387">
        <v>0</v>
      </c>
      <c r="G10" s="767" t="s">
        <v>154</v>
      </c>
      <c r="H10" s="935"/>
      <c r="I10" s="79"/>
      <c r="J10" s="79"/>
      <c r="K10" s="8">
        <v>1</v>
      </c>
      <c r="L10" s="8">
        <v>1</v>
      </c>
      <c r="M10" s="387">
        <v>0</v>
      </c>
      <c r="N10" s="767" t="s">
        <v>154</v>
      </c>
      <c r="O10" s="8">
        <v>1</v>
      </c>
      <c r="P10" s="8">
        <v>1</v>
      </c>
      <c r="Q10" s="8">
        <v>1</v>
      </c>
      <c r="R10" s="7">
        <f t="shared" si="0"/>
        <v>1</v>
      </c>
      <c r="S10" s="385"/>
    </row>
    <row r="11" spans="1:19" ht="21">
      <c r="A11" s="930"/>
      <c r="B11" s="926">
        <v>2</v>
      </c>
      <c r="C11" s="79" t="s">
        <v>163</v>
      </c>
      <c r="D11" s="8">
        <v>2</v>
      </c>
      <c r="E11" s="8">
        <v>2</v>
      </c>
      <c r="F11" s="387">
        <v>0</v>
      </c>
      <c r="G11" s="767" t="s">
        <v>154</v>
      </c>
      <c r="H11" s="922">
        <v>46082</v>
      </c>
      <c r="I11" s="79"/>
      <c r="J11" s="79"/>
      <c r="K11" s="8">
        <v>2</v>
      </c>
      <c r="L11" s="8">
        <v>2</v>
      </c>
      <c r="M11" s="387">
        <v>0</v>
      </c>
      <c r="N11" s="767" t="s">
        <v>154</v>
      </c>
      <c r="O11" s="8">
        <v>2</v>
      </c>
      <c r="P11" s="8">
        <v>2</v>
      </c>
      <c r="Q11" s="8">
        <v>2</v>
      </c>
      <c r="R11" s="7">
        <f t="shared" si="0"/>
        <v>1</v>
      </c>
      <c r="S11" s="385"/>
    </row>
    <row r="12" spans="1:19" ht="21">
      <c r="A12" s="930"/>
      <c r="B12" s="926"/>
      <c r="C12" s="79" t="s">
        <v>164</v>
      </c>
      <c r="D12" s="8">
        <v>1</v>
      </c>
      <c r="E12" s="8">
        <v>1</v>
      </c>
      <c r="F12" s="387">
        <v>0</v>
      </c>
      <c r="G12" s="767" t="s">
        <v>154</v>
      </c>
      <c r="H12" s="924"/>
      <c r="I12" s="79"/>
      <c r="J12" s="79"/>
      <c r="K12" s="8">
        <v>1</v>
      </c>
      <c r="L12" s="8">
        <v>1</v>
      </c>
      <c r="M12" s="387">
        <v>0</v>
      </c>
      <c r="N12" s="767" t="s">
        <v>154</v>
      </c>
      <c r="O12" s="8">
        <v>1</v>
      </c>
      <c r="P12" s="8">
        <v>1</v>
      </c>
      <c r="Q12" s="8">
        <v>1</v>
      </c>
      <c r="R12" s="7">
        <f t="shared" si="0"/>
        <v>1</v>
      </c>
      <c r="S12" s="385"/>
    </row>
    <row r="13" spans="1:19" ht="21">
      <c r="A13" s="930"/>
      <c r="B13" s="926"/>
      <c r="C13" s="79" t="s">
        <v>165</v>
      </c>
      <c r="D13" s="8">
        <v>1</v>
      </c>
      <c r="E13" s="8">
        <v>1</v>
      </c>
      <c r="F13" s="387">
        <v>0</v>
      </c>
      <c r="G13" s="767" t="s">
        <v>154</v>
      </c>
      <c r="H13" s="924"/>
      <c r="I13" s="79"/>
      <c r="J13" s="79"/>
      <c r="K13" s="8">
        <v>1</v>
      </c>
      <c r="L13" s="8">
        <v>1</v>
      </c>
      <c r="M13" s="387">
        <v>0</v>
      </c>
      <c r="N13" s="767" t="s">
        <v>154</v>
      </c>
      <c r="O13" s="8">
        <v>1</v>
      </c>
      <c r="P13" s="8">
        <v>1</v>
      </c>
      <c r="Q13" s="8">
        <v>1</v>
      </c>
      <c r="R13" s="7">
        <f t="shared" si="0"/>
        <v>1</v>
      </c>
      <c r="S13" s="385"/>
    </row>
    <row r="14" spans="1:19" ht="21">
      <c r="A14" s="930"/>
      <c r="B14" s="926"/>
      <c r="C14" s="79" t="s">
        <v>166</v>
      </c>
      <c r="D14" s="8">
        <v>1</v>
      </c>
      <c r="E14" s="8">
        <v>1</v>
      </c>
      <c r="F14" s="387">
        <v>0</v>
      </c>
      <c r="G14" s="767" t="s">
        <v>154</v>
      </c>
      <c r="H14" s="924"/>
      <c r="I14" s="79"/>
      <c r="J14" s="79"/>
      <c r="K14" s="8">
        <v>1</v>
      </c>
      <c r="L14" s="8">
        <v>1</v>
      </c>
      <c r="M14" s="387">
        <v>0</v>
      </c>
      <c r="N14" s="767" t="s">
        <v>154</v>
      </c>
      <c r="O14" s="8">
        <v>1</v>
      </c>
      <c r="P14" s="8">
        <v>1</v>
      </c>
      <c r="Q14" s="8">
        <v>1</v>
      </c>
      <c r="R14" s="7">
        <f t="shared" si="0"/>
        <v>1</v>
      </c>
      <c r="S14" s="385"/>
    </row>
    <row r="15" spans="1:19" ht="21">
      <c r="A15" s="930"/>
      <c r="B15" s="926"/>
      <c r="C15" s="79" t="s">
        <v>167</v>
      </c>
      <c r="D15" s="8">
        <v>2</v>
      </c>
      <c r="E15" s="8">
        <v>2</v>
      </c>
      <c r="F15" s="387">
        <v>0</v>
      </c>
      <c r="G15" s="767" t="s">
        <v>154</v>
      </c>
      <c r="H15" s="924"/>
      <c r="I15" s="79"/>
      <c r="J15" s="79"/>
      <c r="K15" s="8">
        <v>2</v>
      </c>
      <c r="L15" s="8">
        <v>2</v>
      </c>
      <c r="M15" s="387">
        <v>0</v>
      </c>
      <c r="N15" s="767" t="s">
        <v>154</v>
      </c>
      <c r="O15" s="8">
        <v>2</v>
      </c>
      <c r="P15" s="8">
        <v>2</v>
      </c>
      <c r="Q15" s="8">
        <v>2</v>
      </c>
      <c r="R15" s="7">
        <f t="shared" si="0"/>
        <v>1</v>
      </c>
      <c r="S15" s="385"/>
    </row>
    <row r="16" spans="1:19" ht="21">
      <c r="A16" s="930"/>
      <c r="B16" s="926"/>
      <c r="C16" s="79" t="s">
        <v>168</v>
      </c>
      <c r="D16" s="8">
        <v>1</v>
      </c>
      <c r="E16" s="8">
        <v>1</v>
      </c>
      <c r="F16" s="387">
        <v>0</v>
      </c>
      <c r="G16" s="767" t="s">
        <v>154</v>
      </c>
      <c r="H16" s="924"/>
      <c r="I16" s="79"/>
      <c r="J16" s="79"/>
      <c r="K16" s="8">
        <v>1</v>
      </c>
      <c r="L16" s="8">
        <v>1</v>
      </c>
      <c r="M16" s="387">
        <v>0</v>
      </c>
      <c r="N16" s="767" t="s">
        <v>154</v>
      </c>
      <c r="O16" s="8">
        <v>1</v>
      </c>
      <c r="P16" s="8">
        <v>1</v>
      </c>
      <c r="Q16" s="8">
        <v>1</v>
      </c>
      <c r="R16" s="7">
        <f t="shared" si="0"/>
        <v>1</v>
      </c>
      <c r="S16" s="385"/>
    </row>
    <row r="17" spans="1:19" ht="21">
      <c r="A17" s="930"/>
      <c r="B17" s="926"/>
      <c r="C17" s="79" t="s">
        <v>169</v>
      </c>
      <c r="D17" s="8">
        <v>1</v>
      </c>
      <c r="E17" s="8">
        <v>1</v>
      </c>
      <c r="F17" s="387">
        <v>0</v>
      </c>
      <c r="G17" s="767" t="s">
        <v>154</v>
      </c>
      <c r="H17" s="924"/>
      <c r="I17" s="79"/>
      <c r="J17" s="79"/>
      <c r="K17" s="8">
        <v>1</v>
      </c>
      <c r="L17" s="8">
        <v>1</v>
      </c>
      <c r="M17" s="387">
        <v>0</v>
      </c>
      <c r="N17" s="767" t="s">
        <v>154</v>
      </c>
      <c r="O17" s="8">
        <v>1</v>
      </c>
      <c r="P17" s="8">
        <v>1</v>
      </c>
      <c r="Q17" s="8">
        <v>1</v>
      </c>
      <c r="R17" s="7">
        <f t="shared" si="0"/>
        <v>1</v>
      </c>
      <c r="S17" s="385"/>
    </row>
    <row r="18" spans="1:19" ht="21">
      <c r="A18" s="930"/>
      <c r="B18" s="926"/>
      <c r="C18" s="79" t="s">
        <v>170</v>
      </c>
      <c r="D18" s="8">
        <v>1</v>
      </c>
      <c r="E18" s="8">
        <v>1</v>
      </c>
      <c r="F18" s="387">
        <v>0</v>
      </c>
      <c r="G18" s="767" t="s">
        <v>154</v>
      </c>
      <c r="H18" s="924"/>
      <c r="I18" s="79"/>
      <c r="J18" s="79"/>
      <c r="K18" s="8">
        <v>1</v>
      </c>
      <c r="L18" s="8">
        <v>1</v>
      </c>
      <c r="M18" s="387">
        <v>0</v>
      </c>
      <c r="N18" s="767" t="s">
        <v>154</v>
      </c>
      <c r="O18" s="8">
        <v>1</v>
      </c>
      <c r="P18" s="8">
        <v>1</v>
      </c>
      <c r="Q18" s="8">
        <v>1</v>
      </c>
      <c r="R18" s="7">
        <f t="shared" si="0"/>
        <v>1</v>
      </c>
      <c r="S18" s="385"/>
    </row>
    <row r="19" spans="1:19" ht="21">
      <c r="A19" s="930"/>
      <c r="B19" s="926"/>
      <c r="C19" s="79" t="s">
        <v>171</v>
      </c>
      <c r="D19" s="8">
        <v>1</v>
      </c>
      <c r="E19" s="8">
        <v>1</v>
      </c>
      <c r="F19" s="387">
        <v>0</v>
      </c>
      <c r="G19" s="767" t="s">
        <v>154</v>
      </c>
      <c r="H19" s="924"/>
      <c r="I19" s="79"/>
      <c r="J19" s="79"/>
      <c r="K19" s="8">
        <v>1</v>
      </c>
      <c r="L19" s="8">
        <v>1</v>
      </c>
      <c r="M19" s="387">
        <v>0</v>
      </c>
      <c r="N19" s="767" t="s">
        <v>154</v>
      </c>
      <c r="O19" s="8">
        <v>1</v>
      </c>
      <c r="P19" s="8">
        <v>1</v>
      </c>
      <c r="Q19" s="8">
        <v>1</v>
      </c>
      <c r="R19" s="7">
        <f t="shared" si="0"/>
        <v>1</v>
      </c>
      <c r="S19" s="385"/>
    </row>
    <row r="20" spans="1:19" ht="21">
      <c r="A20" s="930"/>
      <c r="B20" s="926"/>
      <c r="C20" s="79" t="s">
        <v>172</v>
      </c>
      <c r="D20" s="8">
        <v>1</v>
      </c>
      <c r="E20" s="8">
        <v>1</v>
      </c>
      <c r="F20" s="387">
        <v>0</v>
      </c>
      <c r="G20" s="767" t="s">
        <v>154</v>
      </c>
      <c r="H20" s="924"/>
      <c r="I20" s="79"/>
      <c r="J20" s="79"/>
      <c r="K20" s="8">
        <v>1</v>
      </c>
      <c r="L20" s="8">
        <v>1</v>
      </c>
      <c r="M20" s="387">
        <v>0</v>
      </c>
      <c r="N20" s="767" t="s">
        <v>154</v>
      </c>
      <c r="O20" s="8">
        <v>1</v>
      </c>
      <c r="P20" s="8">
        <v>1</v>
      </c>
      <c r="Q20" s="8">
        <v>1</v>
      </c>
      <c r="R20" s="7">
        <f t="shared" si="0"/>
        <v>1</v>
      </c>
      <c r="S20" s="385"/>
    </row>
    <row r="21" spans="1:19" ht="21">
      <c r="A21" s="930"/>
      <c r="B21" s="926"/>
      <c r="C21" s="79" t="s">
        <v>173</v>
      </c>
      <c r="D21" s="8">
        <v>1</v>
      </c>
      <c r="E21" s="8">
        <v>1</v>
      </c>
      <c r="F21" s="387">
        <v>0</v>
      </c>
      <c r="G21" s="767" t="s">
        <v>154</v>
      </c>
      <c r="H21" s="924"/>
      <c r="I21" s="79"/>
      <c r="J21" s="79"/>
      <c r="K21" s="8">
        <v>1</v>
      </c>
      <c r="L21" s="8">
        <v>1</v>
      </c>
      <c r="M21" s="387">
        <v>0</v>
      </c>
      <c r="N21" s="767" t="s">
        <v>154</v>
      </c>
      <c r="O21" s="8">
        <v>1</v>
      </c>
      <c r="P21" s="8">
        <v>1</v>
      </c>
      <c r="Q21" s="8">
        <v>1</v>
      </c>
      <c r="R21" s="7">
        <f t="shared" si="0"/>
        <v>1</v>
      </c>
      <c r="S21" s="385"/>
    </row>
    <row r="22" spans="1:19" ht="21">
      <c r="A22" s="930"/>
      <c r="B22" s="926"/>
      <c r="C22" s="79" t="s">
        <v>174</v>
      </c>
      <c r="D22" s="8">
        <v>2</v>
      </c>
      <c r="E22" s="8">
        <v>2</v>
      </c>
      <c r="F22" s="387">
        <v>0</v>
      </c>
      <c r="G22" s="767" t="s">
        <v>154</v>
      </c>
      <c r="H22" s="924"/>
      <c r="I22" s="79"/>
      <c r="J22" s="79"/>
      <c r="K22" s="8">
        <v>2</v>
      </c>
      <c r="L22" s="8">
        <v>2</v>
      </c>
      <c r="M22" s="387">
        <v>0</v>
      </c>
      <c r="N22" s="767" t="s">
        <v>154</v>
      </c>
      <c r="O22" s="8">
        <v>2</v>
      </c>
      <c r="P22" s="8">
        <v>2</v>
      </c>
      <c r="Q22" s="8">
        <v>2</v>
      </c>
      <c r="R22" s="7">
        <f t="shared" si="0"/>
        <v>1</v>
      </c>
      <c r="S22" s="385"/>
    </row>
    <row r="23" spans="1:19" ht="21">
      <c r="A23" s="930"/>
      <c r="B23" s="926"/>
      <c r="C23" s="79" t="s">
        <v>128</v>
      </c>
      <c r="D23" s="8">
        <v>1</v>
      </c>
      <c r="E23" s="8">
        <v>0</v>
      </c>
      <c r="F23" s="387">
        <v>1</v>
      </c>
      <c r="G23" s="767" t="s">
        <v>154</v>
      </c>
      <c r="H23" s="924"/>
      <c r="I23" s="79"/>
      <c r="J23" s="79"/>
      <c r="K23" s="8">
        <v>1</v>
      </c>
      <c r="L23" s="8">
        <v>0</v>
      </c>
      <c r="M23" s="387">
        <v>1</v>
      </c>
      <c r="N23" s="767" t="s">
        <v>154</v>
      </c>
      <c r="O23" s="8">
        <v>1</v>
      </c>
      <c r="P23" s="8">
        <v>1</v>
      </c>
      <c r="Q23" s="8">
        <v>1</v>
      </c>
      <c r="R23" s="7">
        <f t="shared" si="0"/>
        <v>1</v>
      </c>
      <c r="S23" s="385"/>
    </row>
    <row r="24" spans="1:19" ht="21">
      <c r="A24" s="930"/>
      <c r="B24" s="926"/>
      <c r="C24" s="79" t="s">
        <v>175</v>
      </c>
      <c r="D24" s="8">
        <v>1</v>
      </c>
      <c r="E24" s="8">
        <v>0</v>
      </c>
      <c r="F24" s="387">
        <v>1</v>
      </c>
      <c r="G24" s="767" t="s">
        <v>154</v>
      </c>
      <c r="H24" s="924"/>
      <c r="I24" s="79"/>
      <c r="J24" s="79"/>
      <c r="K24" s="8">
        <v>1</v>
      </c>
      <c r="L24" s="8">
        <v>0</v>
      </c>
      <c r="M24" s="387">
        <v>1</v>
      </c>
      <c r="N24" s="767" t="s">
        <v>154</v>
      </c>
      <c r="O24" s="8">
        <v>1</v>
      </c>
      <c r="P24" s="8">
        <v>1</v>
      </c>
      <c r="Q24" s="8">
        <v>1</v>
      </c>
      <c r="R24" s="7">
        <f t="shared" si="0"/>
        <v>1</v>
      </c>
      <c r="S24" s="385"/>
    </row>
    <row r="25" spans="1:19" ht="21">
      <c r="A25" s="930"/>
      <c r="B25" s="926"/>
      <c r="C25" s="79" t="s">
        <v>155</v>
      </c>
      <c r="D25" s="8">
        <v>1</v>
      </c>
      <c r="E25" s="8">
        <v>0</v>
      </c>
      <c r="F25" s="387">
        <v>1</v>
      </c>
      <c r="G25" s="767" t="s">
        <v>154</v>
      </c>
      <c r="H25" s="924"/>
      <c r="I25" s="79"/>
      <c r="J25" s="79"/>
      <c r="K25" s="8">
        <v>1</v>
      </c>
      <c r="L25" s="8">
        <v>0</v>
      </c>
      <c r="M25" s="387">
        <v>1</v>
      </c>
      <c r="N25" s="767" t="s">
        <v>154</v>
      </c>
      <c r="O25" s="8">
        <v>1</v>
      </c>
      <c r="P25" s="8">
        <v>1</v>
      </c>
      <c r="Q25" s="8">
        <v>1</v>
      </c>
      <c r="R25" s="7">
        <f t="shared" si="0"/>
        <v>1</v>
      </c>
      <c r="S25" s="385"/>
    </row>
    <row r="26" spans="1:19" ht="21">
      <c r="A26" s="930"/>
      <c r="B26" s="926"/>
      <c r="C26" s="79" t="s">
        <v>176</v>
      </c>
      <c r="D26" s="8">
        <v>1</v>
      </c>
      <c r="E26" s="8">
        <v>0</v>
      </c>
      <c r="F26" s="387">
        <v>1</v>
      </c>
      <c r="G26" s="767" t="s">
        <v>154</v>
      </c>
      <c r="H26" s="925"/>
      <c r="I26" s="79"/>
      <c r="J26" s="79"/>
      <c r="K26" s="8">
        <v>1</v>
      </c>
      <c r="L26" s="8">
        <v>0</v>
      </c>
      <c r="M26" s="387">
        <v>1</v>
      </c>
      <c r="N26" s="767" t="s">
        <v>154</v>
      </c>
      <c r="O26" s="8">
        <v>1</v>
      </c>
      <c r="P26" s="8">
        <v>1</v>
      </c>
      <c r="Q26" s="8">
        <v>1</v>
      </c>
      <c r="R26" s="7">
        <f t="shared" si="0"/>
        <v>1</v>
      </c>
      <c r="S26" s="385"/>
    </row>
    <row r="27" spans="1:19" ht="21">
      <c r="A27" s="930"/>
      <c r="B27" s="926">
        <v>3</v>
      </c>
      <c r="C27" s="79" t="s">
        <v>177</v>
      </c>
      <c r="D27" s="8">
        <v>1</v>
      </c>
      <c r="E27" s="8">
        <v>1</v>
      </c>
      <c r="F27" s="387">
        <v>0</v>
      </c>
      <c r="G27" s="767" t="s">
        <v>154</v>
      </c>
      <c r="H27" s="922">
        <v>46085</v>
      </c>
      <c r="I27" s="79"/>
      <c r="J27" s="79"/>
      <c r="K27" s="8">
        <v>1</v>
      </c>
      <c r="L27" s="8">
        <v>1</v>
      </c>
      <c r="M27" s="387">
        <v>0</v>
      </c>
      <c r="N27" s="767" t="s">
        <v>154</v>
      </c>
      <c r="O27" s="8">
        <v>1</v>
      </c>
      <c r="P27" s="8">
        <v>1</v>
      </c>
      <c r="Q27" s="8">
        <v>1</v>
      </c>
      <c r="R27" s="7">
        <f t="shared" si="0"/>
        <v>1</v>
      </c>
      <c r="S27" s="385"/>
    </row>
    <row r="28" spans="1:19" ht="21">
      <c r="A28" s="930"/>
      <c r="B28" s="926"/>
      <c r="C28" s="79" t="s">
        <v>178</v>
      </c>
      <c r="D28" s="8">
        <v>1</v>
      </c>
      <c r="E28" s="8">
        <v>1</v>
      </c>
      <c r="F28" s="387">
        <v>0</v>
      </c>
      <c r="G28" s="767" t="s">
        <v>154</v>
      </c>
      <c r="H28" s="924"/>
      <c r="I28" s="79"/>
      <c r="J28" s="79"/>
      <c r="K28" s="8">
        <v>1</v>
      </c>
      <c r="L28" s="8">
        <v>1</v>
      </c>
      <c r="M28" s="387">
        <v>0</v>
      </c>
      <c r="N28" s="767" t="s">
        <v>154</v>
      </c>
      <c r="O28" s="8">
        <v>1</v>
      </c>
      <c r="P28" s="8">
        <v>1</v>
      </c>
      <c r="Q28" s="8">
        <v>1</v>
      </c>
      <c r="R28" s="7">
        <f t="shared" si="0"/>
        <v>1</v>
      </c>
      <c r="S28" s="385"/>
    </row>
    <row r="29" spans="1:19" ht="21">
      <c r="A29" s="930"/>
      <c r="B29" s="926"/>
      <c r="C29" s="79" t="s">
        <v>179</v>
      </c>
      <c r="D29" s="8">
        <v>1</v>
      </c>
      <c r="E29" s="8">
        <v>1</v>
      </c>
      <c r="F29" s="387">
        <v>0</v>
      </c>
      <c r="G29" s="767" t="s">
        <v>154</v>
      </c>
      <c r="H29" s="924"/>
      <c r="I29" s="79"/>
      <c r="J29" s="79"/>
      <c r="K29" s="8">
        <v>1</v>
      </c>
      <c r="L29" s="8">
        <v>1</v>
      </c>
      <c r="M29" s="387">
        <v>0</v>
      </c>
      <c r="N29" s="767" t="s">
        <v>154</v>
      </c>
      <c r="O29" s="8">
        <v>1</v>
      </c>
      <c r="P29" s="8">
        <v>1</v>
      </c>
      <c r="Q29" s="8">
        <v>1</v>
      </c>
      <c r="R29" s="7">
        <f t="shared" si="0"/>
        <v>1</v>
      </c>
      <c r="S29" s="385"/>
    </row>
    <row r="30" spans="1:19" ht="21">
      <c r="A30" s="930"/>
      <c r="B30" s="926"/>
      <c r="C30" s="79" t="s">
        <v>180</v>
      </c>
      <c r="D30" s="8">
        <v>1</v>
      </c>
      <c r="E30" s="8">
        <v>1</v>
      </c>
      <c r="F30" s="387">
        <v>0</v>
      </c>
      <c r="G30" s="767" t="s">
        <v>154</v>
      </c>
      <c r="H30" s="924"/>
      <c r="I30" s="79"/>
      <c r="J30" s="79"/>
      <c r="K30" s="8">
        <v>1</v>
      </c>
      <c r="L30" s="8">
        <v>1</v>
      </c>
      <c r="M30" s="387">
        <v>0</v>
      </c>
      <c r="N30" s="767" t="s">
        <v>154</v>
      </c>
      <c r="O30" s="8">
        <v>1</v>
      </c>
      <c r="P30" s="8">
        <v>1</v>
      </c>
      <c r="Q30" s="8">
        <v>1</v>
      </c>
      <c r="R30" s="7">
        <f t="shared" si="0"/>
        <v>1</v>
      </c>
      <c r="S30" s="385"/>
    </row>
    <row r="31" spans="1:19" ht="21">
      <c r="A31" s="930"/>
      <c r="B31" s="926"/>
      <c r="C31" s="79" t="s">
        <v>181</v>
      </c>
      <c r="D31" s="8">
        <v>1</v>
      </c>
      <c r="E31" s="8">
        <v>1</v>
      </c>
      <c r="F31" s="387">
        <v>0</v>
      </c>
      <c r="G31" s="767" t="s">
        <v>154</v>
      </c>
      <c r="H31" s="924"/>
      <c r="I31" s="79"/>
      <c r="J31" s="79"/>
      <c r="K31" s="8">
        <v>1</v>
      </c>
      <c r="L31" s="8">
        <v>1</v>
      </c>
      <c r="M31" s="387">
        <v>0</v>
      </c>
      <c r="N31" s="767" t="s">
        <v>154</v>
      </c>
      <c r="O31" s="8">
        <v>1</v>
      </c>
      <c r="P31" s="8">
        <v>1</v>
      </c>
      <c r="Q31" s="8">
        <v>1</v>
      </c>
      <c r="R31" s="7">
        <f t="shared" si="0"/>
        <v>1</v>
      </c>
      <c r="S31" s="385"/>
    </row>
    <row r="32" spans="1:19" ht="21">
      <c r="A32" s="930"/>
      <c r="B32" s="926"/>
      <c r="C32" s="79" t="s">
        <v>182</v>
      </c>
      <c r="D32" s="8">
        <v>5</v>
      </c>
      <c r="E32" s="8">
        <v>5</v>
      </c>
      <c r="F32" s="387">
        <v>0</v>
      </c>
      <c r="G32" s="767" t="s">
        <v>154</v>
      </c>
      <c r="H32" s="924"/>
      <c r="I32" s="79"/>
      <c r="J32" s="79"/>
      <c r="K32" s="8">
        <v>5</v>
      </c>
      <c r="L32" s="8">
        <v>5</v>
      </c>
      <c r="M32" s="387">
        <v>0</v>
      </c>
      <c r="N32" s="767" t="s">
        <v>154</v>
      </c>
      <c r="O32" s="8">
        <v>5</v>
      </c>
      <c r="P32" s="8">
        <v>5</v>
      </c>
      <c r="Q32" s="8">
        <v>5</v>
      </c>
      <c r="R32" s="7">
        <f t="shared" si="0"/>
        <v>1</v>
      </c>
      <c r="S32" s="385"/>
    </row>
    <row r="33" spans="1:19" ht="21">
      <c r="A33" s="930"/>
      <c r="B33" s="926"/>
      <c r="C33" s="79" t="s">
        <v>183</v>
      </c>
      <c r="D33" s="8">
        <v>3</v>
      </c>
      <c r="E33" s="8">
        <v>3</v>
      </c>
      <c r="F33" s="387">
        <v>0</v>
      </c>
      <c r="G33" s="767" t="s">
        <v>154</v>
      </c>
      <c r="H33" s="924"/>
      <c r="I33" s="79"/>
      <c r="J33" s="79"/>
      <c r="K33" s="8">
        <v>3</v>
      </c>
      <c r="L33" s="8">
        <v>3</v>
      </c>
      <c r="M33" s="387">
        <v>0</v>
      </c>
      <c r="N33" s="767" t="s">
        <v>154</v>
      </c>
      <c r="O33" s="8">
        <v>3</v>
      </c>
      <c r="P33" s="8">
        <v>3</v>
      </c>
      <c r="Q33" s="8">
        <v>3</v>
      </c>
      <c r="R33" s="7">
        <f t="shared" si="0"/>
        <v>1</v>
      </c>
      <c r="S33" s="385"/>
    </row>
    <row r="34" spans="1:19" ht="21">
      <c r="A34" s="930"/>
      <c r="B34" s="926"/>
      <c r="C34" s="79" t="s">
        <v>128</v>
      </c>
      <c r="D34" s="8">
        <v>1</v>
      </c>
      <c r="E34" s="8">
        <v>0</v>
      </c>
      <c r="F34" s="387">
        <v>1</v>
      </c>
      <c r="G34" s="767" t="s">
        <v>154</v>
      </c>
      <c r="H34" s="925"/>
      <c r="I34" s="79"/>
      <c r="J34" s="79"/>
      <c r="K34" s="8">
        <v>1</v>
      </c>
      <c r="L34" s="8">
        <v>0</v>
      </c>
      <c r="M34" s="387">
        <v>1</v>
      </c>
      <c r="N34" s="767" t="s">
        <v>154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5"/>
    </row>
    <row r="35" spans="1:19" ht="21">
      <c r="A35" s="930"/>
      <c r="B35" s="926">
        <v>4</v>
      </c>
      <c r="C35" s="79" t="s">
        <v>184</v>
      </c>
      <c r="D35" s="8">
        <v>3</v>
      </c>
      <c r="E35" s="8">
        <v>3</v>
      </c>
      <c r="F35" s="387">
        <v>0</v>
      </c>
      <c r="G35" s="767" t="s">
        <v>154</v>
      </c>
      <c r="H35" s="927">
        <v>46087</v>
      </c>
      <c r="I35" s="79"/>
      <c r="J35" s="79"/>
      <c r="K35" s="8">
        <v>3</v>
      </c>
      <c r="L35" s="8">
        <v>3</v>
      </c>
      <c r="M35" s="387">
        <v>0</v>
      </c>
      <c r="N35" s="767" t="s">
        <v>154</v>
      </c>
      <c r="O35" s="8">
        <v>3</v>
      </c>
      <c r="P35" s="8">
        <v>3</v>
      </c>
      <c r="Q35" s="8">
        <v>3</v>
      </c>
      <c r="R35" s="7">
        <f t="shared" si="1"/>
        <v>1</v>
      </c>
      <c r="S35" s="385"/>
    </row>
    <row r="36" spans="1:19" ht="21">
      <c r="A36" s="930"/>
      <c r="B36" s="926"/>
      <c r="C36" s="79" t="s">
        <v>185</v>
      </c>
      <c r="D36" s="8">
        <v>8</v>
      </c>
      <c r="E36" s="8">
        <v>8</v>
      </c>
      <c r="F36" s="387">
        <v>0</v>
      </c>
      <c r="G36" s="767" t="s">
        <v>154</v>
      </c>
      <c r="H36" s="928"/>
      <c r="I36" s="79"/>
      <c r="J36" s="79"/>
      <c r="K36" s="8">
        <v>8</v>
      </c>
      <c r="L36" s="8">
        <v>8</v>
      </c>
      <c r="M36" s="387">
        <v>0</v>
      </c>
      <c r="N36" s="767" t="s">
        <v>154</v>
      </c>
      <c r="O36" s="8">
        <v>8</v>
      </c>
      <c r="P36" s="8">
        <v>8</v>
      </c>
      <c r="Q36" s="8">
        <v>8</v>
      </c>
      <c r="R36" s="7">
        <f t="shared" si="1"/>
        <v>1</v>
      </c>
      <c r="S36" s="385"/>
    </row>
    <row r="37" spans="1:19" ht="21">
      <c r="A37" s="930"/>
      <c r="B37" s="926"/>
      <c r="C37" s="79" t="s">
        <v>186</v>
      </c>
      <c r="D37" s="8">
        <v>1</v>
      </c>
      <c r="E37" s="8">
        <v>1</v>
      </c>
      <c r="F37" s="387">
        <v>0</v>
      </c>
      <c r="G37" s="767" t="s">
        <v>154</v>
      </c>
      <c r="H37" s="928"/>
      <c r="I37" s="79"/>
      <c r="J37" s="79"/>
      <c r="K37" s="8">
        <v>1</v>
      </c>
      <c r="L37" s="8">
        <v>1</v>
      </c>
      <c r="M37" s="387">
        <v>0</v>
      </c>
      <c r="N37" s="767" t="s">
        <v>154</v>
      </c>
      <c r="O37" s="8">
        <v>1</v>
      </c>
      <c r="P37" s="8">
        <v>1</v>
      </c>
      <c r="Q37" s="8">
        <v>1</v>
      </c>
      <c r="R37" s="7">
        <f t="shared" si="1"/>
        <v>1</v>
      </c>
      <c r="S37" s="385"/>
    </row>
    <row r="38" spans="1:19" ht="21">
      <c r="A38" s="930"/>
      <c r="B38" s="926"/>
      <c r="C38" s="79" t="s">
        <v>128</v>
      </c>
      <c r="D38" s="8">
        <v>2</v>
      </c>
      <c r="E38" s="8">
        <v>0</v>
      </c>
      <c r="F38" s="387">
        <v>2</v>
      </c>
      <c r="G38" s="767" t="s">
        <v>154</v>
      </c>
      <c r="H38" s="929"/>
      <c r="I38" s="79"/>
      <c r="J38" s="79"/>
      <c r="K38" s="8">
        <v>2</v>
      </c>
      <c r="L38" s="8">
        <v>0</v>
      </c>
      <c r="M38" s="387">
        <v>2</v>
      </c>
      <c r="N38" s="767" t="s">
        <v>154</v>
      </c>
      <c r="O38" s="8">
        <v>2</v>
      </c>
      <c r="P38" s="8">
        <v>2</v>
      </c>
      <c r="Q38" s="8">
        <v>2</v>
      </c>
      <c r="R38" s="7">
        <f t="shared" si="1"/>
        <v>1</v>
      </c>
      <c r="S38" s="385"/>
    </row>
    <row r="39" spans="1:19" ht="21">
      <c r="A39" s="930"/>
      <c r="B39" s="926">
        <v>5</v>
      </c>
      <c r="C39" s="79" t="s">
        <v>187</v>
      </c>
      <c r="D39" s="8">
        <v>1</v>
      </c>
      <c r="E39" s="8">
        <v>1</v>
      </c>
      <c r="F39" s="387">
        <v>0</v>
      </c>
      <c r="G39" s="767" t="s">
        <v>154</v>
      </c>
      <c r="H39" s="927">
        <v>46090</v>
      </c>
      <c r="I39" s="79"/>
      <c r="J39" s="79"/>
      <c r="K39" s="8">
        <v>1</v>
      </c>
      <c r="L39" s="8">
        <v>1</v>
      </c>
      <c r="M39" s="387">
        <v>0</v>
      </c>
      <c r="N39" s="767" t="s">
        <v>154</v>
      </c>
      <c r="O39" s="8">
        <v>1</v>
      </c>
      <c r="P39" s="8">
        <v>1</v>
      </c>
      <c r="Q39" s="8">
        <v>1</v>
      </c>
      <c r="R39" s="7">
        <f t="shared" si="1"/>
        <v>1</v>
      </c>
      <c r="S39" s="385"/>
    </row>
    <row r="40" spans="1:19" ht="21">
      <c r="A40" s="930"/>
      <c r="B40" s="926"/>
      <c r="C40" s="79" t="s">
        <v>188</v>
      </c>
      <c r="D40" s="8">
        <v>1</v>
      </c>
      <c r="E40" s="8">
        <v>1</v>
      </c>
      <c r="F40" s="387">
        <v>0</v>
      </c>
      <c r="G40" s="767" t="s">
        <v>154</v>
      </c>
      <c r="H40" s="928"/>
      <c r="I40" s="79"/>
      <c r="J40" s="79"/>
      <c r="K40" s="8">
        <v>1</v>
      </c>
      <c r="L40" s="8">
        <v>1</v>
      </c>
      <c r="M40" s="387">
        <v>0</v>
      </c>
      <c r="N40" s="767" t="s">
        <v>154</v>
      </c>
      <c r="O40" s="8">
        <v>1</v>
      </c>
      <c r="P40" s="8">
        <v>1</v>
      </c>
      <c r="Q40" s="8">
        <v>1</v>
      </c>
      <c r="R40" s="7">
        <f t="shared" si="1"/>
        <v>1</v>
      </c>
      <c r="S40" s="385"/>
    </row>
    <row r="41" spans="1:19" ht="21">
      <c r="A41" s="930"/>
      <c r="B41" s="926"/>
      <c r="C41" s="79" t="s">
        <v>189</v>
      </c>
      <c r="D41" s="8">
        <v>1</v>
      </c>
      <c r="E41" s="8">
        <v>1</v>
      </c>
      <c r="F41" s="387">
        <v>0</v>
      </c>
      <c r="G41" s="767" t="s">
        <v>154</v>
      </c>
      <c r="H41" s="928"/>
      <c r="I41" s="79"/>
      <c r="J41" s="79"/>
      <c r="K41" s="8">
        <v>1</v>
      </c>
      <c r="L41" s="8">
        <v>1</v>
      </c>
      <c r="M41" s="387">
        <v>0</v>
      </c>
      <c r="N41" s="767" t="s">
        <v>154</v>
      </c>
      <c r="O41" s="8">
        <v>1</v>
      </c>
      <c r="P41" s="8">
        <v>1</v>
      </c>
      <c r="Q41" s="8">
        <v>1</v>
      </c>
      <c r="R41" s="7">
        <f t="shared" si="1"/>
        <v>1</v>
      </c>
      <c r="S41" s="385"/>
    </row>
    <row r="42" spans="1:19" ht="21">
      <c r="A42" s="930"/>
      <c r="B42" s="926"/>
      <c r="C42" s="79" t="s">
        <v>190</v>
      </c>
      <c r="D42" s="8">
        <v>1</v>
      </c>
      <c r="E42" s="8">
        <v>1</v>
      </c>
      <c r="F42" s="387">
        <v>0</v>
      </c>
      <c r="G42" s="767" t="s">
        <v>154</v>
      </c>
      <c r="H42" s="928"/>
      <c r="I42" s="79"/>
      <c r="J42" s="79"/>
      <c r="K42" s="8">
        <v>1</v>
      </c>
      <c r="L42" s="8">
        <v>1</v>
      </c>
      <c r="M42" s="387">
        <v>0</v>
      </c>
      <c r="N42" s="767" t="s">
        <v>154</v>
      </c>
      <c r="O42" s="8">
        <v>1</v>
      </c>
      <c r="P42" s="8">
        <v>1</v>
      </c>
      <c r="Q42" s="8">
        <v>1</v>
      </c>
      <c r="R42" s="7">
        <f t="shared" si="1"/>
        <v>1</v>
      </c>
      <c r="S42" s="385"/>
    </row>
    <row r="43" spans="1:19" ht="21">
      <c r="A43" s="930"/>
      <c r="B43" s="926"/>
      <c r="C43" s="79" t="s">
        <v>191</v>
      </c>
      <c r="D43" s="8">
        <v>1</v>
      </c>
      <c r="E43" s="8">
        <v>1</v>
      </c>
      <c r="F43" s="387">
        <v>0</v>
      </c>
      <c r="G43" s="767" t="s">
        <v>154</v>
      </c>
      <c r="H43" s="928"/>
      <c r="I43" s="79"/>
      <c r="J43" s="79"/>
      <c r="K43" s="8">
        <v>1</v>
      </c>
      <c r="L43" s="8">
        <v>1</v>
      </c>
      <c r="M43" s="387">
        <v>0</v>
      </c>
      <c r="N43" s="767" t="s">
        <v>154</v>
      </c>
      <c r="O43" s="8">
        <v>1</v>
      </c>
      <c r="P43" s="8">
        <v>1</v>
      </c>
      <c r="Q43" s="8">
        <v>1</v>
      </c>
      <c r="R43" s="7">
        <f t="shared" si="1"/>
        <v>1</v>
      </c>
      <c r="S43" s="385"/>
    </row>
    <row r="44" spans="1:19" ht="21">
      <c r="A44" s="930"/>
      <c r="B44" s="926"/>
      <c r="C44" s="79" t="s">
        <v>192</v>
      </c>
      <c r="D44" s="8">
        <v>1</v>
      </c>
      <c r="E44" s="8">
        <v>1</v>
      </c>
      <c r="F44" s="387">
        <v>0</v>
      </c>
      <c r="G44" s="767" t="s">
        <v>154</v>
      </c>
      <c r="H44" s="928"/>
      <c r="I44" s="79"/>
      <c r="J44" s="79"/>
      <c r="K44" s="8">
        <v>1</v>
      </c>
      <c r="L44" s="8">
        <v>1</v>
      </c>
      <c r="M44" s="387">
        <v>0</v>
      </c>
      <c r="N44" s="767" t="s">
        <v>154</v>
      </c>
      <c r="O44" s="8">
        <v>1</v>
      </c>
      <c r="P44" s="8">
        <v>1</v>
      </c>
      <c r="Q44" s="8">
        <v>1</v>
      </c>
      <c r="R44" s="7">
        <f t="shared" si="1"/>
        <v>1</v>
      </c>
      <c r="S44" s="385"/>
    </row>
    <row r="45" spans="1:19" ht="21">
      <c r="A45" s="930"/>
      <c r="B45" s="926"/>
      <c r="C45" s="79" t="s">
        <v>193</v>
      </c>
      <c r="D45" s="8">
        <v>1</v>
      </c>
      <c r="E45" s="8">
        <v>1</v>
      </c>
      <c r="F45" s="387">
        <v>0</v>
      </c>
      <c r="G45" s="767" t="s">
        <v>154</v>
      </c>
      <c r="H45" s="928"/>
      <c r="I45" s="79"/>
      <c r="J45" s="79"/>
      <c r="K45" s="8">
        <v>1</v>
      </c>
      <c r="L45" s="8">
        <v>1</v>
      </c>
      <c r="M45" s="387">
        <v>0</v>
      </c>
      <c r="N45" s="767" t="s">
        <v>154</v>
      </c>
      <c r="O45" s="8">
        <v>1</v>
      </c>
      <c r="P45" s="8">
        <v>1</v>
      </c>
      <c r="Q45" s="8">
        <v>1</v>
      </c>
      <c r="R45" s="7">
        <f t="shared" si="1"/>
        <v>1</v>
      </c>
      <c r="S45" s="385"/>
    </row>
    <row r="46" spans="1:19" ht="21">
      <c r="A46" s="930"/>
      <c r="B46" s="926"/>
      <c r="C46" s="79" t="s">
        <v>194</v>
      </c>
      <c r="D46" s="8">
        <v>1</v>
      </c>
      <c r="E46" s="8">
        <v>1</v>
      </c>
      <c r="F46" s="387">
        <v>0</v>
      </c>
      <c r="G46" s="767" t="s">
        <v>154</v>
      </c>
      <c r="H46" s="928"/>
      <c r="I46" s="79"/>
      <c r="J46" s="79"/>
      <c r="K46" s="8">
        <v>1</v>
      </c>
      <c r="L46" s="8">
        <v>1</v>
      </c>
      <c r="M46" s="387">
        <v>0</v>
      </c>
      <c r="N46" s="767" t="s">
        <v>154</v>
      </c>
      <c r="O46" s="8">
        <v>1</v>
      </c>
      <c r="P46" s="8">
        <v>1</v>
      </c>
      <c r="Q46" s="8">
        <v>1</v>
      </c>
      <c r="R46" s="7">
        <f t="shared" si="1"/>
        <v>1</v>
      </c>
      <c r="S46" s="385"/>
    </row>
    <row r="47" spans="1:19" ht="21">
      <c r="A47" s="930"/>
      <c r="B47" s="926"/>
      <c r="C47" s="79" t="s">
        <v>195</v>
      </c>
      <c r="D47" s="8">
        <v>2</v>
      </c>
      <c r="E47" s="8">
        <v>2</v>
      </c>
      <c r="F47" s="387">
        <v>0</v>
      </c>
      <c r="G47" s="767" t="s">
        <v>154</v>
      </c>
      <c r="H47" s="928"/>
      <c r="I47" s="79"/>
      <c r="J47" s="79"/>
      <c r="K47" s="8">
        <v>2</v>
      </c>
      <c r="L47" s="8">
        <v>2</v>
      </c>
      <c r="M47" s="387">
        <v>0</v>
      </c>
      <c r="N47" s="767" t="s">
        <v>154</v>
      </c>
      <c r="O47" s="8">
        <v>2</v>
      </c>
      <c r="P47" s="8">
        <v>2</v>
      </c>
      <c r="Q47" s="8">
        <v>2</v>
      </c>
      <c r="R47" s="7">
        <f t="shared" si="1"/>
        <v>1</v>
      </c>
      <c r="S47" s="385"/>
    </row>
    <row r="48" spans="1:19" ht="21">
      <c r="A48" s="930"/>
      <c r="B48" s="926"/>
      <c r="C48" s="79" t="s">
        <v>180</v>
      </c>
      <c r="D48" s="8">
        <v>1</v>
      </c>
      <c r="E48" s="8">
        <v>1</v>
      </c>
      <c r="F48" s="387">
        <v>0</v>
      </c>
      <c r="G48" s="767" t="s">
        <v>154</v>
      </c>
      <c r="H48" s="928"/>
      <c r="I48" s="79"/>
      <c r="J48" s="79"/>
      <c r="K48" s="8">
        <v>1</v>
      </c>
      <c r="L48" s="8">
        <v>1</v>
      </c>
      <c r="M48" s="387">
        <v>0</v>
      </c>
      <c r="N48" s="767" t="s">
        <v>154</v>
      </c>
      <c r="O48" s="8">
        <v>1</v>
      </c>
      <c r="P48" s="8">
        <v>1</v>
      </c>
      <c r="Q48" s="8">
        <v>1</v>
      </c>
      <c r="R48" s="7">
        <f t="shared" si="1"/>
        <v>1</v>
      </c>
      <c r="S48" s="385"/>
    </row>
    <row r="49" spans="1:19" ht="21">
      <c r="A49" s="930"/>
      <c r="B49" s="926"/>
      <c r="C49" s="79" t="s">
        <v>128</v>
      </c>
      <c r="D49" s="8">
        <v>2</v>
      </c>
      <c r="E49" s="8">
        <v>0</v>
      </c>
      <c r="F49" s="387">
        <v>2</v>
      </c>
      <c r="G49" s="767" t="s">
        <v>154</v>
      </c>
      <c r="H49" s="929"/>
      <c r="I49" s="79"/>
      <c r="J49" s="79"/>
      <c r="K49" s="8">
        <v>2</v>
      </c>
      <c r="L49" s="8">
        <v>0</v>
      </c>
      <c r="M49" s="387">
        <v>2</v>
      </c>
      <c r="N49" s="767" t="s">
        <v>154</v>
      </c>
      <c r="O49" s="8">
        <v>2</v>
      </c>
      <c r="P49" s="8">
        <v>2</v>
      </c>
      <c r="Q49" s="8">
        <v>2</v>
      </c>
      <c r="R49" s="7">
        <f t="shared" si="1"/>
        <v>1</v>
      </c>
      <c r="S49" s="385"/>
    </row>
    <row r="50" spans="1:19" ht="21">
      <c r="A50" s="930"/>
      <c r="B50" s="926">
        <v>6</v>
      </c>
      <c r="C50" s="79" t="s">
        <v>196</v>
      </c>
      <c r="D50" s="8">
        <v>3</v>
      </c>
      <c r="E50" s="8">
        <v>3</v>
      </c>
      <c r="F50" s="387">
        <v>0</v>
      </c>
      <c r="G50" s="767" t="s">
        <v>154</v>
      </c>
      <c r="H50" s="922">
        <v>46092</v>
      </c>
      <c r="I50" s="79"/>
      <c r="J50" s="79"/>
      <c r="K50" s="8">
        <v>3</v>
      </c>
      <c r="L50" s="8">
        <v>3</v>
      </c>
      <c r="M50" s="387">
        <v>0</v>
      </c>
      <c r="N50" s="767" t="s">
        <v>154</v>
      </c>
      <c r="O50" s="8">
        <v>0</v>
      </c>
      <c r="P50" s="8">
        <v>0</v>
      </c>
      <c r="Q50" s="8">
        <v>0</v>
      </c>
      <c r="R50" s="7">
        <f t="shared" si="1"/>
        <v>0</v>
      </c>
      <c r="S50" s="385"/>
    </row>
    <row r="51" spans="1:19" ht="21">
      <c r="A51" s="930"/>
      <c r="B51" s="926"/>
      <c r="C51" s="79" t="s">
        <v>197</v>
      </c>
      <c r="D51" s="8">
        <v>1</v>
      </c>
      <c r="E51" s="8">
        <v>1</v>
      </c>
      <c r="F51" s="387">
        <v>0</v>
      </c>
      <c r="G51" s="767" t="s">
        <v>154</v>
      </c>
      <c r="H51" s="924"/>
      <c r="I51" s="79"/>
      <c r="J51" s="79"/>
      <c r="K51" s="8">
        <v>1</v>
      </c>
      <c r="L51" s="8">
        <v>1</v>
      </c>
      <c r="M51" s="387">
        <v>0</v>
      </c>
      <c r="N51" s="767" t="s">
        <v>154</v>
      </c>
      <c r="O51" s="8">
        <v>0</v>
      </c>
      <c r="P51" s="8">
        <v>0</v>
      </c>
      <c r="Q51" s="8">
        <v>0</v>
      </c>
      <c r="R51" s="7">
        <f t="shared" si="1"/>
        <v>0</v>
      </c>
      <c r="S51" s="385"/>
    </row>
    <row r="52" spans="1:19" ht="21">
      <c r="A52" s="930"/>
      <c r="B52" s="926"/>
      <c r="C52" s="79" t="s">
        <v>198</v>
      </c>
      <c r="D52" s="8">
        <v>1</v>
      </c>
      <c r="E52" s="8">
        <v>1</v>
      </c>
      <c r="F52" s="387">
        <v>0</v>
      </c>
      <c r="G52" s="767" t="s">
        <v>154</v>
      </c>
      <c r="H52" s="924"/>
      <c r="I52" s="79"/>
      <c r="J52" s="79"/>
      <c r="K52" s="8">
        <v>1</v>
      </c>
      <c r="L52" s="8">
        <v>1</v>
      </c>
      <c r="M52" s="387">
        <v>0</v>
      </c>
      <c r="N52" s="767" t="s">
        <v>154</v>
      </c>
      <c r="O52" s="8">
        <v>0</v>
      </c>
      <c r="P52" s="8">
        <v>0</v>
      </c>
      <c r="Q52" s="8">
        <v>0</v>
      </c>
      <c r="R52" s="7">
        <f t="shared" si="1"/>
        <v>0</v>
      </c>
      <c r="S52" s="385"/>
    </row>
    <row r="53" spans="1:19" ht="21">
      <c r="A53" s="930"/>
      <c r="B53" s="926"/>
      <c r="C53" s="79" t="s">
        <v>199</v>
      </c>
      <c r="D53" s="8">
        <v>1</v>
      </c>
      <c r="E53" s="8">
        <v>1</v>
      </c>
      <c r="F53" s="387">
        <v>0</v>
      </c>
      <c r="G53" s="767" t="s">
        <v>154</v>
      </c>
      <c r="H53" s="924"/>
      <c r="I53" s="79"/>
      <c r="J53" s="79"/>
      <c r="K53" s="8">
        <v>1</v>
      </c>
      <c r="L53" s="8">
        <v>1</v>
      </c>
      <c r="M53" s="387">
        <v>0</v>
      </c>
      <c r="N53" s="767" t="s">
        <v>154</v>
      </c>
      <c r="O53" s="8">
        <v>0</v>
      </c>
      <c r="P53" s="8">
        <v>0</v>
      </c>
      <c r="Q53" s="8">
        <v>0</v>
      </c>
      <c r="R53" s="7">
        <f t="shared" si="1"/>
        <v>0</v>
      </c>
      <c r="S53" s="385"/>
    </row>
    <row r="54" spans="1:19" ht="21">
      <c r="A54" s="930"/>
      <c r="B54" s="926"/>
      <c r="C54" s="79" t="s">
        <v>200</v>
      </c>
      <c r="D54" s="8">
        <v>1</v>
      </c>
      <c r="E54" s="8">
        <v>1</v>
      </c>
      <c r="F54" s="387">
        <v>0</v>
      </c>
      <c r="G54" s="767" t="s">
        <v>154</v>
      </c>
      <c r="H54" s="924"/>
      <c r="I54" s="79"/>
      <c r="J54" s="79"/>
      <c r="K54" s="8">
        <v>1</v>
      </c>
      <c r="L54" s="8">
        <v>1</v>
      </c>
      <c r="M54" s="387">
        <v>0</v>
      </c>
      <c r="N54" s="767" t="s">
        <v>154</v>
      </c>
      <c r="O54" s="8">
        <v>0</v>
      </c>
      <c r="P54" s="8">
        <v>0</v>
      </c>
      <c r="Q54" s="8">
        <v>0</v>
      </c>
      <c r="R54" s="7">
        <f t="shared" si="1"/>
        <v>0</v>
      </c>
      <c r="S54" s="385"/>
    </row>
    <row r="55" spans="1:19" ht="21">
      <c r="A55" s="930"/>
      <c r="B55" s="926"/>
      <c r="C55" s="79" t="s">
        <v>201</v>
      </c>
      <c r="D55" s="8">
        <v>1</v>
      </c>
      <c r="E55" s="8">
        <v>1</v>
      </c>
      <c r="F55" s="387">
        <v>0</v>
      </c>
      <c r="G55" s="767" t="s">
        <v>154</v>
      </c>
      <c r="H55" s="924"/>
      <c r="I55" s="79"/>
      <c r="J55" s="79"/>
      <c r="K55" s="8">
        <v>1</v>
      </c>
      <c r="L55" s="8">
        <v>1</v>
      </c>
      <c r="M55" s="387">
        <v>0</v>
      </c>
      <c r="N55" s="767" t="s">
        <v>154</v>
      </c>
      <c r="O55" s="8">
        <v>0</v>
      </c>
      <c r="P55" s="8">
        <v>0</v>
      </c>
      <c r="Q55" s="8">
        <v>0</v>
      </c>
      <c r="R55" s="7">
        <f t="shared" si="1"/>
        <v>0</v>
      </c>
      <c r="S55" s="385"/>
    </row>
    <row r="56" spans="1:19" ht="21">
      <c r="A56" s="930"/>
      <c r="B56" s="926"/>
      <c r="C56" s="79" t="s">
        <v>202</v>
      </c>
      <c r="D56" s="8">
        <v>1</v>
      </c>
      <c r="E56" s="8">
        <v>1</v>
      </c>
      <c r="F56" s="387">
        <v>0</v>
      </c>
      <c r="G56" s="767" t="s">
        <v>154</v>
      </c>
      <c r="H56" s="924"/>
      <c r="I56" s="79"/>
      <c r="J56" s="79"/>
      <c r="K56" s="8">
        <v>1</v>
      </c>
      <c r="L56" s="8">
        <v>1</v>
      </c>
      <c r="M56" s="387">
        <v>0</v>
      </c>
      <c r="N56" s="767" t="s">
        <v>154</v>
      </c>
      <c r="O56" s="8">
        <v>0</v>
      </c>
      <c r="P56" s="8">
        <v>0</v>
      </c>
      <c r="Q56" s="8">
        <v>0</v>
      </c>
      <c r="R56" s="7">
        <f t="shared" si="1"/>
        <v>0</v>
      </c>
      <c r="S56" s="385"/>
    </row>
    <row r="57" spans="1:19" ht="21">
      <c r="A57" s="930"/>
      <c r="B57" s="926"/>
      <c r="C57" s="79" t="s">
        <v>203</v>
      </c>
      <c r="D57" s="8">
        <v>1</v>
      </c>
      <c r="E57" s="8">
        <v>1</v>
      </c>
      <c r="F57" s="387">
        <v>0</v>
      </c>
      <c r="G57" s="767" t="s">
        <v>154</v>
      </c>
      <c r="H57" s="924"/>
      <c r="I57" s="79"/>
      <c r="J57" s="79"/>
      <c r="K57" s="8">
        <v>1</v>
      </c>
      <c r="L57" s="8">
        <v>1</v>
      </c>
      <c r="M57" s="387">
        <v>0</v>
      </c>
      <c r="N57" s="767" t="s">
        <v>154</v>
      </c>
      <c r="O57" s="8">
        <v>0</v>
      </c>
      <c r="P57" s="8">
        <v>0</v>
      </c>
      <c r="Q57" s="8">
        <v>0</v>
      </c>
      <c r="R57" s="7">
        <f t="shared" si="1"/>
        <v>0</v>
      </c>
      <c r="S57" s="385"/>
    </row>
    <row r="58" spans="1:19" ht="21">
      <c r="A58" s="930"/>
      <c r="B58" s="926"/>
      <c r="C58" s="79" t="s">
        <v>204</v>
      </c>
      <c r="D58" s="8">
        <v>1</v>
      </c>
      <c r="E58" s="8">
        <v>1</v>
      </c>
      <c r="F58" s="387">
        <v>0</v>
      </c>
      <c r="G58" s="767" t="s">
        <v>154</v>
      </c>
      <c r="H58" s="924"/>
      <c r="I58" s="79"/>
      <c r="J58" s="79"/>
      <c r="K58" s="8">
        <v>1</v>
      </c>
      <c r="L58" s="8">
        <v>1</v>
      </c>
      <c r="M58" s="387">
        <v>0</v>
      </c>
      <c r="N58" s="767" t="s">
        <v>154</v>
      </c>
      <c r="O58" s="8">
        <v>0</v>
      </c>
      <c r="P58" s="8">
        <v>0</v>
      </c>
      <c r="Q58" s="8">
        <v>0</v>
      </c>
      <c r="R58" s="7">
        <f t="shared" si="1"/>
        <v>0</v>
      </c>
      <c r="S58" s="385"/>
    </row>
    <row r="59" spans="1:19" ht="21">
      <c r="A59" s="930"/>
      <c r="B59" s="926"/>
      <c r="C59" s="79" t="s">
        <v>205</v>
      </c>
      <c r="D59" s="8">
        <v>1</v>
      </c>
      <c r="E59" s="8">
        <v>1</v>
      </c>
      <c r="F59" s="387">
        <v>0</v>
      </c>
      <c r="G59" s="767" t="s">
        <v>154</v>
      </c>
      <c r="H59" s="924"/>
      <c r="I59" s="79"/>
      <c r="J59" s="79"/>
      <c r="K59" s="8">
        <v>1</v>
      </c>
      <c r="L59" s="8">
        <v>1</v>
      </c>
      <c r="M59" s="387">
        <v>0</v>
      </c>
      <c r="N59" s="767" t="s">
        <v>154</v>
      </c>
      <c r="O59" s="8">
        <v>0</v>
      </c>
      <c r="P59" s="8">
        <v>0</v>
      </c>
      <c r="Q59" s="8">
        <v>0</v>
      </c>
      <c r="R59" s="7">
        <f t="shared" si="1"/>
        <v>0</v>
      </c>
      <c r="S59" s="385"/>
    </row>
    <row r="60" spans="1:19" ht="21">
      <c r="A60" s="930"/>
      <c r="B60" s="926"/>
      <c r="C60" s="79" t="s">
        <v>206</v>
      </c>
      <c r="D60" s="8">
        <v>1</v>
      </c>
      <c r="E60" s="8">
        <v>1</v>
      </c>
      <c r="F60" s="387">
        <v>0</v>
      </c>
      <c r="G60" s="767" t="s">
        <v>154</v>
      </c>
      <c r="H60" s="924"/>
      <c r="I60" s="79"/>
      <c r="J60" s="79"/>
      <c r="K60" s="8">
        <v>1</v>
      </c>
      <c r="L60" s="8">
        <v>1</v>
      </c>
      <c r="M60" s="387">
        <v>0</v>
      </c>
      <c r="N60" s="767" t="s">
        <v>154</v>
      </c>
      <c r="O60" s="8">
        <v>0</v>
      </c>
      <c r="P60" s="8">
        <v>0</v>
      </c>
      <c r="Q60" s="8">
        <v>0</v>
      </c>
      <c r="R60" s="7">
        <f t="shared" si="1"/>
        <v>0</v>
      </c>
      <c r="S60" s="385"/>
    </row>
    <row r="61" spans="1:19" ht="21">
      <c r="A61" s="930"/>
      <c r="B61" s="926"/>
      <c r="C61" s="79" t="s">
        <v>207</v>
      </c>
      <c r="D61" s="8">
        <v>1</v>
      </c>
      <c r="E61" s="8">
        <v>1</v>
      </c>
      <c r="F61" s="387">
        <v>0</v>
      </c>
      <c r="G61" s="767" t="s">
        <v>154</v>
      </c>
      <c r="H61" s="924"/>
      <c r="I61" s="79"/>
      <c r="J61" s="79"/>
      <c r="K61" s="8">
        <v>1</v>
      </c>
      <c r="L61" s="8">
        <v>1</v>
      </c>
      <c r="M61" s="387">
        <v>0</v>
      </c>
      <c r="N61" s="767" t="s">
        <v>154</v>
      </c>
      <c r="O61" s="8">
        <v>0</v>
      </c>
      <c r="P61" s="8">
        <v>0</v>
      </c>
      <c r="Q61" s="8">
        <v>0</v>
      </c>
      <c r="R61" s="7">
        <f t="shared" si="1"/>
        <v>0</v>
      </c>
      <c r="S61" s="385"/>
    </row>
    <row r="62" spans="1:19" ht="21">
      <c r="A62" s="930"/>
      <c r="B62" s="926"/>
      <c r="C62" s="79" t="s">
        <v>208</v>
      </c>
      <c r="D62" s="8">
        <v>1</v>
      </c>
      <c r="E62" s="8">
        <v>1</v>
      </c>
      <c r="F62" s="387">
        <v>0</v>
      </c>
      <c r="G62" s="767" t="s">
        <v>154</v>
      </c>
      <c r="H62" s="924"/>
      <c r="I62" s="79"/>
      <c r="J62" s="79"/>
      <c r="K62" s="8">
        <v>1</v>
      </c>
      <c r="L62" s="8">
        <v>1</v>
      </c>
      <c r="M62" s="387">
        <v>0</v>
      </c>
      <c r="N62" s="767" t="s">
        <v>154</v>
      </c>
      <c r="O62" s="8">
        <v>0</v>
      </c>
      <c r="P62" s="8">
        <v>0</v>
      </c>
      <c r="Q62" s="8">
        <v>0</v>
      </c>
      <c r="R62" s="7">
        <f t="shared" si="1"/>
        <v>0</v>
      </c>
      <c r="S62" s="385"/>
    </row>
    <row r="63" spans="1:19" ht="21">
      <c r="A63" s="930"/>
      <c r="B63" s="926"/>
      <c r="C63" s="79" t="s">
        <v>209</v>
      </c>
      <c r="D63" s="8">
        <v>1</v>
      </c>
      <c r="E63" s="8">
        <v>1</v>
      </c>
      <c r="F63" s="387">
        <v>0</v>
      </c>
      <c r="G63" s="767" t="s">
        <v>154</v>
      </c>
      <c r="H63" s="924"/>
      <c r="I63" s="79"/>
      <c r="J63" s="79"/>
      <c r="K63" s="8">
        <v>1</v>
      </c>
      <c r="L63" s="8">
        <v>1</v>
      </c>
      <c r="M63" s="387">
        <v>0</v>
      </c>
      <c r="N63" s="767" t="s">
        <v>154</v>
      </c>
      <c r="O63" s="8">
        <v>0</v>
      </c>
      <c r="P63" s="8">
        <v>0</v>
      </c>
      <c r="Q63" s="8">
        <v>0</v>
      </c>
      <c r="R63" s="7">
        <f t="shared" si="1"/>
        <v>0</v>
      </c>
      <c r="S63" s="385"/>
    </row>
    <row r="64" spans="1:19" ht="21">
      <c r="A64" s="930"/>
      <c r="B64" s="926"/>
      <c r="C64" s="79" t="s">
        <v>210</v>
      </c>
      <c r="D64" s="8">
        <v>2</v>
      </c>
      <c r="E64" s="8">
        <v>2</v>
      </c>
      <c r="F64" s="387">
        <v>0</v>
      </c>
      <c r="G64" s="767" t="s">
        <v>154</v>
      </c>
      <c r="H64" s="924"/>
      <c r="I64" s="79"/>
      <c r="J64" s="79"/>
      <c r="K64" s="8">
        <v>2</v>
      </c>
      <c r="L64" s="8">
        <v>2</v>
      </c>
      <c r="M64" s="387">
        <v>0</v>
      </c>
      <c r="N64" s="767" t="s">
        <v>154</v>
      </c>
      <c r="O64" s="8">
        <v>0</v>
      </c>
      <c r="P64" s="8">
        <v>0</v>
      </c>
      <c r="Q64" s="8">
        <v>0</v>
      </c>
      <c r="R64" s="7">
        <f t="shared" si="1"/>
        <v>0</v>
      </c>
      <c r="S64" s="385"/>
    </row>
    <row r="65" spans="1:19" ht="21">
      <c r="A65" s="930"/>
      <c r="B65" s="926"/>
      <c r="C65" s="79" t="s">
        <v>186</v>
      </c>
      <c r="D65" s="8">
        <v>1</v>
      </c>
      <c r="E65" s="8">
        <v>1</v>
      </c>
      <c r="F65" s="387">
        <v>0</v>
      </c>
      <c r="G65" s="767" t="s">
        <v>154</v>
      </c>
      <c r="H65" s="925"/>
      <c r="I65" s="79"/>
      <c r="J65" s="79"/>
      <c r="K65" s="8">
        <v>1</v>
      </c>
      <c r="L65" s="8">
        <v>1</v>
      </c>
      <c r="M65" s="387">
        <v>0</v>
      </c>
      <c r="N65" s="767" t="s">
        <v>154</v>
      </c>
      <c r="O65" s="8">
        <v>0</v>
      </c>
      <c r="P65" s="8">
        <v>0</v>
      </c>
      <c r="Q65" s="8">
        <v>0</v>
      </c>
      <c r="R65" s="7">
        <f t="shared" si="1"/>
        <v>0</v>
      </c>
      <c r="S65" s="385"/>
    </row>
    <row r="66" spans="1:19" ht="21">
      <c r="A66" s="930"/>
      <c r="B66" s="926">
        <v>7</v>
      </c>
      <c r="C66" s="79" t="s">
        <v>211</v>
      </c>
      <c r="D66" s="8">
        <v>1</v>
      </c>
      <c r="E66" s="8">
        <v>1</v>
      </c>
      <c r="F66" s="387">
        <v>0</v>
      </c>
      <c r="G66" s="767" t="s">
        <v>154</v>
      </c>
      <c r="H66" s="922">
        <v>46094</v>
      </c>
      <c r="I66" s="79"/>
      <c r="J66" s="79"/>
      <c r="K66" s="8">
        <v>1</v>
      </c>
      <c r="L66" s="8">
        <v>1</v>
      </c>
      <c r="M66" s="387">
        <v>0</v>
      </c>
      <c r="N66" s="767" t="s">
        <v>154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5"/>
    </row>
    <row r="67" spans="1:19" ht="21">
      <c r="A67" s="930"/>
      <c r="B67" s="926"/>
      <c r="C67" s="79" t="s">
        <v>212</v>
      </c>
      <c r="D67" s="8">
        <v>1</v>
      </c>
      <c r="E67" s="8">
        <v>1</v>
      </c>
      <c r="F67" s="387">
        <v>0</v>
      </c>
      <c r="G67" s="767" t="s">
        <v>154</v>
      </c>
      <c r="H67" s="924"/>
      <c r="I67" s="79"/>
      <c r="J67" s="79"/>
      <c r="K67" s="8">
        <v>1</v>
      </c>
      <c r="L67" s="8">
        <v>1</v>
      </c>
      <c r="M67" s="387">
        <v>0</v>
      </c>
      <c r="N67" s="767" t="s">
        <v>154</v>
      </c>
      <c r="O67" s="8">
        <v>1</v>
      </c>
      <c r="P67" s="8">
        <v>1</v>
      </c>
      <c r="Q67" s="8">
        <v>1</v>
      </c>
      <c r="R67" s="7">
        <f t="shared" si="2"/>
        <v>1</v>
      </c>
      <c r="S67" s="385"/>
    </row>
    <row r="68" spans="1:19" ht="21">
      <c r="A68" s="930"/>
      <c r="B68" s="926"/>
      <c r="C68" s="79" t="s">
        <v>213</v>
      </c>
      <c r="D68" s="8">
        <v>2</v>
      </c>
      <c r="E68" s="8">
        <v>2</v>
      </c>
      <c r="F68" s="387">
        <v>0</v>
      </c>
      <c r="G68" s="767" t="s">
        <v>154</v>
      </c>
      <c r="H68" s="924"/>
      <c r="I68" s="79"/>
      <c r="J68" s="79"/>
      <c r="K68" s="8">
        <v>2</v>
      </c>
      <c r="L68" s="8">
        <v>2</v>
      </c>
      <c r="M68" s="387">
        <v>0</v>
      </c>
      <c r="N68" s="767" t="s">
        <v>154</v>
      </c>
      <c r="O68" s="8">
        <v>2</v>
      </c>
      <c r="P68" s="8">
        <v>2</v>
      </c>
      <c r="Q68" s="8">
        <v>2</v>
      </c>
      <c r="R68" s="7">
        <f t="shared" si="2"/>
        <v>1</v>
      </c>
      <c r="S68" s="385"/>
    </row>
    <row r="69" spans="1:19" ht="21">
      <c r="A69" s="930"/>
      <c r="B69" s="926"/>
      <c r="C69" s="79" t="s">
        <v>214</v>
      </c>
      <c r="D69" s="8">
        <v>1</v>
      </c>
      <c r="E69" s="8">
        <v>1</v>
      </c>
      <c r="F69" s="387">
        <v>0</v>
      </c>
      <c r="G69" s="767" t="s">
        <v>154</v>
      </c>
      <c r="H69" s="924"/>
      <c r="I69" s="79"/>
      <c r="J69" s="79"/>
      <c r="K69" s="8">
        <v>1</v>
      </c>
      <c r="L69" s="8">
        <v>1</v>
      </c>
      <c r="M69" s="387">
        <v>0</v>
      </c>
      <c r="N69" s="767" t="s">
        <v>154</v>
      </c>
      <c r="O69" s="8">
        <v>1</v>
      </c>
      <c r="P69" s="8">
        <v>1</v>
      </c>
      <c r="Q69" s="8">
        <v>1</v>
      </c>
      <c r="R69" s="7">
        <f t="shared" si="2"/>
        <v>1</v>
      </c>
      <c r="S69" s="385"/>
    </row>
    <row r="70" spans="1:19" ht="21">
      <c r="A70" s="930"/>
      <c r="B70" s="926"/>
      <c r="C70" s="79" t="s">
        <v>215</v>
      </c>
      <c r="D70" s="8">
        <v>1</v>
      </c>
      <c r="E70" s="8">
        <v>1</v>
      </c>
      <c r="F70" s="387">
        <v>0</v>
      </c>
      <c r="G70" s="767" t="s">
        <v>154</v>
      </c>
      <c r="H70" s="924"/>
      <c r="I70" s="79"/>
      <c r="J70" s="79"/>
      <c r="K70" s="8">
        <v>1</v>
      </c>
      <c r="L70" s="8">
        <v>1</v>
      </c>
      <c r="M70" s="387">
        <v>0</v>
      </c>
      <c r="N70" s="767" t="s">
        <v>154</v>
      </c>
      <c r="O70" s="8">
        <v>1</v>
      </c>
      <c r="P70" s="8">
        <v>1</v>
      </c>
      <c r="Q70" s="8">
        <v>1</v>
      </c>
      <c r="R70" s="7">
        <f t="shared" si="2"/>
        <v>1</v>
      </c>
      <c r="S70" s="385"/>
    </row>
    <row r="71" spans="1:19" ht="21">
      <c r="A71" s="930"/>
      <c r="B71" s="926"/>
      <c r="C71" s="79" t="s">
        <v>216</v>
      </c>
      <c r="D71" s="8">
        <v>1</v>
      </c>
      <c r="E71" s="8">
        <v>1</v>
      </c>
      <c r="F71" s="387">
        <v>0</v>
      </c>
      <c r="G71" s="767" t="s">
        <v>154</v>
      </c>
      <c r="H71" s="924"/>
      <c r="I71" s="79"/>
      <c r="J71" s="79"/>
      <c r="K71" s="8">
        <v>1</v>
      </c>
      <c r="L71" s="8">
        <v>1</v>
      </c>
      <c r="M71" s="387">
        <v>0</v>
      </c>
      <c r="N71" s="767" t="s">
        <v>154</v>
      </c>
      <c r="O71" s="8">
        <v>1</v>
      </c>
      <c r="P71" s="8">
        <v>1</v>
      </c>
      <c r="Q71" s="8">
        <v>1</v>
      </c>
      <c r="R71" s="7">
        <f t="shared" si="2"/>
        <v>1</v>
      </c>
      <c r="S71" s="385"/>
    </row>
    <row r="72" spans="1:19" ht="21">
      <c r="A72" s="930"/>
      <c r="B72" s="926"/>
      <c r="C72" s="79" t="s">
        <v>217</v>
      </c>
      <c r="D72" s="8">
        <v>1</v>
      </c>
      <c r="E72" s="8">
        <v>1</v>
      </c>
      <c r="F72" s="387">
        <v>0</v>
      </c>
      <c r="G72" s="767" t="s">
        <v>154</v>
      </c>
      <c r="H72" s="924"/>
      <c r="I72" s="79"/>
      <c r="J72" s="79"/>
      <c r="K72" s="8">
        <v>1</v>
      </c>
      <c r="L72" s="8">
        <v>1</v>
      </c>
      <c r="M72" s="387">
        <v>0</v>
      </c>
      <c r="N72" s="767" t="s">
        <v>154</v>
      </c>
      <c r="O72" s="8">
        <v>1</v>
      </c>
      <c r="P72" s="8">
        <v>1</v>
      </c>
      <c r="Q72" s="8">
        <v>1</v>
      </c>
      <c r="R72" s="7">
        <f t="shared" si="2"/>
        <v>1</v>
      </c>
      <c r="S72" s="385"/>
    </row>
    <row r="73" spans="1:19" ht="21">
      <c r="A73" s="930"/>
      <c r="B73" s="926"/>
      <c r="C73" s="79" t="s">
        <v>186</v>
      </c>
      <c r="D73" s="8">
        <v>1</v>
      </c>
      <c r="E73" s="8">
        <v>1</v>
      </c>
      <c r="F73" s="387">
        <v>0</v>
      </c>
      <c r="G73" s="767" t="s">
        <v>154</v>
      </c>
      <c r="H73" s="925"/>
      <c r="I73" s="79"/>
      <c r="J73" s="79"/>
      <c r="K73" s="8">
        <v>1</v>
      </c>
      <c r="L73" s="8">
        <v>1</v>
      </c>
      <c r="M73" s="387">
        <v>0</v>
      </c>
      <c r="N73" s="767" t="s">
        <v>154</v>
      </c>
      <c r="O73" s="8">
        <v>1</v>
      </c>
      <c r="P73" s="8">
        <v>1</v>
      </c>
      <c r="Q73" s="8">
        <v>1</v>
      </c>
      <c r="R73" s="7">
        <f t="shared" si="2"/>
        <v>1</v>
      </c>
      <c r="S73" s="385"/>
    </row>
    <row r="74" spans="1:19" ht="21">
      <c r="A74" s="931" t="s">
        <v>218</v>
      </c>
      <c r="B74" s="926">
        <v>1</v>
      </c>
      <c r="C74" s="79" t="s">
        <v>219</v>
      </c>
      <c r="D74" s="8">
        <v>2</v>
      </c>
      <c r="E74" s="8">
        <v>2</v>
      </c>
      <c r="F74" s="387">
        <v>0</v>
      </c>
      <c r="G74" s="767" t="s">
        <v>154</v>
      </c>
      <c r="H74" s="922">
        <v>46064</v>
      </c>
      <c r="I74" s="79"/>
      <c r="J74" s="79"/>
      <c r="K74" s="8">
        <v>2</v>
      </c>
      <c r="L74" s="8">
        <v>2</v>
      </c>
      <c r="M74" s="387">
        <v>0</v>
      </c>
      <c r="N74" s="767" t="s">
        <v>154</v>
      </c>
      <c r="O74" s="8">
        <v>2</v>
      </c>
      <c r="P74" s="8">
        <v>2</v>
      </c>
      <c r="Q74" s="8">
        <v>2</v>
      </c>
      <c r="R74" s="7">
        <f t="shared" si="2"/>
        <v>1</v>
      </c>
      <c r="S74" s="385"/>
    </row>
    <row r="75" spans="1:19" ht="21">
      <c r="A75" s="931"/>
      <c r="B75" s="926"/>
      <c r="C75" s="79" t="s">
        <v>220</v>
      </c>
      <c r="D75" s="8">
        <v>1</v>
      </c>
      <c r="E75" s="8">
        <v>1</v>
      </c>
      <c r="F75" s="387">
        <v>0</v>
      </c>
      <c r="G75" s="767" t="s">
        <v>154</v>
      </c>
      <c r="H75" s="924"/>
      <c r="I75" s="79"/>
      <c r="J75" s="79"/>
      <c r="K75" s="8">
        <v>1</v>
      </c>
      <c r="L75" s="8">
        <v>1</v>
      </c>
      <c r="M75" s="387">
        <v>0</v>
      </c>
      <c r="N75" s="767" t="s">
        <v>154</v>
      </c>
      <c r="O75" s="8">
        <v>1</v>
      </c>
      <c r="P75" s="8">
        <v>1</v>
      </c>
      <c r="Q75" s="8">
        <v>1</v>
      </c>
      <c r="R75" s="7">
        <f t="shared" si="2"/>
        <v>1</v>
      </c>
      <c r="S75" s="385"/>
    </row>
    <row r="76" spans="1:19" ht="21">
      <c r="A76" s="931"/>
      <c r="B76" s="926"/>
      <c r="C76" s="79" t="s">
        <v>221</v>
      </c>
      <c r="D76" s="8">
        <v>1</v>
      </c>
      <c r="E76" s="8">
        <v>1</v>
      </c>
      <c r="F76" s="387">
        <v>0</v>
      </c>
      <c r="G76" s="767" t="s">
        <v>154</v>
      </c>
      <c r="H76" s="924"/>
      <c r="I76" s="79"/>
      <c r="J76" s="79"/>
      <c r="K76" s="8">
        <v>1</v>
      </c>
      <c r="L76" s="8">
        <v>1</v>
      </c>
      <c r="M76" s="387">
        <v>0</v>
      </c>
      <c r="N76" s="767" t="s">
        <v>154</v>
      </c>
      <c r="O76" s="8">
        <v>1</v>
      </c>
      <c r="P76" s="8">
        <v>1</v>
      </c>
      <c r="Q76" s="8">
        <v>1</v>
      </c>
      <c r="R76" s="7">
        <f t="shared" si="2"/>
        <v>1</v>
      </c>
      <c r="S76" s="385"/>
    </row>
    <row r="77" spans="1:19" ht="21">
      <c r="A77" s="931"/>
      <c r="B77" s="926"/>
      <c r="C77" s="79" t="s">
        <v>222</v>
      </c>
      <c r="D77" s="8">
        <v>1</v>
      </c>
      <c r="E77" s="8">
        <v>1</v>
      </c>
      <c r="F77" s="387">
        <v>0</v>
      </c>
      <c r="G77" s="767" t="s">
        <v>154</v>
      </c>
      <c r="H77" s="924"/>
      <c r="I77" s="79"/>
      <c r="J77" s="79"/>
      <c r="K77" s="8">
        <v>1</v>
      </c>
      <c r="L77" s="8">
        <v>1</v>
      </c>
      <c r="M77" s="387">
        <v>0</v>
      </c>
      <c r="N77" s="767" t="s">
        <v>154</v>
      </c>
      <c r="O77" s="8">
        <v>1</v>
      </c>
      <c r="P77" s="8">
        <v>1</v>
      </c>
      <c r="Q77" s="8">
        <v>1</v>
      </c>
      <c r="R77" s="7">
        <f t="shared" si="2"/>
        <v>1</v>
      </c>
      <c r="S77" s="385"/>
    </row>
    <row r="78" spans="1:19" ht="21">
      <c r="A78" s="931"/>
      <c r="B78" s="926"/>
      <c r="C78" s="79" t="s">
        <v>223</v>
      </c>
      <c r="D78" s="8">
        <v>1</v>
      </c>
      <c r="E78" s="8">
        <v>1</v>
      </c>
      <c r="F78" s="387">
        <v>0</v>
      </c>
      <c r="G78" s="767" t="s">
        <v>154</v>
      </c>
      <c r="H78" s="924"/>
      <c r="I78" s="79"/>
      <c r="J78" s="79"/>
      <c r="K78" s="8">
        <v>1</v>
      </c>
      <c r="L78" s="8">
        <v>1</v>
      </c>
      <c r="M78" s="387">
        <v>0</v>
      </c>
      <c r="N78" s="767" t="s">
        <v>154</v>
      </c>
      <c r="O78" s="8">
        <v>1</v>
      </c>
      <c r="P78" s="8">
        <v>1</v>
      </c>
      <c r="Q78" s="8">
        <v>1</v>
      </c>
      <c r="R78" s="7">
        <f t="shared" si="2"/>
        <v>1</v>
      </c>
      <c r="S78" s="385"/>
    </row>
    <row r="79" spans="1:19" ht="21">
      <c r="A79" s="931"/>
      <c r="B79" s="926"/>
      <c r="C79" s="79" t="s">
        <v>219</v>
      </c>
      <c r="D79" s="8">
        <v>2</v>
      </c>
      <c r="E79" s="8">
        <v>2</v>
      </c>
      <c r="F79" s="387">
        <v>0</v>
      </c>
      <c r="G79" s="767" t="s">
        <v>154</v>
      </c>
      <c r="H79" s="924"/>
      <c r="I79" s="79"/>
      <c r="J79" s="79"/>
      <c r="K79" s="8">
        <v>2</v>
      </c>
      <c r="L79" s="8">
        <v>2</v>
      </c>
      <c r="M79" s="387">
        <v>0</v>
      </c>
      <c r="N79" s="767" t="s">
        <v>154</v>
      </c>
      <c r="O79" s="8">
        <v>2</v>
      </c>
      <c r="P79" s="8">
        <v>2</v>
      </c>
      <c r="Q79" s="8">
        <v>2</v>
      </c>
      <c r="R79" s="7">
        <f t="shared" si="2"/>
        <v>1</v>
      </c>
      <c r="S79" s="385"/>
    </row>
    <row r="80" spans="1:19" ht="21">
      <c r="A80" s="931"/>
      <c r="B80" s="926"/>
      <c r="C80" s="79" t="s">
        <v>224</v>
      </c>
      <c r="D80" s="8">
        <v>1</v>
      </c>
      <c r="E80" s="8">
        <v>1</v>
      </c>
      <c r="F80" s="387">
        <v>0</v>
      </c>
      <c r="G80" s="767" t="s">
        <v>154</v>
      </c>
      <c r="H80" s="924"/>
      <c r="I80" s="79"/>
      <c r="J80" s="79"/>
      <c r="K80" s="8">
        <v>1</v>
      </c>
      <c r="L80" s="8">
        <v>1</v>
      </c>
      <c r="M80" s="387">
        <v>0</v>
      </c>
      <c r="N80" s="767" t="s">
        <v>154</v>
      </c>
      <c r="O80" s="8">
        <v>1</v>
      </c>
      <c r="P80" s="8">
        <v>1</v>
      </c>
      <c r="Q80" s="8">
        <v>1</v>
      </c>
      <c r="R80" s="7">
        <f t="shared" si="2"/>
        <v>1</v>
      </c>
      <c r="S80" s="385"/>
    </row>
    <row r="81" spans="1:19" ht="21">
      <c r="A81" s="931"/>
      <c r="B81" s="926"/>
      <c r="C81" s="79" t="s">
        <v>221</v>
      </c>
      <c r="D81" s="8">
        <v>1</v>
      </c>
      <c r="E81" s="8">
        <v>1</v>
      </c>
      <c r="F81" s="387">
        <v>0</v>
      </c>
      <c r="G81" s="767" t="s">
        <v>154</v>
      </c>
      <c r="H81" s="924"/>
      <c r="I81" s="79"/>
      <c r="J81" s="79"/>
      <c r="K81" s="8">
        <v>1</v>
      </c>
      <c r="L81" s="8">
        <v>1</v>
      </c>
      <c r="M81" s="387">
        <v>0</v>
      </c>
      <c r="N81" s="767" t="s">
        <v>154</v>
      </c>
      <c r="O81" s="8">
        <v>1</v>
      </c>
      <c r="P81" s="8">
        <v>1</v>
      </c>
      <c r="Q81" s="8">
        <v>1</v>
      </c>
      <c r="R81" s="7">
        <f t="shared" si="2"/>
        <v>1</v>
      </c>
      <c r="S81" s="385"/>
    </row>
    <row r="82" spans="1:19" ht="21">
      <c r="A82" s="931"/>
      <c r="B82" s="926"/>
      <c r="C82" s="79" t="s">
        <v>225</v>
      </c>
      <c r="D82" s="8">
        <v>1</v>
      </c>
      <c r="E82" s="8">
        <v>1</v>
      </c>
      <c r="F82" s="387">
        <v>0</v>
      </c>
      <c r="G82" s="767" t="s">
        <v>154</v>
      </c>
      <c r="H82" s="924"/>
      <c r="I82" s="79"/>
      <c r="J82" s="79"/>
      <c r="K82" s="8">
        <v>1</v>
      </c>
      <c r="L82" s="8">
        <v>1</v>
      </c>
      <c r="M82" s="387">
        <v>0</v>
      </c>
      <c r="N82" s="767" t="s">
        <v>154</v>
      </c>
      <c r="O82" s="8">
        <v>1</v>
      </c>
      <c r="P82" s="8">
        <v>1</v>
      </c>
      <c r="Q82" s="8">
        <v>1</v>
      </c>
      <c r="R82" s="7">
        <f t="shared" si="2"/>
        <v>1</v>
      </c>
      <c r="S82" s="385"/>
    </row>
    <row r="83" spans="1:19" ht="21">
      <c r="A83" s="931"/>
      <c r="B83" s="926"/>
      <c r="C83" s="79" t="s">
        <v>186</v>
      </c>
      <c r="D83" s="8">
        <v>1</v>
      </c>
      <c r="E83" s="8">
        <v>1</v>
      </c>
      <c r="F83" s="387">
        <v>0</v>
      </c>
      <c r="G83" s="767" t="s">
        <v>154</v>
      </c>
      <c r="H83" s="925"/>
      <c r="I83" s="79"/>
      <c r="J83" s="79"/>
      <c r="K83" s="8">
        <v>1</v>
      </c>
      <c r="L83" s="8">
        <v>1</v>
      </c>
      <c r="M83" s="387">
        <v>0</v>
      </c>
      <c r="N83" s="767" t="s">
        <v>154</v>
      </c>
      <c r="O83" s="8">
        <v>1</v>
      </c>
      <c r="P83" s="8">
        <v>1</v>
      </c>
      <c r="Q83" s="8">
        <v>1</v>
      </c>
      <c r="R83" s="7">
        <f t="shared" si="2"/>
        <v>1</v>
      </c>
      <c r="S83" s="385"/>
    </row>
    <row r="84" spans="1:19" ht="21">
      <c r="A84" s="931"/>
      <c r="B84" s="926">
        <v>2</v>
      </c>
      <c r="C84" s="79" t="s">
        <v>226</v>
      </c>
      <c r="D84" s="8">
        <v>4</v>
      </c>
      <c r="E84" s="8">
        <v>4</v>
      </c>
      <c r="F84" s="387">
        <v>0</v>
      </c>
      <c r="G84" s="767" t="s">
        <v>154</v>
      </c>
      <c r="H84" s="922">
        <v>46056</v>
      </c>
      <c r="I84" s="79"/>
      <c r="J84" s="79"/>
      <c r="K84" s="8">
        <v>4</v>
      </c>
      <c r="L84" s="8">
        <v>4</v>
      </c>
      <c r="M84" s="387">
        <v>0</v>
      </c>
      <c r="N84" s="767" t="s">
        <v>154</v>
      </c>
      <c r="O84" s="8">
        <v>4</v>
      </c>
      <c r="P84" s="8">
        <v>4</v>
      </c>
      <c r="Q84" s="8">
        <v>4</v>
      </c>
      <c r="R84" s="7">
        <f t="shared" si="2"/>
        <v>1</v>
      </c>
      <c r="S84" s="385"/>
    </row>
    <row r="85" spans="1:19" ht="21">
      <c r="A85" s="931"/>
      <c r="B85" s="926"/>
      <c r="C85" s="79" t="s">
        <v>227</v>
      </c>
      <c r="D85" s="8">
        <v>1</v>
      </c>
      <c r="E85" s="8">
        <v>1</v>
      </c>
      <c r="F85" s="387">
        <v>0</v>
      </c>
      <c r="G85" s="767" t="s">
        <v>154</v>
      </c>
      <c r="H85" s="924"/>
      <c r="I85" s="79"/>
      <c r="J85" s="79"/>
      <c r="K85" s="8">
        <v>1</v>
      </c>
      <c r="L85" s="8">
        <v>1</v>
      </c>
      <c r="M85" s="387">
        <v>0</v>
      </c>
      <c r="N85" s="767" t="s">
        <v>154</v>
      </c>
      <c r="O85" s="8">
        <v>1</v>
      </c>
      <c r="P85" s="8">
        <v>1</v>
      </c>
      <c r="Q85" s="8">
        <v>1</v>
      </c>
      <c r="R85" s="7">
        <f t="shared" si="2"/>
        <v>1</v>
      </c>
      <c r="S85" s="385"/>
    </row>
    <row r="86" spans="1:19" ht="21">
      <c r="A86" s="931"/>
      <c r="B86" s="926"/>
      <c r="C86" s="79" t="s">
        <v>228</v>
      </c>
      <c r="D86" s="8">
        <v>1</v>
      </c>
      <c r="E86" s="8">
        <v>0</v>
      </c>
      <c r="F86" s="387">
        <v>1</v>
      </c>
      <c r="G86" s="767" t="s">
        <v>154</v>
      </c>
      <c r="H86" s="924"/>
      <c r="I86" s="79"/>
      <c r="J86" s="79"/>
      <c r="K86" s="8">
        <v>1</v>
      </c>
      <c r="L86" s="8">
        <v>0</v>
      </c>
      <c r="M86" s="387">
        <v>1</v>
      </c>
      <c r="N86" s="767" t="s">
        <v>154</v>
      </c>
      <c r="O86" s="8">
        <v>0</v>
      </c>
      <c r="P86" s="8">
        <v>0</v>
      </c>
      <c r="Q86" s="8">
        <v>0</v>
      </c>
      <c r="R86" s="7">
        <f t="shared" si="2"/>
        <v>0</v>
      </c>
      <c r="S86" s="385"/>
    </row>
    <row r="87" spans="1:19" ht="21">
      <c r="A87" s="931"/>
      <c r="B87" s="926"/>
      <c r="C87" s="79" t="s">
        <v>128</v>
      </c>
      <c r="D87" s="8">
        <v>1</v>
      </c>
      <c r="E87" s="8">
        <v>0</v>
      </c>
      <c r="F87" s="387">
        <v>1</v>
      </c>
      <c r="G87" s="767" t="s">
        <v>154</v>
      </c>
      <c r="H87" s="925"/>
      <c r="I87" s="79"/>
      <c r="J87" s="79"/>
      <c r="K87" s="8">
        <v>1</v>
      </c>
      <c r="L87" s="8">
        <v>0</v>
      </c>
      <c r="M87" s="387">
        <v>1</v>
      </c>
      <c r="N87" s="767" t="s">
        <v>154</v>
      </c>
      <c r="O87" s="8">
        <v>0</v>
      </c>
      <c r="P87" s="8">
        <v>0</v>
      </c>
      <c r="Q87" s="8">
        <v>0</v>
      </c>
      <c r="R87" s="7">
        <f t="shared" si="2"/>
        <v>0</v>
      </c>
      <c r="S87" s="385"/>
    </row>
    <row r="88" spans="1:19" ht="21">
      <c r="A88" s="931"/>
      <c r="B88" s="926">
        <v>3</v>
      </c>
      <c r="C88" s="79" t="s">
        <v>229</v>
      </c>
      <c r="D88" s="8">
        <v>1</v>
      </c>
      <c r="E88" s="8">
        <v>1</v>
      </c>
      <c r="F88" s="387">
        <v>0</v>
      </c>
      <c r="G88" s="767" t="s">
        <v>154</v>
      </c>
      <c r="H88" s="922">
        <v>46071</v>
      </c>
      <c r="I88" s="79"/>
      <c r="J88" s="79"/>
      <c r="K88" s="8">
        <v>1</v>
      </c>
      <c r="L88" s="8">
        <v>1</v>
      </c>
      <c r="M88" s="387">
        <v>0</v>
      </c>
      <c r="N88" s="767" t="s">
        <v>154</v>
      </c>
      <c r="O88" s="8">
        <v>1</v>
      </c>
      <c r="P88" s="8">
        <v>1</v>
      </c>
      <c r="Q88" s="8">
        <v>1</v>
      </c>
      <c r="R88" s="7">
        <f t="shared" si="2"/>
        <v>1</v>
      </c>
      <c r="S88" s="385"/>
    </row>
    <row r="89" spans="1:19" ht="21">
      <c r="A89" s="931"/>
      <c r="B89" s="926"/>
      <c r="C89" s="79" t="s">
        <v>230</v>
      </c>
      <c r="D89" s="8">
        <v>1</v>
      </c>
      <c r="E89" s="8">
        <v>1</v>
      </c>
      <c r="F89" s="387">
        <v>0</v>
      </c>
      <c r="G89" s="767" t="s">
        <v>154</v>
      </c>
      <c r="H89" s="924"/>
      <c r="I89" s="79"/>
      <c r="J89" s="79"/>
      <c r="K89" s="8">
        <v>1</v>
      </c>
      <c r="L89" s="8">
        <v>1</v>
      </c>
      <c r="M89" s="387">
        <v>0</v>
      </c>
      <c r="N89" s="767" t="s">
        <v>154</v>
      </c>
      <c r="O89" s="8">
        <v>1</v>
      </c>
      <c r="P89" s="8">
        <v>1</v>
      </c>
      <c r="Q89" s="8">
        <v>1</v>
      </c>
      <c r="R89" s="7">
        <f t="shared" si="2"/>
        <v>1</v>
      </c>
      <c r="S89" s="385"/>
    </row>
    <row r="90" spans="1:19" ht="21">
      <c r="A90" s="931"/>
      <c r="B90" s="926"/>
      <c r="C90" s="79" t="s">
        <v>231</v>
      </c>
      <c r="D90" s="8">
        <v>1</v>
      </c>
      <c r="E90" s="8">
        <v>1</v>
      </c>
      <c r="F90" s="387">
        <v>0</v>
      </c>
      <c r="G90" s="767" t="s">
        <v>154</v>
      </c>
      <c r="H90" s="924"/>
      <c r="I90" s="79"/>
      <c r="J90" s="79"/>
      <c r="K90" s="8">
        <v>1</v>
      </c>
      <c r="L90" s="8">
        <v>1</v>
      </c>
      <c r="M90" s="387">
        <v>0</v>
      </c>
      <c r="N90" s="767" t="s">
        <v>154</v>
      </c>
      <c r="O90" s="8">
        <v>1</v>
      </c>
      <c r="P90" s="8">
        <v>1</v>
      </c>
      <c r="Q90" s="8">
        <v>1</v>
      </c>
      <c r="R90" s="7">
        <f t="shared" si="2"/>
        <v>1</v>
      </c>
      <c r="S90" s="385"/>
    </row>
    <row r="91" spans="1:19" ht="21">
      <c r="A91" s="931"/>
      <c r="B91" s="926"/>
      <c r="C91" s="79" t="s">
        <v>232</v>
      </c>
      <c r="D91" s="8">
        <v>1</v>
      </c>
      <c r="E91" s="8">
        <v>1</v>
      </c>
      <c r="F91" s="387">
        <v>0</v>
      </c>
      <c r="G91" s="767" t="s">
        <v>154</v>
      </c>
      <c r="H91" s="924"/>
      <c r="I91" s="79"/>
      <c r="J91" s="79"/>
      <c r="K91" s="8">
        <v>1</v>
      </c>
      <c r="L91" s="8">
        <v>1</v>
      </c>
      <c r="M91" s="387">
        <v>0</v>
      </c>
      <c r="N91" s="767" t="s">
        <v>154</v>
      </c>
      <c r="O91" s="8">
        <v>1</v>
      </c>
      <c r="P91" s="8">
        <v>1</v>
      </c>
      <c r="Q91" s="8">
        <v>1</v>
      </c>
      <c r="R91" s="7">
        <f t="shared" si="2"/>
        <v>1</v>
      </c>
      <c r="S91" s="385"/>
    </row>
    <row r="92" spans="1:19" ht="21">
      <c r="A92" s="931"/>
      <c r="B92" s="926"/>
      <c r="C92" s="79" t="s">
        <v>186</v>
      </c>
      <c r="D92" s="8">
        <v>1</v>
      </c>
      <c r="E92" s="8">
        <v>1</v>
      </c>
      <c r="F92" s="387">
        <v>0</v>
      </c>
      <c r="G92" s="767" t="s">
        <v>154</v>
      </c>
      <c r="H92" s="924"/>
      <c r="I92" s="79"/>
      <c r="J92" s="79"/>
      <c r="K92" s="8">
        <v>1</v>
      </c>
      <c r="L92" s="8">
        <v>1</v>
      </c>
      <c r="M92" s="387">
        <v>0</v>
      </c>
      <c r="N92" s="767" t="s">
        <v>154</v>
      </c>
      <c r="O92" s="8">
        <v>1</v>
      </c>
      <c r="P92" s="8">
        <v>1</v>
      </c>
      <c r="Q92" s="8">
        <v>1</v>
      </c>
      <c r="R92" s="7">
        <f t="shared" si="2"/>
        <v>1</v>
      </c>
      <c r="S92" s="385"/>
    </row>
    <row r="93" spans="1:19" ht="21">
      <c r="A93" s="931"/>
      <c r="B93" s="926"/>
      <c r="C93" s="79" t="s">
        <v>229</v>
      </c>
      <c r="D93" s="8">
        <v>4</v>
      </c>
      <c r="E93" s="8">
        <v>4</v>
      </c>
      <c r="F93" s="387">
        <v>0</v>
      </c>
      <c r="G93" s="767" t="s">
        <v>154</v>
      </c>
      <c r="H93" s="925"/>
      <c r="I93" s="79"/>
      <c r="J93" s="79"/>
      <c r="K93" s="8">
        <v>4</v>
      </c>
      <c r="L93" s="8">
        <v>4</v>
      </c>
      <c r="M93" s="387">
        <v>0</v>
      </c>
      <c r="N93" s="767" t="s">
        <v>154</v>
      </c>
      <c r="O93" s="8">
        <v>4</v>
      </c>
      <c r="P93" s="8">
        <v>4</v>
      </c>
      <c r="Q93" s="8">
        <v>4</v>
      </c>
      <c r="R93" s="7">
        <f t="shared" si="2"/>
        <v>1</v>
      </c>
      <c r="S93" s="385"/>
    </row>
    <row r="94" spans="1:19" ht="21">
      <c r="A94" s="931"/>
      <c r="B94" s="926">
        <v>4</v>
      </c>
      <c r="C94" s="79" t="s">
        <v>128</v>
      </c>
      <c r="D94" s="8">
        <v>3</v>
      </c>
      <c r="E94" s="8">
        <v>0</v>
      </c>
      <c r="F94" s="387">
        <v>3</v>
      </c>
      <c r="G94" s="767" t="s">
        <v>154</v>
      </c>
      <c r="H94" s="922">
        <v>46073</v>
      </c>
      <c r="I94" s="79"/>
      <c r="J94" s="79"/>
      <c r="K94" s="8">
        <v>3</v>
      </c>
      <c r="L94" s="8">
        <v>0</v>
      </c>
      <c r="M94" s="387">
        <v>3</v>
      </c>
      <c r="N94" s="767" t="s">
        <v>154</v>
      </c>
      <c r="O94" s="8">
        <v>3</v>
      </c>
      <c r="P94" s="8">
        <v>3</v>
      </c>
      <c r="Q94" s="8">
        <v>3</v>
      </c>
      <c r="R94" s="7">
        <f t="shared" si="2"/>
        <v>1</v>
      </c>
      <c r="S94" s="385"/>
    </row>
    <row r="95" spans="1:19" ht="21">
      <c r="A95" s="931"/>
      <c r="B95" s="926"/>
      <c r="C95" s="79" t="s">
        <v>233</v>
      </c>
      <c r="D95" s="8">
        <v>1</v>
      </c>
      <c r="E95" s="8">
        <v>1</v>
      </c>
      <c r="F95" s="387">
        <v>0</v>
      </c>
      <c r="G95" s="767" t="s">
        <v>154</v>
      </c>
      <c r="H95" s="924"/>
      <c r="I95" s="79"/>
      <c r="J95" s="79"/>
      <c r="K95" s="8">
        <v>1</v>
      </c>
      <c r="L95" s="8">
        <v>1</v>
      </c>
      <c r="M95" s="387">
        <v>0</v>
      </c>
      <c r="N95" s="767" t="s">
        <v>154</v>
      </c>
      <c r="O95" s="8">
        <v>1</v>
      </c>
      <c r="P95" s="8">
        <v>1</v>
      </c>
      <c r="Q95" s="8">
        <v>1</v>
      </c>
      <c r="R95" s="7">
        <f t="shared" si="2"/>
        <v>1</v>
      </c>
      <c r="S95" s="385"/>
    </row>
    <row r="96" spans="1:19" ht="21">
      <c r="A96" s="931"/>
      <c r="B96" s="926"/>
      <c r="C96" s="79" t="s">
        <v>234</v>
      </c>
      <c r="D96" s="8">
        <v>1</v>
      </c>
      <c r="E96" s="8">
        <v>1</v>
      </c>
      <c r="F96" s="387">
        <v>0</v>
      </c>
      <c r="G96" s="767" t="s">
        <v>154</v>
      </c>
      <c r="H96" s="924"/>
      <c r="I96" s="79"/>
      <c r="J96" s="79"/>
      <c r="K96" s="8">
        <v>1</v>
      </c>
      <c r="L96" s="8">
        <v>1</v>
      </c>
      <c r="M96" s="387">
        <v>0</v>
      </c>
      <c r="N96" s="767" t="s">
        <v>154</v>
      </c>
      <c r="O96" s="8">
        <v>1</v>
      </c>
      <c r="P96" s="8">
        <v>1</v>
      </c>
      <c r="Q96" s="8">
        <v>1</v>
      </c>
      <c r="R96" s="7">
        <f t="shared" si="2"/>
        <v>1</v>
      </c>
      <c r="S96" s="385"/>
    </row>
    <row r="97" spans="1:19" ht="21">
      <c r="A97" s="931"/>
      <c r="B97" s="926"/>
      <c r="C97" s="79" t="s">
        <v>235</v>
      </c>
      <c r="D97" s="8">
        <v>3</v>
      </c>
      <c r="E97" s="8">
        <v>3</v>
      </c>
      <c r="F97" s="387">
        <v>0</v>
      </c>
      <c r="G97" s="767" t="s">
        <v>154</v>
      </c>
      <c r="H97" s="924"/>
      <c r="I97" s="79"/>
      <c r="J97" s="79"/>
      <c r="K97" s="8">
        <v>3</v>
      </c>
      <c r="L97" s="8">
        <v>3</v>
      </c>
      <c r="M97" s="387">
        <v>0</v>
      </c>
      <c r="N97" s="767" t="s">
        <v>154</v>
      </c>
      <c r="O97" s="8">
        <v>3</v>
      </c>
      <c r="P97" s="8">
        <v>3</v>
      </c>
      <c r="Q97" s="8">
        <v>3</v>
      </c>
      <c r="R97" s="7">
        <f t="shared" si="2"/>
        <v>1</v>
      </c>
      <c r="S97" s="385"/>
    </row>
    <row r="98" spans="1:19" ht="21">
      <c r="A98" s="931"/>
      <c r="B98" s="926"/>
      <c r="C98" s="79" t="s">
        <v>186</v>
      </c>
      <c r="D98" s="8">
        <v>1</v>
      </c>
      <c r="E98" s="8">
        <v>1</v>
      </c>
      <c r="F98" s="387">
        <v>0</v>
      </c>
      <c r="G98" s="767" t="s">
        <v>154</v>
      </c>
      <c r="H98" s="925"/>
      <c r="I98" s="79"/>
      <c r="J98" s="79"/>
      <c r="K98" s="8">
        <v>1</v>
      </c>
      <c r="L98" s="8">
        <v>1</v>
      </c>
      <c r="M98" s="387">
        <v>0</v>
      </c>
      <c r="N98" s="767" t="s">
        <v>154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5"/>
    </row>
    <row r="99" spans="1:19" ht="21">
      <c r="A99" s="747" t="s">
        <v>236</v>
      </c>
      <c r="B99" s="746">
        <v>1</v>
      </c>
      <c r="C99" s="73" t="s">
        <v>121</v>
      </c>
      <c r="D99" s="8">
        <v>1</v>
      </c>
      <c r="E99" s="8">
        <v>1</v>
      </c>
      <c r="F99" s="387">
        <v>0</v>
      </c>
      <c r="G99" s="767" t="s">
        <v>154</v>
      </c>
      <c r="H99" s="745">
        <v>46089</v>
      </c>
      <c r="I99" s="73"/>
      <c r="J99" s="73"/>
      <c r="K99" s="8">
        <v>1</v>
      </c>
      <c r="L99" s="8">
        <v>1</v>
      </c>
      <c r="M99" s="387">
        <v>0</v>
      </c>
      <c r="N99" s="767" t="s">
        <v>154</v>
      </c>
      <c r="O99" s="8">
        <v>0</v>
      </c>
      <c r="P99" s="8">
        <v>0</v>
      </c>
      <c r="Q99" s="8">
        <v>0</v>
      </c>
      <c r="R99" s="7">
        <f t="shared" si="3"/>
        <v>0</v>
      </c>
      <c r="S99" s="385"/>
    </row>
    <row r="100" spans="1:19" ht="21">
      <c r="A100" s="931" t="s">
        <v>237</v>
      </c>
      <c r="B100" s="932">
        <v>1</v>
      </c>
      <c r="C100" s="79" t="s">
        <v>238</v>
      </c>
      <c r="D100" s="8">
        <v>3</v>
      </c>
      <c r="E100" s="8">
        <v>3</v>
      </c>
      <c r="F100" s="387">
        <v>0</v>
      </c>
      <c r="G100" s="767" t="s">
        <v>154</v>
      </c>
      <c r="H100" s="922">
        <v>46087</v>
      </c>
      <c r="I100" s="79"/>
      <c r="J100" s="79"/>
      <c r="K100" s="8">
        <v>3</v>
      </c>
      <c r="L100" s="8">
        <v>3</v>
      </c>
      <c r="M100" s="387">
        <v>0</v>
      </c>
      <c r="N100" s="767" t="s">
        <v>154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5"/>
    </row>
    <row r="101" spans="1:19" ht="21">
      <c r="A101" s="931"/>
      <c r="B101" s="932"/>
      <c r="C101" s="79" t="s">
        <v>239</v>
      </c>
      <c r="D101" s="8">
        <v>2</v>
      </c>
      <c r="E101" s="8">
        <v>2</v>
      </c>
      <c r="F101" s="387">
        <v>0</v>
      </c>
      <c r="G101" s="767" t="s">
        <v>154</v>
      </c>
      <c r="H101" s="924"/>
      <c r="I101" s="79"/>
      <c r="J101" s="79"/>
      <c r="K101" s="8">
        <v>2</v>
      </c>
      <c r="L101" s="8">
        <v>2</v>
      </c>
      <c r="M101" s="387">
        <v>0</v>
      </c>
      <c r="N101" s="767" t="s">
        <v>154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5"/>
    </row>
    <row r="102" spans="1:19" ht="21">
      <c r="A102" s="931"/>
      <c r="B102" s="926">
        <v>2</v>
      </c>
      <c r="C102" s="79" t="s">
        <v>240</v>
      </c>
      <c r="D102" s="8">
        <v>2</v>
      </c>
      <c r="E102" s="8">
        <v>2</v>
      </c>
      <c r="F102" s="387">
        <v>0</v>
      </c>
      <c r="G102" s="767" t="s">
        <v>154</v>
      </c>
      <c r="H102" s="924"/>
      <c r="I102" s="79"/>
      <c r="J102" s="79"/>
      <c r="K102" s="8">
        <v>2</v>
      </c>
      <c r="L102" s="8">
        <v>2</v>
      </c>
      <c r="M102" s="387">
        <v>0</v>
      </c>
      <c r="N102" s="767" t="s">
        <v>154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5"/>
    </row>
    <row r="103" spans="1:19" ht="21">
      <c r="A103" s="931"/>
      <c r="B103" s="926"/>
      <c r="C103" s="79" t="s">
        <v>128</v>
      </c>
      <c r="D103" s="767">
        <v>5</v>
      </c>
      <c r="E103" s="767">
        <v>5</v>
      </c>
      <c r="F103" s="387">
        <v>0</v>
      </c>
      <c r="G103" s="767" t="s">
        <v>154</v>
      </c>
      <c r="H103" s="924"/>
      <c r="I103" s="79"/>
      <c r="J103" s="79"/>
      <c r="K103" s="767">
        <v>5</v>
      </c>
      <c r="L103" s="767">
        <v>5</v>
      </c>
      <c r="M103" s="387">
        <v>0</v>
      </c>
      <c r="N103" s="767" t="s">
        <v>154</v>
      </c>
      <c r="O103" s="767">
        <v>5</v>
      </c>
      <c r="P103" s="767">
        <v>5</v>
      </c>
      <c r="Q103" s="767">
        <v>5</v>
      </c>
      <c r="R103" s="7">
        <f t="shared" si="3"/>
        <v>1</v>
      </c>
      <c r="S103" s="385"/>
    </row>
    <row r="104" spans="1:19" ht="21">
      <c r="A104" s="931"/>
      <c r="B104" s="926"/>
      <c r="C104" s="79" t="s">
        <v>239</v>
      </c>
      <c r="D104" s="767">
        <v>1</v>
      </c>
      <c r="E104" s="767">
        <v>1</v>
      </c>
      <c r="F104" s="387">
        <v>0</v>
      </c>
      <c r="G104" s="767" t="s">
        <v>154</v>
      </c>
      <c r="H104" s="924"/>
      <c r="I104" s="79"/>
      <c r="J104" s="79"/>
      <c r="K104" s="767">
        <v>1</v>
      </c>
      <c r="L104" s="767">
        <v>1</v>
      </c>
      <c r="M104" s="387">
        <v>0</v>
      </c>
      <c r="N104" s="767" t="s">
        <v>154</v>
      </c>
      <c r="O104" s="767">
        <v>1</v>
      </c>
      <c r="P104" s="767">
        <v>1</v>
      </c>
      <c r="Q104" s="767">
        <v>1</v>
      </c>
      <c r="R104" s="7">
        <f t="shared" si="3"/>
        <v>1</v>
      </c>
      <c r="S104" s="385"/>
    </row>
    <row r="105" spans="1:19" ht="21">
      <c r="A105" s="931"/>
      <c r="B105" s="926"/>
      <c r="C105" s="79" t="s">
        <v>241</v>
      </c>
      <c r="D105" s="767">
        <v>1</v>
      </c>
      <c r="E105" s="767">
        <v>1</v>
      </c>
      <c r="F105" s="387">
        <v>0</v>
      </c>
      <c r="G105" s="767" t="s">
        <v>154</v>
      </c>
      <c r="H105" s="924"/>
      <c r="I105" s="79"/>
      <c r="J105" s="79"/>
      <c r="K105" s="767">
        <v>1</v>
      </c>
      <c r="L105" s="767">
        <v>1</v>
      </c>
      <c r="M105" s="387">
        <v>0</v>
      </c>
      <c r="N105" s="767" t="s">
        <v>154</v>
      </c>
      <c r="O105" s="767">
        <v>1</v>
      </c>
      <c r="P105" s="767">
        <v>1</v>
      </c>
      <c r="Q105" s="767">
        <v>1</v>
      </c>
      <c r="R105" s="7">
        <f t="shared" si="3"/>
        <v>1</v>
      </c>
      <c r="S105" s="385"/>
    </row>
    <row r="106" spans="1:19" ht="21">
      <c r="A106" s="931"/>
      <c r="B106" s="746">
        <v>3</v>
      </c>
      <c r="C106" s="73" t="s">
        <v>242</v>
      </c>
      <c r="D106" s="767">
        <v>3</v>
      </c>
      <c r="E106" s="767">
        <v>2</v>
      </c>
      <c r="F106" s="387">
        <v>1</v>
      </c>
      <c r="G106" s="767" t="s">
        <v>154</v>
      </c>
      <c r="H106" s="925"/>
      <c r="I106" s="73"/>
      <c r="J106" s="73"/>
      <c r="K106" s="767">
        <v>3</v>
      </c>
      <c r="L106" s="767">
        <v>2</v>
      </c>
      <c r="M106" s="387">
        <v>1</v>
      </c>
      <c r="N106" s="767" t="s">
        <v>154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5"/>
    </row>
    <row r="107" spans="1:19" ht="21">
      <c r="A107" s="931" t="s">
        <v>132</v>
      </c>
      <c r="B107" s="926">
        <v>1</v>
      </c>
      <c r="C107" s="73" t="s">
        <v>243</v>
      </c>
      <c r="D107" s="8">
        <v>1</v>
      </c>
      <c r="E107" s="8">
        <v>1</v>
      </c>
      <c r="F107" s="387">
        <v>0</v>
      </c>
      <c r="G107" s="767" t="s">
        <v>154</v>
      </c>
      <c r="H107" s="922">
        <v>46090</v>
      </c>
      <c r="I107" s="73"/>
      <c r="J107" s="73"/>
      <c r="K107" s="8">
        <v>1</v>
      </c>
      <c r="L107" s="8">
        <v>1</v>
      </c>
      <c r="M107" s="387">
        <v>0</v>
      </c>
      <c r="N107" s="767" t="s">
        <v>154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5"/>
    </row>
    <row r="108" spans="1:19" ht="21">
      <c r="A108" s="931"/>
      <c r="B108" s="926"/>
      <c r="C108" s="73" t="s">
        <v>244</v>
      </c>
      <c r="D108" s="8">
        <v>1</v>
      </c>
      <c r="E108" s="8">
        <v>1</v>
      </c>
      <c r="F108" s="387">
        <v>0</v>
      </c>
      <c r="G108" s="767" t="s">
        <v>154</v>
      </c>
      <c r="H108" s="924"/>
      <c r="I108" s="73"/>
      <c r="J108" s="73"/>
      <c r="K108" s="8">
        <v>1</v>
      </c>
      <c r="L108" s="8">
        <v>1</v>
      </c>
      <c r="M108" s="387">
        <v>0</v>
      </c>
      <c r="N108" s="767" t="s">
        <v>154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5"/>
    </row>
    <row r="109" spans="1:19" ht="21">
      <c r="A109" s="931"/>
      <c r="B109" s="926"/>
      <c r="C109" s="73" t="s">
        <v>245</v>
      </c>
      <c r="D109" s="8">
        <v>1</v>
      </c>
      <c r="E109" s="8">
        <v>1</v>
      </c>
      <c r="F109" s="387">
        <v>0</v>
      </c>
      <c r="G109" s="767" t="s">
        <v>154</v>
      </c>
      <c r="H109" s="924"/>
      <c r="I109" s="73"/>
      <c r="J109" s="73"/>
      <c r="K109" s="8">
        <v>1</v>
      </c>
      <c r="L109" s="8">
        <v>1</v>
      </c>
      <c r="M109" s="387">
        <v>0</v>
      </c>
      <c r="N109" s="767" t="s">
        <v>154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5"/>
    </row>
    <row r="110" spans="1:19" ht="21">
      <c r="A110" s="931"/>
      <c r="B110" s="926">
        <v>2</v>
      </c>
      <c r="C110" s="73" t="s">
        <v>246</v>
      </c>
      <c r="D110" s="8">
        <v>1</v>
      </c>
      <c r="E110" s="8">
        <v>1</v>
      </c>
      <c r="F110" s="387">
        <v>0</v>
      </c>
      <c r="G110" s="767" t="s">
        <v>154</v>
      </c>
      <c r="H110" s="924"/>
      <c r="I110" s="73"/>
      <c r="J110" s="73"/>
      <c r="K110" s="8">
        <v>1</v>
      </c>
      <c r="L110" s="8">
        <v>1</v>
      </c>
      <c r="M110" s="387">
        <v>0</v>
      </c>
      <c r="N110" s="767" t="s">
        <v>154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5"/>
    </row>
    <row r="111" spans="1:19" ht="21">
      <c r="A111" s="931"/>
      <c r="B111" s="926"/>
      <c r="C111" s="73" t="s">
        <v>247</v>
      </c>
      <c r="D111" s="8">
        <v>2</v>
      </c>
      <c r="E111" s="8">
        <v>0</v>
      </c>
      <c r="F111" s="387">
        <v>2</v>
      </c>
      <c r="G111" s="767" t="s">
        <v>154</v>
      </c>
      <c r="H111" s="925"/>
      <c r="I111" s="73"/>
      <c r="J111" s="73"/>
      <c r="K111" s="8">
        <v>2</v>
      </c>
      <c r="L111" s="8">
        <v>0</v>
      </c>
      <c r="M111" s="387">
        <v>2</v>
      </c>
      <c r="N111" s="767" t="s">
        <v>154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5"/>
    </row>
    <row r="112" spans="1:19" ht="21">
      <c r="A112" s="931" t="s">
        <v>127</v>
      </c>
      <c r="B112" s="926">
        <v>1</v>
      </c>
      <c r="C112" s="73" t="s">
        <v>248</v>
      </c>
      <c r="D112" s="8">
        <v>1</v>
      </c>
      <c r="E112" s="8">
        <v>1</v>
      </c>
      <c r="F112" s="387">
        <v>0</v>
      </c>
      <c r="G112" s="767" t="s">
        <v>154</v>
      </c>
      <c r="H112" s="922">
        <v>46089</v>
      </c>
      <c r="I112" s="73"/>
      <c r="J112" s="73"/>
      <c r="K112" s="8">
        <v>1</v>
      </c>
      <c r="L112" s="8">
        <v>1</v>
      </c>
      <c r="M112" s="387">
        <v>0</v>
      </c>
      <c r="N112" s="767" t="s">
        <v>154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5"/>
    </row>
    <row r="113" spans="1:19" ht="21">
      <c r="A113" s="931"/>
      <c r="B113" s="926"/>
      <c r="C113" s="73" t="s">
        <v>249</v>
      </c>
      <c r="D113" s="8">
        <v>2</v>
      </c>
      <c r="E113" s="8">
        <v>2</v>
      </c>
      <c r="F113" s="387">
        <v>0</v>
      </c>
      <c r="G113" s="767" t="s">
        <v>154</v>
      </c>
      <c r="H113" s="925"/>
      <c r="I113" s="73"/>
      <c r="J113" s="73"/>
      <c r="K113" s="8">
        <v>2</v>
      </c>
      <c r="L113" s="8">
        <v>2</v>
      </c>
      <c r="M113" s="387">
        <v>0</v>
      </c>
      <c r="N113" s="767" t="s">
        <v>154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5"/>
    </row>
    <row r="114" spans="1:19" ht="21">
      <c r="A114" s="748" t="s">
        <v>129</v>
      </c>
      <c r="B114" s="746">
        <v>1</v>
      </c>
      <c r="C114" s="73" t="s">
        <v>250</v>
      </c>
      <c r="D114" s="8">
        <v>3</v>
      </c>
      <c r="E114" s="8">
        <v>3</v>
      </c>
      <c r="F114" s="387">
        <v>0</v>
      </c>
      <c r="G114" s="767" t="s">
        <v>154</v>
      </c>
      <c r="H114" s="745">
        <v>46089</v>
      </c>
      <c r="I114" s="73"/>
      <c r="J114" s="73"/>
      <c r="K114" s="8">
        <v>3</v>
      </c>
      <c r="L114" s="8">
        <v>3</v>
      </c>
      <c r="M114" s="387">
        <v>0</v>
      </c>
      <c r="N114" s="767" t="s">
        <v>154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5"/>
    </row>
    <row r="115" spans="1:19" ht="21">
      <c r="A115" s="748" t="s">
        <v>124</v>
      </c>
      <c r="B115" s="746">
        <v>1</v>
      </c>
      <c r="C115" s="73" t="s">
        <v>251</v>
      </c>
      <c r="D115" s="8">
        <v>1</v>
      </c>
      <c r="E115" s="8">
        <v>1</v>
      </c>
      <c r="F115" s="387">
        <v>0</v>
      </c>
      <c r="G115" s="767" t="s">
        <v>154</v>
      </c>
      <c r="H115" s="745">
        <v>46089</v>
      </c>
      <c r="I115" s="73"/>
      <c r="J115" s="73"/>
      <c r="K115" s="8">
        <v>1</v>
      </c>
      <c r="L115" s="8">
        <v>1</v>
      </c>
      <c r="M115" s="387">
        <v>0</v>
      </c>
      <c r="N115" s="767" t="s">
        <v>154</v>
      </c>
      <c r="O115" s="8">
        <v>0</v>
      </c>
      <c r="P115" s="8">
        <v>0</v>
      </c>
      <c r="Q115" s="8">
        <v>0</v>
      </c>
      <c r="R115" s="7">
        <f t="shared" si="3"/>
        <v>0</v>
      </c>
      <c r="S115" s="385"/>
    </row>
    <row r="116" spans="1:19" ht="21">
      <c r="A116" s="930" t="s">
        <v>252</v>
      </c>
      <c r="B116" s="746">
        <v>1</v>
      </c>
      <c r="C116" s="73" t="s">
        <v>253</v>
      </c>
      <c r="D116" s="8">
        <v>1</v>
      </c>
      <c r="E116" s="8">
        <v>1</v>
      </c>
      <c r="F116" s="387">
        <v>0</v>
      </c>
      <c r="G116" s="767" t="s">
        <v>154</v>
      </c>
      <c r="H116" s="922">
        <v>46088</v>
      </c>
      <c r="I116" s="73"/>
      <c r="J116" s="73"/>
      <c r="K116" s="8">
        <v>1</v>
      </c>
      <c r="L116" s="8">
        <v>1</v>
      </c>
      <c r="M116" s="387">
        <v>0</v>
      </c>
      <c r="N116" s="767" t="s">
        <v>154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5"/>
    </row>
    <row r="117" spans="1:19" ht="21">
      <c r="A117" s="930"/>
      <c r="B117" s="746">
        <v>2</v>
      </c>
      <c r="C117" s="73" t="s">
        <v>253</v>
      </c>
      <c r="D117" s="8">
        <v>1</v>
      </c>
      <c r="E117" s="8">
        <v>1</v>
      </c>
      <c r="F117" s="387">
        <v>0</v>
      </c>
      <c r="G117" s="767" t="s">
        <v>154</v>
      </c>
      <c r="H117" s="923"/>
      <c r="I117" s="73"/>
      <c r="J117" s="73"/>
      <c r="K117" s="8">
        <v>1</v>
      </c>
      <c r="L117" s="8">
        <v>1</v>
      </c>
      <c r="M117" s="387">
        <v>0</v>
      </c>
      <c r="N117" s="767" t="s">
        <v>154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5"/>
    </row>
    <row r="118" spans="1:19" ht="21">
      <c r="A118" s="388"/>
      <c r="B118" s="389"/>
      <c r="C118" s="390" t="s">
        <v>254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90"/>
      <c r="I118" s="390"/>
      <c r="J118" s="390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127</v>
      </c>
      <c r="P118" s="74">
        <f>SUM(P2:P117)</f>
        <v>127</v>
      </c>
      <c r="Q118" s="74">
        <f>SUM(Q2:Q117)</f>
        <v>127</v>
      </c>
      <c r="R118" s="74"/>
      <c r="S118" s="6"/>
    </row>
    <row r="119" spans="1:19" ht="21">
      <c r="A119" s="388"/>
      <c r="B119" s="389"/>
      <c r="C119" s="75" t="s">
        <v>255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0.76047904191616766</v>
      </c>
      <c r="P119" s="77">
        <f>P118/K118</f>
        <v>0.76047904191616766</v>
      </c>
      <c r="Q119" s="77">
        <f>Q118/K118</f>
        <v>0.76047904191616766</v>
      </c>
      <c r="R119" s="78">
        <f>ROUNDUP(AVERAGE(R2:R117),2)</f>
        <v>0.74</v>
      </c>
      <c r="S119" s="6"/>
    </row>
    <row r="120" spans="1:19" ht="24" customHeight="1">
      <c r="A120" s="388"/>
      <c r="B120" s="389"/>
      <c r="C120" s="403"/>
      <c r="D120" s="6"/>
      <c r="E120" s="6"/>
      <c r="F120" s="6"/>
      <c r="G120" s="6"/>
      <c r="H120" s="403"/>
      <c r="I120" s="403"/>
      <c r="J120" s="403"/>
      <c r="K120" s="6"/>
      <c r="L120" s="6">
        <f>K118-Q118</f>
        <v>40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256</v>
      </c>
      <c r="B1" s="134" t="s">
        <v>15</v>
      </c>
      <c r="C1" s="110" t="s">
        <v>17</v>
      </c>
      <c r="D1" s="132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4</v>
      </c>
      <c r="B2" s="135" t="s">
        <v>36</v>
      </c>
      <c r="C2" s="177">
        <v>2</v>
      </c>
      <c r="D2" s="748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67" t="s">
        <v>154</v>
      </c>
    </row>
    <row r="3" spans="1:15" s="92" customFormat="1">
      <c r="A3" s="87" t="s">
        <v>4</v>
      </c>
      <c r="B3" s="135" t="s">
        <v>36</v>
      </c>
      <c r="C3" s="177" t="s">
        <v>269</v>
      </c>
      <c r="D3" s="133" t="s">
        <v>66</v>
      </c>
      <c r="E3" s="182" t="s">
        <v>270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154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271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154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154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272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273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154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274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275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87" t="s">
        <v>4</v>
      </c>
      <c r="B10" s="135" t="s">
        <v>74</v>
      </c>
      <c r="C10" s="177">
        <v>6</v>
      </c>
      <c r="D10" s="748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276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87" t="s">
        <v>4</v>
      </c>
      <c r="B13" s="135" t="s">
        <v>74</v>
      </c>
      <c r="C13" s="177">
        <v>5</v>
      </c>
      <c r="D13" s="748" t="s">
        <v>277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87" t="s">
        <v>4</v>
      </c>
      <c r="B15" s="135" t="s">
        <v>74</v>
      </c>
      <c r="C15" s="177">
        <v>3</v>
      </c>
      <c r="D15" s="748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278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279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280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281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282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154</v>
      </c>
    </row>
    <row r="25" spans="1:15" s="92" customFormat="1">
      <c r="A25" s="87" t="s">
        <v>4</v>
      </c>
      <c r="B25" s="135" t="s">
        <v>120</v>
      </c>
      <c r="C25" s="177">
        <v>1</v>
      </c>
      <c r="D25" s="748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87" t="s">
        <v>4</v>
      </c>
      <c r="B26" s="135" t="s">
        <v>121</v>
      </c>
      <c r="C26" s="177">
        <v>1</v>
      </c>
      <c r="D26" s="147" t="s">
        <v>283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154</v>
      </c>
    </row>
    <row r="27" spans="1:15" s="92" customFormat="1">
      <c r="A27" s="87" t="s">
        <v>4</v>
      </c>
      <c r="B27" s="135" t="s">
        <v>124</v>
      </c>
      <c r="C27" s="177">
        <v>1</v>
      </c>
      <c r="D27" s="146" t="s">
        <v>284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87" t="s">
        <v>4</v>
      </c>
      <c r="B28" s="135" t="s">
        <v>127</v>
      </c>
      <c r="C28" s="177">
        <v>1</v>
      </c>
      <c r="D28" s="133" t="s">
        <v>128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87" t="s">
        <v>4</v>
      </c>
      <c r="B29" s="135" t="s">
        <v>129</v>
      </c>
      <c r="C29" s="177">
        <v>1</v>
      </c>
      <c r="D29" s="748" t="s">
        <v>128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87" t="s">
        <v>4</v>
      </c>
      <c r="B30" s="135" t="s">
        <v>132</v>
      </c>
      <c r="C30" s="177">
        <v>1</v>
      </c>
      <c r="D30" s="146" t="s">
        <v>285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87" t="s">
        <v>4</v>
      </c>
      <c r="B31" s="135" t="s">
        <v>132</v>
      </c>
      <c r="C31" s="177">
        <v>1</v>
      </c>
      <c r="D31" s="147" t="s">
        <v>286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87" t="s">
        <v>4</v>
      </c>
      <c r="B32" s="135" t="s">
        <v>139</v>
      </c>
      <c r="C32" s="177">
        <v>1</v>
      </c>
      <c r="D32" s="146" t="s">
        <v>287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288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3" customWidth="1"/>
    <col min="2" max="10" width="20" style="423" customWidth="1"/>
    <col min="11" max="11" width="16.6640625" customWidth="1"/>
    <col min="12" max="15" width="16.6640625" style="423" customWidth="1"/>
    <col min="16" max="16" width="15.77734375" customWidth="1"/>
    <col min="17" max="17" width="8.6640625" style="423"/>
    <col min="18" max="18" width="16" style="423" customWidth="1"/>
    <col min="19" max="16384" width="8.6640625" style="423"/>
  </cols>
  <sheetData>
    <row r="1" spans="1:16" ht="30" customHeight="1">
      <c r="A1" s="780" t="s">
        <v>289</v>
      </c>
      <c r="B1" s="781"/>
      <c r="C1" s="781"/>
      <c r="D1" s="781"/>
      <c r="E1" s="781"/>
      <c r="F1" s="781"/>
      <c r="G1" s="781"/>
      <c r="H1" s="781"/>
      <c r="I1" s="781"/>
      <c r="J1" s="781"/>
      <c r="K1" s="781"/>
      <c r="L1" s="781"/>
      <c r="M1" s="781"/>
      <c r="N1" s="781"/>
      <c r="O1" s="781"/>
      <c r="P1" s="781"/>
    </row>
    <row r="2" spans="1:16" ht="18" customHeight="1">
      <c r="A2" s="782" t="s">
        <v>290</v>
      </c>
      <c r="B2" s="783"/>
      <c r="C2" s="783"/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</row>
    <row r="3" spans="1:16" ht="4.5" customHeight="1">
      <c r="A3" s="512"/>
      <c r="B3" s="512"/>
      <c r="C3" s="512"/>
      <c r="D3" s="512"/>
      <c r="E3" s="512"/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</row>
    <row r="4" spans="1:16" ht="42" customHeight="1">
      <c r="A4" s="779" t="s">
        <v>291</v>
      </c>
      <c r="B4" s="513" t="s">
        <v>292</v>
      </c>
      <c r="C4" s="513" t="s">
        <v>293</v>
      </c>
      <c r="D4" s="513" t="s">
        <v>294</v>
      </c>
      <c r="E4" s="513" t="s">
        <v>295</v>
      </c>
      <c r="F4" s="513" t="s">
        <v>296</v>
      </c>
      <c r="G4" s="513" t="s">
        <v>297</v>
      </c>
      <c r="H4" s="513" t="s">
        <v>298</v>
      </c>
      <c r="I4" s="513" t="s">
        <v>299</v>
      </c>
      <c r="J4" s="513" t="s">
        <v>300</v>
      </c>
      <c r="K4" s="513" t="s">
        <v>1897</v>
      </c>
      <c r="L4" s="513" t="s">
        <v>1898</v>
      </c>
      <c r="M4" s="513" t="s">
        <v>1899</v>
      </c>
      <c r="N4" s="513" t="s">
        <v>1900</v>
      </c>
      <c r="O4" s="513" t="s">
        <v>1901</v>
      </c>
      <c r="P4" s="779" t="s">
        <v>301</v>
      </c>
    </row>
    <row r="5" spans="1:16" ht="4.5" customHeight="1">
      <c r="A5" s="779"/>
      <c r="B5" s="512"/>
      <c r="C5" s="512"/>
      <c r="D5" s="512"/>
      <c r="E5" s="512"/>
      <c r="F5" s="512"/>
      <c r="G5" s="512"/>
      <c r="H5" s="512"/>
      <c r="I5" s="512"/>
      <c r="J5" s="512"/>
      <c r="P5" s="779"/>
    </row>
    <row r="6" spans="1:16" ht="21.75" customHeight="1">
      <c r="A6" s="784" t="s">
        <v>302</v>
      </c>
      <c r="B6" s="785"/>
      <c r="C6" s="785"/>
      <c r="D6" s="785"/>
      <c r="E6" s="785"/>
      <c r="F6" s="785"/>
      <c r="G6" s="785"/>
      <c r="H6" s="785"/>
      <c r="I6" s="785"/>
      <c r="J6" s="785"/>
      <c r="K6" s="785"/>
      <c r="L6" s="785"/>
      <c r="M6" s="785"/>
      <c r="N6" s="785"/>
      <c r="O6" s="785"/>
      <c r="P6" s="785"/>
    </row>
    <row r="7" spans="1:16" ht="19.5" customHeight="1">
      <c r="A7" s="425" t="s">
        <v>303</v>
      </c>
      <c r="B7" s="514" cm="1">
        <f t="array" ref="B7">SUMPRODUCT((HQ!$T$3:$T$89&gt;=B40)*(HQ!$T$3:$T$89&lt;=B41)*(ISNUMBER(HQ!$G$3:$G$89))*(HQ!$G$3:$G$89))</f>
        <v>35</v>
      </c>
      <c r="C7" s="514" cm="1">
        <f t="array" ref="C7">SUMPRODUCT((HQ!$T$3:$T$89&gt;=C40)*(HQ!$T$3:$T$89&lt;=C41)*(ISNUMBER(HQ!$G$3:$G$89))*(HQ!$G$3:$G$89))</f>
        <v>10</v>
      </c>
      <c r="D7" s="514" cm="1">
        <f t="array" ref="D7">SUMPRODUCT((HQ!$T$3:$T$89&gt;=D40)*(HQ!$T$3:$T$89&lt;=D41)*(ISNUMBER(HQ!$G$3:$G$89))*(HQ!$G$3:$G$89))</f>
        <v>9</v>
      </c>
      <c r="E7" s="514" cm="1">
        <f t="array" ref="E7">SUMPRODUCT((HQ!$T$3:$T$89&gt;=E40)*(HQ!$T$3:$T$89&lt;=E41)*(ISNUMBER(HQ!$G$3:$G$89))*(HQ!$G$3:$G$89))</f>
        <v>52</v>
      </c>
      <c r="F7" s="514" cm="1">
        <f t="array" ref="F7">SUMPRODUCT((HQ!$T$3:$T$89&gt;=F40)*(HQ!$T$3:$T$89&lt;=F41)*(ISNUMBER(HQ!$G$3:$G$89))*(HQ!$G$3:$G$89))</f>
        <v>14</v>
      </c>
      <c r="G7" s="514" cm="1">
        <f t="array" ref="G7">SUMPRODUCT((HQ!$T$3:$T$89&gt;=G40)*(HQ!$T$3:$T$89&lt;=G41)*(ISNUMBER(HQ!$G$3:$G$89))*(HQ!$G$3:$G$89))</f>
        <v>18</v>
      </c>
      <c r="H7" s="514" cm="1">
        <f t="array" ref="H7">SUMPRODUCT((HQ!$T$3:$T$89&gt;=H40)*(HQ!$T$3:$T$89&lt;=H41)*(ISNUMBER(HQ!$G$3:$G$89))*(HQ!$G$3:$G$89))</f>
        <v>11</v>
      </c>
      <c r="I7" s="514" cm="1">
        <f t="array" ref="I7">SUMPRODUCT((HQ!$T$3:$T$89&gt;=I40)*(HQ!$T$3:$T$89&lt;=I41)*(ISNUMBER(HQ!$G$3:$G$89))*(HQ!$G$3:$G$89))</f>
        <v>14</v>
      </c>
      <c r="J7" s="514" cm="1">
        <f t="array" ref="J7">SUMPRODUCT((HQ!$T$3:$T$89&gt;=J40)*(HQ!$T$3:$T$89&lt;=J41)*(ISNUMBER(HQ!$G$3:$G$89))*(HQ!$G$3:$G$89))</f>
        <v>14</v>
      </c>
      <c r="K7" s="514" cm="1">
        <f t="array" ref="K7">SUMPRODUCT((HQ!$T$3:$T$89&gt;=K40)*(HQ!$T$3:$T$89&lt;=K41)*(ISNUMBER(HQ!$G$3:$G$89))*(HQ!$G$3:$G$89))</f>
        <v>16</v>
      </c>
      <c r="L7" s="514" cm="1">
        <f t="array" ref="L7">SUMPRODUCT((HQ!$T$3:$T$89&gt;=L40)*(HQ!$T$3:$T$89&lt;=L41)*(ISNUMBER(HQ!$G$3:$G$89))*(HQ!$G$3:$G$89))</f>
        <v>0</v>
      </c>
      <c r="M7" s="514" cm="1">
        <f t="array" ref="M7">SUMPRODUCT((HQ!$T$3:$T$89&gt;=M40)*(HQ!$T$3:$T$89&lt;=M41)*(ISNUMBER(HQ!$G$3:$G$89))*(HQ!$G$3:$G$89))</f>
        <v>0</v>
      </c>
      <c r="N7" s="514" cm="1">
        <f t="array" ref="N7">SUMPRODUCT((HQ!$T$3:$T$89&gt;=N40)*(HQ!$T$3:$T$89&lt;=N41)*(ISNUMBER(HQ!$G$3:$G$89))*(HQ!$G$3:$G$89))</f>
        <v>0</v>
      </c>
      <c r="O7" s="514" cm="1">
        <f t="array" ref="O7">SUMPRODUCT((HQ!$T$3:$T$89&gt;=O40)*(HQ!$T$3:$T$89&lt;=O41)*(ISNUMBER(HQ!$G$3:$G$89))*(HQ!$G$3:$G$89))</f>
        <v>0</v>
      </c>
      <c r="P7" s="433" cm="1">
        <f t="array" ref="P7">SUMPRODUCT((ISNUMBER(HQ!$G$3:$G$89))*(HQ!$G$3:$G$89))</f>
        <v>193</v>
      </c>
    </row>
    <row r="8" spans="1:16" ht="19.2" customHeight="1">
      <c r="A8" s="428" t="s">
        <v>304</v>
      </c>
      <c r="B8" s="429">
        <f t="shared" ref="B8:O8" si="0">IF(B7=0,"-",B7/$P$7)</f>
        <v>0.18134715025906736</v>
      </c>
      <c r="C8" s="429">
        <f t="shared" si="0"/>
        <v>5.181347150259067E-2</v>
      </c>
      <c r="D8" s="429">
        <f t="shared" si="0"/>
        <v>4.6632124352331605E-2</v>
      </c>
      <c r="E8" s="429">
        <f t="shared" si="0"/>
        <v>0.26943005181347152</v>
      </c>
      <c r="F8" s="429">
        <f t="shared" si="0"/>
        <v>7.2538860103626937E-2</v>
      </c>
      <c r="G8" s="429">
        <f t="shared" si="0"/>
        <v>9.3264248704663211E-2</v>
      </c>
      <c r="H8" s="429">
        <f t="shared" si="0"/>
        <v>5.6994818652849742E-2</v>
      </c>
      <c r="I8" s="429">
        <f t="shared" si="0"/>
        <v>7.2538860103626937E-2</v>
      </c>
      <c r="J8" s="429">
        <f t="shared" si="0"/>
        <v>7.2538860103626937E-2</v>
      </c>
      <c r="K8" s="429">
        <f t="shared" si="0"/>
        <v>8.2901554404145081E-2</v>
      </c>
      <c r="L8" s="429" t="str">
        <f t="shared" si="0"/>
        <v>-</v>
      </c>
      <c r="M8" s="429" t="str">
        <f t="shared" si="0"/>
        <v>-</v>
      </c>
      <c r="N8" s="429" t="str">
        <f t="shared" si="0"/>
        <v>-</v>
      </c>
      <c r="O8" s="429" t="str">
        <f t="shared" si="0"/>
        <v>-</v>
      </c>
      <c r="P8" s="430">
        <f>P7/P7</f>
        <v>1</v>
      </c>
    </row>
    <row r="9" spans="1:16" ht="4.2" customHeight="1">
      <c r="A9" s="512"/>
      <c r="B9" s="512"/>
      <c r="C9" s="512"/>
      <c r="D9" s="512"/>
      <c r="E9" s="512"/>
      <c r="F9" s="512"/>
      <c r="G9" s="512"/>
      <c r="H9" s="512"/>
      <c r="I9" s="512"/>
      <c r="J9" s="512"/>
      <c r="K9" s="512"/>
      <c r="L9" s="512"/>
      <c r="M9" s="512"/>
      <c r="N9" s="512"/>
      <c r="O9" s="512"/>
      <c r="P9" s="512"/>
    </row>
    <row r="10" spans="1:16" ht="21.75" customHeight="1">
      <c r="A10" s="775" t="s">
        <v>305</v>
      </c>
      <c r="B10" s="775"/>
      <c r="C10" s="775"/>
      <c r="D10" s="775"/>
      <c r="E10" s="775"/>
      <c r="F10" s="775"/>
      <c r="G10" s="775"/>
      <c r="H10" s="775"/>
      <c r="I10" s="775"/>
      <c r="J10" s="775"/>
      <c r="K10" s="775"/>
      <c r="L10" s="775"/>
      <c r="M10" s="775"/>
      <c r="N10" s="775"/>
      <c r="O10" s="775"/>
      <c r="P10" s="775"/>
    </row>
    <row r="11" spans="1:16" ht="19.5" customHeight="1">
      <c r="A11" s="431" t="s">
        <v>306</v>
      </c>
      <c r="B11" s="432">
        <f t="shared" ref="B11:J11" si="1">B7</f>
        <v>35</v>
      </c>
      <c r="C11" s="432">
        <f t="shared" si="1"/>
        <v>10</v>
      </c>
      <c r="D11" s="432">
        <f t="shared" si="1"/>
        <v>9</v>
      </c>
      <c r="E11" s="432">
        <f t="shared" si="1"/>
        <v>52</v>
      </c>
      <c r="F11" s="432">
        <f t="shared" si="1"/>
        <v>14</v>
      </c>
      <c r="G11" s="432">
        <f t="shared" si="1"/>
        <v>18</v>
      </c>
      <c r="H11" s="432">
        <f t="shared" si="1"/>
        <v>11</v>
      </c>
      <c r="I11" s="432">
        <f t="shared" si="1"/>
        <v>14</v>
      </c>
      <c r="J11" s="432">
        <f t="shared" si="1"/>
        <v>14</v>
      </c>
      <c r="K11" s="432">
        <f t="shared" ref="K11:O11" si="2">K7</f>
        <v>16</v>
      </c>
      <c r="L11" s="432">
        <f t="shared" si="2"/>
        <v>0</v>
      </c>
      <c r="M11" s="432">
        <f t="shared" si="2"/>
        <v>0</v>
      </c>
      <c r="N11" s="432">
        <f t="shared" si="2"/>
        <v>0</v>
      </c>
      <c r="O11" s="432">
        <f t="shared" si="2"/>
        <v>0</v>
      </c>
      <c r="P11" s="433">
        <f>P7</f>
        <v>193</v>
      </c>
    </row>
    <row r="12" spans="1:16" ht="19.5" customHeight="1">
      <c r="A12" s="434" t="s">
        <v>307</v>
      </c>
      <c r="B12" s="435" cm="1">
        <f t="array" ref="B12">SUMPRODUCT((HQ!$T$3:$T$89&gt;=B40)*(HQ!$T$3:$T$89&lt;=B41)*(ISNUMBER(HQ!$N$3:$N$89))*(HQ!$N$3:$N$89))</f>
        <v>27</v>
      </c>
      <c r="C12" s="435" cm="1">
        <f t="array" ref="C12">SUMPRODUCT((HQ!$T$3:$T$89&gt;=C40)*(HQ!$T$3:$T$89&lt;=C41)*(ISNUMBER(HQ!$N$3:$N$89))*(HQ!$N$3:$N$89))</f>
        <v>10</v>
      </c>
      <c r="D12" s="435" cm="1">
        <f t="array" ref="D12">SUMPRODUCT((HQ!$T$3:$T$89&gt;=D40)*(HQ!$T$3:$T$89&lt;=D41)*(ISNUMBER(HQ!$N$3:$N$89))*(HQ!$N$3:$N$89))</f>
        <v>9</v>
      </c>
      <c r="E12" s="435" cm="1">
        <f t="array" ref="E12">SUMPRODUCT((HQ!$T$3:$T$89&gt;=E40)*(HQ!$T$3:$T$89&lt;=E41)*(ISNUMBER(HQ!$N$3:$N$89))*(HQ!$N$3:$N$89))</f>
        <v>52</v>
      </c>
      <c r="F12" s="435" cm="1">
        <f t="array" ref="F12">SUMPRODUCT((HQ!$T$3:$T$89&gt;=F40)*(HQ!$T$3:$T$89&lt;=F41)*(ISNUMBER(HQ!$N$3:$N$89))*(HQ!$N$3:$N$89))</f>
        <v>14</v>
      </c>
      <c r="G12" s="435" cm="1">
        <f t="array" ref="G12">SUMPRODUCT((HQ!$T$3:$T$89&gt;=G40)*(HQ!$T$3:$T$89&lt;=G41)*(ISNUMBER(HQ!$N$3:$N$89))*(HQ!$N$3:$N$89))</f>
        <v>18</v>
      </c>
      <c r="H12" s="435" cm="1">
        <f t="array" ref="H12">SUMPRODUCT((HQ!$T$3:$T$89&gt;=H40)*(HQ!$T$3:$T$89&lt;=H41)*(ISNUMBER(HQ!$N$3:$N$89))*(HQ!$N$3:$N$89))</f>
        <v>11</v>
      </c>
      <c r="I12" s="435" cm="1">
        <f t="array" ref="I12">SUMPRODUCT((HQ!$T$3:$T$89&gt;=I40)*(HQ!$T$3:$T$89&lt;=I41)*(ISNUMBER(HQ!$N$3:$N$89))*(HQ!$N$3:$N$89))</f>
        <v>11</v>
      </c>
      <c r="J12" s="435" cm="1">
        <f t="array" ref="J12">SUMPRODUCT((HQ!$T$3:$T$89&gt;=J40)*(HQ!$T$3:$T$89&lt;=J41)*(ISNUMBER(HQ!$N$3:$N$89))*(HQ!$N$3:$N$89))</f>
        <v>0</v>
      </c>
      <c r="K12" s="435" cm="1">
        <f t="array" ref="K12">SUMPRODUCT((HQ!$T$3:$T$89&gt;=K40)*(HQ!$T$3:$T$89&lt;=K41)*(ISNUMBER(HQ!$N$3:$N$89))*(HQ!$N$3:$N$89))</f>
        <v>6</v>
      </c>
      <c r="L12" s="435" cm="1">
        <f t="array" ref="L12">SUMPRODUCT((HQ!$T$3:$T$89&gt;=L40)*(HQ!$T$3:$T$89&lt;=L41)*(ISNUMBER(HQ!$N$3:$N$89))*(HQ!$N$3:$N$89))</f>
        <v>0</v>
      </c>
      <c r="M12" s="435" cm="1">
        <f t="array" ref="M12">SUMPRODUCT((HQ!$T$3:$T$89&gt;=M40)*(HQ!$T$3:$T$89&lt;=M41)*(ISNUMBER(HQ!$N$3:$N$89))*(HQ!$N$3:$N$89))</f>
        <v>0</v>
      </c>
      <c r="N12" s="435" cm="1">
        <f t="array" ref="N12">SUMPRODUCT((HQ!$T$3:$T$89&gt;=N40)*(HQ!$T$3:$T$89&lt;=N41)*(ISNUMBER(HQ!$N$3:$N$89))*(HQ!$N$3:$N$89))</f>
        <v>0</v>
      </c>
      <c r="O12" s="435" cm="1">
        <f t="array" ref="O12">SUMPRODUCT((HQ!$T$3:$T$89&gt;=O40)*(HQ!$T$3:$T$89&lt;=O41)*(ISNUMBER(HQ!$N$3:$N$89))*(HQ!$N$3:$N$89))</f>
        <v>0</v>
      </c>
      <c r="P12" s="433">
        <f>SUM(B12:O12)</f>
        <v>158</v>
      </c>
    </row>
    <row r="13" spans="1:16" ht="19.5" customHeight="1">
      <c r="A13" s="436" t="s">
        <v>308</v>
      </c>
      <c r="B13" s="437">
        <f>IF(B11=0,IF(B12=0,"-","100%"),B12/B11)</f>
        <v>0.77142857142857146</v>
      </c>
      <c r="C13" s="437">
        <f>IF(C11=0,IF(C12=0,"-","100%"),C12/C11)</f>
        <v>1</v>
      </c>
      <c r="D13" s="437">
        <f t="shared" ref="D13:J13" si="3">IF(D11=0,IF(D12=0,"-","100%"),D12/D11)</f>
        <v>1</v>
      </c>
      <c r="E13" s="437">
        <f t="shared" si="3"/>
        <v>1</v>
      </c>
      <c r="F13" s="437">
        <f t="shared" si="3"/>
        <v>1</v>
      </c>
      <c r="G13" s="437">
        <f t="shared" si="3"/>
        <v>1</v>
      </c>
      <c r="H13" s="437">
        <f t="shared" si="3"/>
        <v>1</v>
      </c>
      <c r="I13" s="437">
        <f t="shared" si="3"/>
        <v>0.7857142857142857</v>
      </c>
      <c r="J13" s="437">
        <f t="shared" si="3"/>
        <v>0</v>
      </c>
      <c r="K13" s="437">
        <f t="shared" ref="K13:O13" si="4">IF(K11=0,IF(K12=0,"-","100%"),K12/K11)</f>
        <v>0.375</v>
      </c>
      <c r="L13" s="437" t="str">
        <f t="shared" si="4"/>
        <v>-</v>
      </c>
      <c r="M13" s="437" t="str">
        <f t="shared" si="4"/>
        <v>-</v>
      </c>
      <c r="N13" s="437" t="str">
        <f t="shared" si="4"/>
        <v>-</v>
      </c>
      <c r="O13" s="437" t="str">
        <f t="shared" si="4"/>
        <v>-</v>
      </c>
      <c r="P13" s="430">
        <f>IF(P11=0,"-",P12/P11)</f>
        <v>0.81865284974093266</v>
      </c>
    </row>
    <row r="14" spans="1:16" ht="4.5" customHeight="1">
      <c r="A14" s="512"/>
      <c r="B14" s="512"/>
      <c r="C14" s="512"/>
      <c r="D14" s="512"/>
      <c r="E14" s="512"/>
      <c r="F14" s="512"/>
      <c r="G14" s="512"/>
      <c r="H14" s="512"/>
      <c r="I14" s="512"/>
      <c r="J14" s="512"/>
      <c r="K14" s="512"/>
      <c r="L14" s="512"/>
      <c r="M14" s="512"/>
      <c r="N14" s="512"/>
      <c r="O14" s="512"/>
      <c r="P14" s="512"/>
    </row>
    <row r="15" spans="1:16" ht="21.75" customHeight="1">
      <c r="A15" s="773" t="s">
        <v>309</v>
      </c>
      <c r="B15" s="773"/>
      <c r="C15" s="773"/>
      <c r="D15" s="773"/>
      <c r="E15" s="773"/>
      <c r="F15" s="773"/>
      <c r="G15" s="773"/>
      <c r="H15" s="773"/>
      <c r="I15" s="773"/>
      <c r="J15" s="773"/>
      <c r="K15" s="773"/>
      <c r="L15" s="773"/>
      <c r="M15" s="773"/>
      <c r="N15" s="773"/>
      <c r="O15" s="773"/>
      <c r="P15" s="773"/>
    </row>
    <row r="16" spans="1:16" ht="19.5" customHeight="1">
      <c r="A16" s="431" t="s">
        <v>306</v>
      </c>
      <c r="B16" s="432">
        <f t="shared" ref="B16:J16" si="5">B7</f>
        <v>35</v>
      </c>
      <c r="C16" s="432">
        <f t="shared" si="5"/>
        <v>10</v>
      </c>
      <c r="D16" s="432">
        <f t="shared" si="5"/>
        <v>9</v>
      </c>
      <c r="E16" s="432">
        <f t="shared" si="5"/>
        <v>52</v>
      </c>
      <c r="F16" s="432">
        <f t="shared" si="5"/>
        <v>14</v>
      </c>
      <c r="G16" s="432">
        <f t="shared" si="5"/>
        <v>18</v>
      </c>
      <c r="H16" s="432">
        <f t="shared" si="5"/>
        <v>11</v>
      </c>
      <c r="I16" s="432">
        <f t="shared" si="5"/>
        <v>14</v>
      </c>
      <c r="J16" s="432">
        <f t="shared" si="5"/>
        <v>14</v>
      </c>
      <c r="K16" s="432">
        <f t="shared" ref="K16:O16" si="6">K7</f>
        <v>16</v>
      </c>
      <c r="L16" s="432">
        <f t="shared" si="6"/>
        <v>0</v>
      </c>
      <c r="M16" s="432">
        <f t="shared" si="6"/>
        <v>0</v>
      </c>
      <c r="N16" s="432">
        <f t="shared" si="6"/>
        <v>0</v>
      </c>
      <c r="O16" s="432">
        <f t="shared" si="6"/>
        <v>0</v>
      </c>
      <c r="P16" s="433">
        <f>P7</f>
        <v>193</v>
      </c>
    </row>
    <row r="17" spans="1:16" ht="19.5" customHeight="1">
      <c r="A17" s="434" t="s">
        <v>307</v>
      </c>
      <c r="B17" s="435" cm="1">
        <f t="array" ref="B17">SUMPRODUCT((HQ!$T$3:$T$89&gt;=B40)*(HQ!$T$3:$T$89&lt;=B41)*(ISNUMBER(HQ!$O$3:$O$89))*(HQ!$O$3:$O$89))</f>
        <v>27</v>
      </c>
      <c r="C17" s="435" cm="1">
        <f t="array" ref="C17">SUMPRODUCT((HQ!$T$3:$T$89&gt;=C40)*(HQ!$T$3:$T$89&lt;=C41)*(ISNUMBER(HQ!$O$3:$O$89))*(HQ!$O$3:$O$89))</f>
        <v>10</v>
      </c>
      <c r="D17" s="435" cm="1">
        <f t="array" ref="D17">SUMPRODUCT((HQ!$T$3:$T$89&gt;=D40)*(HQ!$T$3:$T$89&lt;=D41)*(ISNUMBER(HQ!$O$3:$O$89))*(HQ!$O$3:$O$89))</f>
        <v>9</v>
      </c>
      <c r="E17" s="435" cm="1">
        <f t="array" ref="E17">SUMPRODUCT((HQ!$T$3:$T$89&gt;=E40)*(HQ!$T$3:$T$89&lt;=E41)*(ISNUMBER(HQ!$O$3:$O$89))*(HQ!$O$3:$O$89))</f>
        <v>52</v>
      </c>
      <c r="F17" s="435" cm="1">
        <f t="array" ref="F17">SUMPRODUCT((HQ!$T$3:$T$89&gt;=F40)*(HQ!$T$3:$T$89&lt;=F41)*(ISNUMBER(HQ!$O$3:$O$89))*(HQ!$O$3:$O$89))</f>
        <v>14</v>
      </c>
      <c r="G17" s="435" cm="1">
        <f t="array" ref="G17">SUMPRODUCT((HQ!$T$3:$T$89&gt;=G40)*(HQ!$T$3:$T$89&lt;=G41)*(ISNUMBER(HQ!$O$3:$O$89))*(HQ!$O$3:$O$89))</f>
        <v>18</v>
      </c>
      <c r="H17" s="435" cm="1">
        <f t="array" ref="H17">SUMPRODUCT((HQ!$T$3:$T$89&gt;=H40)*(HQ!$T$3:$T$89&lt;=H41)*(ISNUMBER(HQ!$O$3:$O$89))*(HQ!$O$3:$O$89))</f>
        <v>11</v>
      </c>
      <c r="I17" s="435" cm="1">
        <f t="array" ref="I17">SUMPRODUCT((HQ!$T$3:$T$89&gt;=I40)*(HQ!$T$3:$T$89&lt;=I41)*(ISNUMBER(HQ!$O$3:$O$89))*(HQ!$O$3:$O$89))</f>
        <v>11</v>
      </c>
      <c r="J17" s="435" cm="1">
        <f t="array" ref="J17">SUMPRODUCT((HQ!$T$3:$T$89&gt;=J40)*(HQ!$T$3:$T$89&lt;=J41)*(ISNUMBER(HQ!$O$3:$O$89))*(HQ!$O$3:$O$89))</f>
        <v>0</v>
      </c>
      <c r="K17" s="435" cm="1">
        <f t="array" ref="K17">SUMPRODUCT((HQ!$T$3:$T$89&gt;=K40)*(HQ!$T$3:$T$89&lt;=K41)*(ISNUMBER(HQ!$O$3:$O$89))*(HQ!$O$3:$O$89))</f>
        <v>6</v>
      </c>
      <c r="L17" s="435" cm="1">
        <f t="array" ref="L17">SUMPRODUCT((HQ!$T$3:$T$89&gt;=L40)*(HQ!$T$3:$T$89&lt;=L41)*(ISNUMBER(HQ!$O$3:$O$89))*(HQ!$O$3:$O$89))</f>
        <v>0</v>
      </c>
      <c r="M17" s="435" cm="1">
        <f t="array" ref="M17">SUMPRODUCT((HQ!$T$3:$T$89&gt;=M40)*(HQ!$T$3:$T$89&lt;=M41)*(ISNUMBER(HQ!$O$3:$O$89))*(HQ!$O$3:$O$89))</f>
        <v>0</v>
      </c>
      <c r="N17" s="435" cm="1">
        <f t="array" ref="N17">SUMPRODUCT((HQ!$T$3:$T$89&gt;=N40)*(HQ!$T$3:$T$89&lt;=N41)*(ISNUMBER(HQ!$O$3:$O$89))*(HQ!$O$3:$O$89))</f>
        <v>0</v>
      </c>
      <c r="O17" s="435" cm="1">
        <f t="array" ref="O17">SUMPRODUCT((HQ!$T$3:$T$89&gt;=O40)*(HQ!$T$3:$T$89&lt;=O41)*(ISNUMBER(HQ!$O$3:$O$89))*(HQ!$O$3:$O$89))</f>
        <v>0</v>
      </c>
      <c r="P17" s="433">
        <f>SUM(B17:O17)</f>
        <v>158</v>
      </c>
    </row>
    <row r="18" spans="1:16" ht="19.5" customHeight="1">
      <c r="A18" s="436" t="s">
        <v>310</v>
      </c>
      <c r="B18" s="437">
        <f t="shared" ref="B18:G18" si="7">IF(B16=0,IF(B17=0,"-","100%"),B17/B16)</f>
        <v>0.77142857142857146</v>
      </c>
      <c r="C18" s="437">
        <f t="shared" si="7"/>
        <v>1</v>
      </c>
      <c r="D18" s="437">
        <f t="shared" si="7"/>
        <v>1</v>
      </c>
      <c r="E18" s="437">
        <f t="shared" si="7"/>
        <v>1</v>
      </c>
      <c r="F18" s="437">
        <f t="shared" si="7"/>
        <v>1</v>
      </c>
      <c r="G18" s="437">
        <f t="shared" si="7"/>
        <v>1</v>
      </c>
      <c r="H18" s="437">
        <f t="shared" ref="H18:I18" si="8">IF(H16=0,IF(H17=0,"-","100%"),H17/H16)</f>
        <v>1</v>
      </c>
      <c r="I18" s="437">
        <f t="shared" si="8"/>
        <v>0.7857142857142857</v>
      </c>
      <c r="J18" s="437">
        <f t="shared" ref="J18:O18" si="9">IF(J16=0,IF(J17=0,"-","100%"),J17/J16)</f>
        <v>0</v>
      </c>
      <c r="K18" s="437">
        <f t="shared" si="9"/>
        <v>0.375</v>
      </c>
      <c r="L18" s="437" t="str">
        <f t="shared" si="9"/>
        <v>-</v>
      </c>
      <c r="M18" s="437" t="str">
        <f t="shared" si="9"/>
        <v>-</v>
      </c>
      <c r="N18" s="437" t="str">
        <f t="shared" si="9"/>
        <v>-</v>
      </c>
      <c r="O18" s="437" t="str">
        <f t="shared" si="9"/>
        <v>-</v>
      </c>
      <c r="P18" s="430">
        <f>IF(P16=0,"-",P17/P16)</f>
        <v>0.81865284974093266</v>
      </c>
    </row>
    <row r="19" spans="1:16" ht="4.5" customHeight="1">
      <c r="A19" s="512"/>
      <c r="B19" s="512"/>
      <c r="C19" s="512"/>
      <c r="D19" s="512"/>
      <c r="E19" s="512"/>
      <c r="F19" s="512"/>
      <c r="G19" s="512"/>
      <c r="H19" s="512"/>
      <c r="I19" s="512"/>
      <c r="J19" s="512"/>
      <c r="K19" s="512"/>
      <c r="L19" s="512"/>
      <c r="M19" s="512"/>
      <c r="N19" s="512"/>
      <c r="O19" s="512"/>
      <c r="P19" s="512"/>
    </row>
    <row r="20" spans="1:16" ht="21.75" customHeight="1">
      <c r="A20" s="774" t="s">
        <v>311</v>
      </c>
      <c r="B20" s="774"/>
      <c r="C20" s="774"/>
      <c r="D20" s="774"/>
      <c r="E20" s="774"/>
      <c r="F20" s="774"/>
      <c r="G20" s="774"/>
      <c r="H20" s="774"/>
      <c r="I20" s="774"/>
      <c r="J20" s="774"/>
      <c r="K20" s="774"/>
      <c r="L20" s="774"/>
      <c r="M20" s="774"/>
      <c r="N20" s="774"/>
      <c r="O20" s="774"/>
      <c r="P20" s="774"/>
    </row>
    <row r="21" spans="1:16" ht="19.5" customHeight="1">
      <c r="A21" s="431" t="s">
        <v>306</v>
      </c>
      <c r="B21" s="432">
        <f t="shared" ref="B21:J21" si="10">B7</f>
        <v>35</v>
      </c>
      <c r="C21" s="432">
        <f t="shared" si="10"/>
        <v>10</v>
      </c>
      <c r="D21" s="432">
        <f t="shared" si="10"/>
        <v>9</v>
      </c>
      <c r="E21" s="432">
        <f t="shared" si="10"/>
        <v>52</v>
      </c>
      <c r="F21" s="432">
        <f t="shared" si="10"/>
        <v>14</v>
      </c>
      <c r="G21" s="432">
        <f t="shared" si="10"/>
        <v>18</v>
      </c>
      <c r="H21" s="432">
        <f t="shared" si="10"/>
        <v>11</v>
      </c>
      <c r="I21" s="432">
        <f t="shared" si="10"/>
        <v>14</v>
      </c>
      <c r="J21" s="432">
        <f t="shared" si="10"/>
        <v>14</v>
      </c>
      <c r="K21" s="432">
        <f t="shared" ref="K21:O21" si="11">K7</f>
        <v>16</v>
      </c>
      <c r="L21" s="432">
        <f t="shared" si="11"/>
        <v>0</v>
      </c>
      <c r="M21" s="432">
        <f t="shared" si="11"/>
        <v>0</v>
      </c>
      <c r="N21" s="432">
        <f t="shared" si="11"/>
        <v>0</v>
      </c>
      <c r="O21" s="432">
        <f t="shared" si="11"/>
        <v>0</v>
      </c>
      <c r="P21" s="433">
        <f>P7</f>
        <v>193</v>
      </c>
    </row>
    <row r="22" spans="1:16" ht="19.5" customHeight="1">
      <c r="A22" s="434" t="s">
        <v>307</v>
      </c>
      <c r="B22" s="435" cm="1">
        <f t="array" ref="B22">SUMPRODUCT((HQ!$T$3:$T$89&gt;=B40)*(HQ!$T$3:$T$89&lt;=B41)*(ISNUMBER(HQ!$P$3:$P$89))*(HQ!$P$3:$P$89))</f>
        <v>22</v>
      </c>
      <c r="C22" s="435" cm="1">
        <f t="array" ref="C22">SUMPRODUCT((HQ!$T$3:$T$89&gt;=C40)*(HQ!$T$3:$T$89&lt;=C41)*(ISNUMBER(HQ!$P$3:$P$89))*(HQ!$P$3:$P$89))</f>
        <v>10</v>
      </c>
      <c r="D22" s="435" cm="1">
        <f t="array" ref="D22">SUMPRODUCT((HQ!$T$3:$T$89&gt;=D40)*(HQ!$T$3:$T$89&lt;=D41)*(ISNUMBER(HQ!$P$3:$P$89))*(HQ!$P$3:$P$89))</f>
        <v>9</v>
      </c>
      <c r="E22" s="435" cm="1">
        <f t="array" ref="E22">SUMPRODUCT((HQ!$T$3:$T$89&gt;=E40)*(HQ!$T$3:$T$89&lt;=E41)*(ISNUMBER(HQ!$P$3:$P$89))*(HQ!$P$3:$P$89))</f>
        <v>52</v>
      </c>
      <c r="F22" s="435" cm="1">
        <f t="array" ref="F22">SUMPRODUCT((HQ!$T$3:$T$89&gt;=F40)*(HQ!$T$3:$T$89&lt;=F41)*(ISNUMBER(HQ!$P$3:$P$89))*(HQ!$P$3:$P$89))</f>
        <v>14</v>
      </c>
      <c r="G22" s="435" cm="1">
        <f t="array" ref="G22">SUMPRODUCT((HQ!$T$3:$T$89&gt;=G40)*(HQ!$T$3:$T$89&lt;=G41)*(ISNUMBER(HQ!$P$3:$P$89))*(HQ!$P$3:$P$89))</f>
        <v>18</v>
      </c>
      <c r="H22" s="435" cm="1">
        <f t="array" ref="H22">SUMPRODUCT((HQ!$T$3:$T$89&gt;=H40)*(HQ!$T$3:$T$89&lt;=H41)*(ISNUMBER(HQ!$P$3:$P$89))*(HQ!$P$3:$P$89))</f>
        <v>11</v>
      </c>
      <c r="I22" s="435" cm="1">
        <f t="array" ref="I22">SUMPRODUCT((HQ!$T$3:$T$89&gt;=I40)*(HQ!$T$3:$T$89&lt;=I41)*(ISNUMBER(HQ!$P$3:$P$89))*(HQ!$P$3:$P$89))</f>
        <v>11</v>
      </c>
      <c r="J22" s="435" cm="1">
        <f t="array" ref="J22">SUMPRODUCT((HQ!$T$3:$T$89&gt;=J40)*(HQ!$T$3:$T$89&lt;=J41)*(ISNUMBER(HQ!$P$3:$P$89))*(HQ!$P$3:$P$89))</f>
        <v>0</v>
      </c>
      <c r="K22" s="435" cm="1">
        <f t="array" ref="K22">SUMPRODUCT((HQ!$T$3:$T$89&gt;=K40)*(HQ!$T$3:$T$89&lt;=K41)*(ISNUMBER(HQ!$P$3:$P$89))*(HQ!$P$3:$P$89))</f>
        <v>6</v>
      </c>
      <c r="L22" s="435" cm="1">
        <f t="array" ref="L22">SUMPRODUCT((HQ!$T$3:$T$89&gt;=L40)*(HQ!$T$3:$T$89&lt;=L41)*(ISNUMBER(HQ!$P$3:$P$89))*(HQ!$P$3:$P$89))</f>
        <v>0</v>
      </c>
      <c r="M22" s="435" cm="1">
        <f t="array" ref="M22">SUMPRODUCT((HQ!$T$3:$T$89&gt;=M40)*(HQ!$T$3:$T$89&lt;=M41)*(ISNUMBER(HQ!$P$3:$P$89))*(HQ!$P$3:$P$89))</f>
        <v>0</v>
      </c>
      <c r="N22" s="435" cm="1">
        <f t="array" ref="N22">SUMPRODUCT((HQ!$T$3:$T$89&gt;=N40)*(HQ!$T$3:$T$89&lt;=N41)*(ISNUMBER(HQ!$P$3:$P$89))*(HQ!$P$3:$P$89))</f>
        <v>0</v>
      </c>
      <c r="O22" s="435" cm="1">
        <f t="array" ref="O22">SUMPRODUCT((HQ!$T$3:$T$89&gt;=O40)*(HQ!$T$3:$T$89&lt;=O41)*(ISNUMBER(HQ!$P$3:$P$89))*(HQ!$P$3:$P$89))</f>
        <v>0</v>
      </c>
      <c r="P22" s="433">
        <f>SUM(B22:O22)</f>
        <v>153</v>
      </c>
    </row>
    <row r="23" spans="1:16" ht="19.5" customHeight="1">
      <c r="A23" s="440" t="s">
        <v>312</v>
      </c>
      <c r="B23" s="441">
        <f>MAX(B22-B21,0)</f>
        <v>0</v>
      </c>
      <c r="C23" s="441">
        <f t="shared" ref="C23:J23" si="12">MAX(C22-C21,0)</f>
        <v>0</v>
      </c>
      <c r="D23" s="441">
        <f t="shared" si="12"/>
        <v>0</v>
      </c>
      <c r="E23" s="441">
        <f t="shared" si="12"/>
        <v>0</v>
      </c>
      <c r="F23" s="441">
        <f t="shared" si="12"/>
        <v>0</v>
      </c>
      <c r="G23" s="441">
        <f t="shared" si="12"/>
        <v>0</v>
      </c>
      <c r="H23" s="441">
        <f t="shared" si="12"/>
        <v>0</v>
      </c>
      <c r="I23" s="441">
        <f t="shared" si="12"/>
        <v>0</v>
      </c>
      <c r="J23" s="441">
        <f t="shared" si="12"/>
        <v>0</v>
      </c>
      <c r="K23" s="441">
        <f t="shared" ref="K23:O23" si="13">MAX(K22-K21,0)</f>
        <v>0</v>
      </c>
      <c r="L23" s="441">
        <f t="shared" si="13"/>
        <v>0</v>
      </c>
      <c r="M23" s="441">
        <f t="shared" si="13"/>
        <v>0</v>
      </c>
      <c r="N23" s="441">
        <f t="shared" si="13"/>
        <v>0</v>
      </c>
      <c r="O23" s="441">
        <f t="shared" si="13"/>
        <v>0</v>
      </c>
      <c r="P23" s="433">
        <f>MAX(P22-P21,0)</f>
        <v>0</v>
      </c>
    </row>
    <row r="24" spans="1:16" ht="19.5" customHeight="1">
      <c r="A24" s="440" t="s">
        <v>313</v>
      </c>
      <c r="B24" s="441">
        <f>MAX(B21-B22,0)</f>
        <v>13</v>
      </c>
      <c r="C24" s="441">
        <f>MAX(C21-C22,0)</f>
        <v>0</v>
      </c>
      <c r="D24" s="441">
        <f t="shared" ref="D24:J24" si="14">MAX(D21-D22,0)</f>
        <v>0</v>
      </c>
      <c r="E24" s="441">
        <f t="shared" si="14"/>
        <v>0</v>
      </c>
      <c r="F24" s="441">
        <f t="shared" si="14"/>
        <v>0</v>
      </c>
      <c r="G24" s="441">
        <f t="shared" si="14"/>
        <v>0</v>
      </c>
      <c r="H24" s="441">
        <f t="shared" si="14"/>
        <v>0</v>
      </c>
      <c r="I24" s="441">
        <f t="shared" si="14"/>
        <v>3</v>
      </c>
      <c r="J24" s="441">
        <f t="shared" si="14"/>
        <v>14</v>
      </c>
      <c r="K24" s="441">
        <f t="shared" ref="K24:O24" si="15">MAX(K21-K22,0)</f>
        <v>10</v>
      </c>
      <c r="L24" s="441">
        <f t="shared" si="15"/>
        <v>0</v>
      </c>
      <c r="M24" s="441">
        <f t="shared" si="15"/>
        <v>0</v>
      </c>
      <c r="N24" s="441">
        <f t="shared" si="15"/>
        <v>0</v>
      </c>
      <c r="O24" s="441">
        <f t="shared" si="15"/>
        <v>0</v>
      </c>
      <c r="P24" s="433">
        <f>MAX(P21-P22,0)</f>
        <v>40</v>
      </c>
    </row>
    <row r="25" spans="1:16" ht="19.5" customHeight="1">
      <c r="A25" s="436" t="s">
        <v>314</v>
      </c>
      <c r="B25" s="437">
        <f t="shared" ref="B25:J25" si="16">IF(B21=0,IF(B22=0,"-","100%"),B22/B21)</f>
        <v>0.62857142857142856</v>
      </c>
      <c r="C25" s="437">
        <f t="shared" si="16"/>
        <v>1</v>
      </c>
      <c r="D25" s="437">
        <f t="shared" si="16"/>
        <v>1</v>
      </c>
      <c r="E25" s="437">
        <f t="shared" si="16"/>
        <v>1</v>
      </c>
      <c r="F25" s="437">
        <f t="shared" si="16"/>
        <v>1</v>
      </c>
      <c r="G25" s="437">
        <f t="shared" si="16"/>
        <v>1</v>
      </c>
      <c r="H25" s="437">
        <f t="shared" si="16"/>
        <v>1</v>
      </c>
      <c r="I25" s="437">
        <f t="shared" si="16"/>
        <v>0.7857142857142857</v>
      </c>
      <c r="J25" s="437">
        <f t="shared" si="16"/>
        <v>0</v>
      </c>
      <c r="K25" s="437">
        <f t="shared" ref="K25:O25" si="17">IF(K21=0,IF(K22=0,"-","100%"),K22/K21)</f>
        <v>0.375</v>
      </c>
      <c r="L25" s="437" t="str">
        <f t="shared" si="17"/>
        <v>-</v>
      </c>
      <c r="M25" s="437" t="str">
        <f t="shared" si="17"/>
        <v>-</v>
      </c>
      <c r="N25" s="437" t="str">
        <f t="shared" si="17"/>
        <v>-</v>
      </c>
      <c r="O25" s="437" t="str">
        <f t="shared" si="17"/>
        <v>-</v>
      </c>
      <c r="P25" s="430">
        <f>IF(P21=0,"-",P22/P21)</f>
        <v>0.79274611398963735</v>
      </c>
    </row>
    <row r="26" spans="1:16" ht="4.2" customHeight="1">
      <c r="A26" s="512"/>
      <c r="B26" s="512"/>
      <c r="C26" s="512"/>
      <c r="D26" s="512"/>
      <c r="E26" s="512"/>
      <c r="F26" s="512"/>
      <c r="G26" s="512"/>
      <c r="H26" s="512"/>
      <c r="I26" s="512"/>
      <c r="J26" s="512"/>
      <c r="K26" s="512"/>
      <c r="L26" s="512"/>
      <c r="M26" s="512"/>
      <c r="N26" s="512"/>
      <c r="O26" s="512"/>
      <c r="P26" s="512"/>
    </row>
    <row r="27" spans="1:16" ht="21.75" customHeight="1">
      <c r="A27" s="786" t="s">
        <v>315</v>
      </c>
      <c r="B27" s="787"/>
      <c r="C27" s="787"/>
      <c r="D27" s="787"/>
      <c r="E27" s="787"/>
      <c r="F27" s="787"/>
      <c r="G27" s="787"/>
      <c r="H27" s="787"/>
      <c r="I27" s="787"/>
      <c r="J27" s="787"/>
      <c r="K27" s="787"/>
      <c r="L27" s="787"/>
      <c r="M27" s="787"/>
      <c r="N27" s="787"/>
      <c r="O27" s="787"/>
      <c r="P27" s="787"/>
    </row>
    <row r="28" spans="1:16" ht="19.5" customHeight="1">
      <c r="A28" s="515" t="s">
        <v>316</v>
      </c>
      <c r="B28" s="516">
        <f t="shared" ref="B28:J28" si="18">IF(B7=0,"-",(B12+B17+B22)/(B7*3))</f>
        <v>0.72380952380952379</v>
      </c>
      <c r="C28" s="516">
        <f t="shared" si="18"/>
        <v>1</v>
      </c>
      <c r="D28" s="516">
        <f t="shared" si="18"/>
        <v>1</v>
      </c>
      <c r="E28" s="516">
        <f t="shared" si="18"/>
        <v>1</v>
      </c>
      <c r="F28" s="516">
        <f t="shared" si="18"/>
        <v>1</v>
      </c>
      <c r="G28" s="516">
        <f t="shared" si="18"/>
        <v>1</v>
      </c>
      <c r="H28" s="516">
        <f t="shared" si="18"/>
        <v>1</v>
      </c>
      <c r="I28" s="516">
        <f t="shared" si="18"/>
        <v>0.7857142857142857</v>
      </c>
      <c r="J28" s="516">
        <f t="shared" si="18"/>
        <v>0</v>
      </c>
      <c r="K28" s="516">
        <f t="shared" ref="K28:O28" si="19">IF(K7=0,"-",(K12+K17+K22)/(K7*3))</f>
        <v>0.375</v>
      </c>
      <c r="L28" s="516" t="str">
        <f t="shared" si="19"/>
        <v>-</v>
      </c>
      <c r="M28" s="516" t="str">
        <f t="shared" si="19"/>
        <v>-</v>
      </c>
      <c r="N28" s="516" t="str">
        <f t="shared" si="19"/>
        <v>-</v>
      </c>
      <c r="O28" s="516" t="str">
        <f t="shared" si="19"/>
        <v>-</v>
      </c>
      <c r="P28" s="430">
        <f>IF(P7=0,"-",(P12+P17+P22)/(P7*3))</f>
        <v>0.81001727115716748</v>
      </c>
    </row>
    <row r="29" spans="1:16" ht="4.5" customHeight="1">
      <c r="A29" s="512"/>
      <c r="B29" s="512"/>
      <c r="C29" s="512"/>
      <c r="D29" s="512"/>
      <c r="E29" s="512"/>
      <c r="F29" s="512"/>
      <c r="G29" s="512"/>
      <c r="H29" s="512"/>
      <c r="I29" s="512"/>
      <c r="J29" s="512"/>
      <c r="K29" s="512"/>
      <c r="L29" s="512"/>
      <c r="M29" s="512"/>
      <c r="N29" s="512"/>
      <c r="O29" s="512"/>
      <c r="P29" s="512"/>
    </row>
    <row r="30" spans="1:16" ht="19.5" customHeight="1">
      <c r="A30" s="440" t="s">
        <v>317</v>
      </c>
      <c r="B30" s="441">
        <f>SUM($B7:B7)</f>
        <v>35</v>
      </c>
      <c r="C30" s="441">
        <f>SUM($B7:C7)</f>
        <v>45</v>
      </c>
      <c r="D30" s="441">
        <f>SUM($B7:D7)</f>
        <v>54</v>
      </c>
      <c r="E30" s="441">
        <f>SUM($B7:E7)</f>
        <v>106</v>
      </c>
      <c r="F30" s="441">
        <f>SUM($B7:F7)</f>
        <v>120</v>
      </c>
      <c r="G30" s="441">
        <f>SUM($B7:G7)</f>
        <v>138</v>
      </c>
      <c r="H30" s="441">
        <f>SUM($B7:H7)</f>
        <v>149</v>
      </c>
      <c r="I30" s="441">
        <f>SUM($B7:I7)</f>
        <v>163</v>
      </c>
      <c r="J30" s="441">
        <f>SUM($B7:J7)</f>
        <v>177</v>
      </c>
      <c r="K30" s="441">
        <f>SUM($B7:K7)</f>
        <v>193</v>
      </c>
      <c r="L30" s="441">
        <f>SUM($B7:L7)</f>
        <v>193</v>
      </c>
      <c r="M30" s="441">
        <f>SUM($B7:M7)</f>
        <v>193</v>
      </c>
      <c r="N30" s="441">
        <f>SUM($B7:N7)</f>
        <v>193</v>
      </c>
      <c r="O30" s="441">
        <f>SUM($B7:O7)</f>
        <v>193</v>
      </c>
      <c r="P30" s="433">
        <f>P7</f>
        <v>193</v>
      </c>
    </row>
    <row r="31" spans="1:16" ht="19.5" customHeight="1">
      <c r="A31" s="440" t="s">
        <v>318</v>
      </c>
      <c r="B31" s="441">
        <f>SUM($B22:B22)</f>
        <v>22</v>
      </c>
      <c r="C31" s="441">
        <f>SUM($B22:C22)</f>
        <v>32</v>
      </c>
      <c r="D31" s="441">
        <f>SUM($B22:D22)</f>
        <v>41</v>
      </c>
      <c r="E31" s="441">
        <f>SUM($B22:E22)</f>
        <v>93</v>
      </c>
      <c r="F31" s="441">
        <f>SUM($B22:F22)</f>
        <v>107</v>
      </c>
      <c r="G31" s="441">
        <f>SUM($B22:G22)</f>
        <v>125</v>
      </c>
      <c r="H31" s="441">
        <f>SUM($B22:H22)</f>
        <v>136</v>
      </c>
      <c r="I31" s="441">
        <f>SUM($B22:I22)</f>
        <v>147</v>
      </c>
      <c r="J31" s="441">
        <f>SUM($B22:J22)</f>
        <v>147</v>
      </c>
      <c r="K31" s="441">
        <f>SUM($B22:K22)</f>
        <v>153</v>
      </c>
      <c r="L31" s="441">
        <f>SUM($B22:L22)</f>
        <v>153</v>
      </c>
      <c r="M31" s="441">
        <f>SUM($B22:M22)</f>
        <v>153</v>
      </c>
      <c r="N31" s="441">
        <f>SUM($B22:N22)</f>
        <v>153</v>
      </c>
      <c r="O31" s="441">
        <f>SUM($B22:O22)</f>
        <v>153</v>
      </c>
      <c r="P31" s="433">
        <f>P22</f>
        <v>153</v>
      </c>
    </row>
    <row r="32" spans="1:16" ht="19.5" customHeight="1">
      <c r="A32" s="442" t="s">
        <v>319</v>
      </c>
      <c r="B32" s="443">
        <f t="shared" ref="B32:O32" si="20">IF($P$7=0,"-",B31/$P$7)</f>
        <v>0.11398963730569948</v>
      </c>
      <c r="C32" s="443">
        <f t="shared" si="20"/>
        <v>0.16580310880829016</v>
      </c>
      <c r="D32" s="443">
        <f t="shared" si="20"/>
        <v>0.21243523316062177</v>
      </c>
      <c r="E32" s="443">
        <f t="shared" si="20"/>
        <v>0.48186528497409326</v>
      </c>
      <c r="F32" s="443">
        <f t="shared" si="20"/>
        <v>0.55440414507772018</v>
      </c>
      <c r="G32" s="443">
        <f t="shared" si="20"/>
        <v>0.64766839378238339</v>
      </c>
      <c r="H32" s="443">
        <f t="shared" si="20"/>
        <v>0.70466321243523311</v>
      </c>
      <c r="I32" s="443">
        <f t="shared" si="20"/>
        <v>0.76165803108808294</v>
      </c>
      <c r="J32" s="443">
        <f t="shared" si="20"/>
        <v>0.76165803108808294</v>
      </c>
      <c r="K32" s="443">
        <f t="shared" si="20"/>
        <v>0.79274611398963735</v>
      </c>
      <c r="L32" s="443">
        <f t="shared" si="20"/>
        <v>0.79274611398963735</v>
      </c>
      <c r="M32" s="443">
        <f t="shared" si="20"/>
        <v>0.79274611398963735</v>
      </c>
      <c r="N32" s="443">
        <f t="shared" si="20"/>
        <v>0.79274611398963735</v>
      </c>
      <c r="O32" s="443">
        <f t="shared" si="20"/>
        <v>0.79274611398963735</v>
      </c>
      <c r="P32" s="430">
        <f>IF(P7=0,"-",P31/P7)</f>
        <v>0.79274611398963735</v>
      </c>
    </row>
    <row r="33" spans="1:18" ht="19.5" customHeight="1">
      <c r="A33" s="444" t="s">
        <v>320</v>
      </c>
      <c r="B33" s="445">
        <f t="shared" ref="B33:O33" si="21">IF($P$7=0,"-",B30/$P$7)</f>
        <v>0.18134715025906736</v>
      </c>
      <c r="C33" s="445">
        <f t="shared" si="21"/>
        <v>0.23316062176165803</v>
      </c>
      <c r="D33" s="445">
        <f t="shared" si="21"/>
        <v>0.27979274611398963</v>
      </c>
      <c r="E33" s="445">
        <f t="shared" si="21"/>
        <v>0.54922279792746109</v>
      </c>
      <c r="F33" s="445">
        <f t="shared" si="21"/>
        <v>0.62176165803108807</v>
      </c>
      <c r="G33" s="445">
        <f t="shared" si="21"/>
        <v>0.71502590673575128</v>
      </c>
      <c r="H33" s="445">
        <f t="shared" si="21"/>
        <v>0.772020725388601</v>
      </c>
      <c r="I33" s="445">
        <f t="shared" si="21"/>
        <v>0.84455958549222798</v>
      </c>
      <c r="J33" s="445">
        <f t="shared" si="21"/>
        <v>0.91709844559585496</v>
      </c>
      <c r="K33" s="445">
        <f t="shared" si="21"/>
        <v>1</v>
      </c>
      <c r="L33" s="445">
        <f t="shared" si="21"/>
        <v>1</v>
      </c>
      <c r="M33" s="445">
        <f t="shared" si="21"/>
        <v>1</v>
      </c>
      <c r="N33" s="445">
        <f t="shared" si="21"/>
        <v>1</v>
      </c>
      <c r="O33" s="445">
        <f t="shared" si="21"/>
        <v>1</v>
      </c>
      <c r="P33" s="430">
        <f>IF(P7=0,"-",P30/P7)</f>
        <v>1</v>
      </c>
    </row>
    <row r="34" spans="1:18" ht="17.25" customHeight="1">
      <c r="A34" s="512"/>
      <c r="B34" s="512"/>
      <c r="C34" s="512"/>
      <c r="D34" s="512"/>
      <c r="E34" s="512"/>
      <c r="F34" s="512"/>
      <c r="G34" s="512"/>
      <c r="H34" s="512"/>
      <c r="I34" s="512"/>
      <c r="J34" s="512"/>
      <c r="K34" s="423"/>
      <c r="P34" s="423"/>
      <c r="R34" s="512"/>
    </row>
    <row r="35" spans="1:18" ht="17.25" customHeight="1">
      <c r="A35" s="512" t="s">
        <v>321</v>
      </c>
      <c r="B35" s="512"/>
      <c r="C35" s="512"/>
      <c r="D35" s="512"/>
      <c r="E35" s="512"/>
      <c r="F35" s="512"/>
      <c r="G35" s="512"/>
      <c r="H35" s="512"/>
      <c r="I35" s="512"/>
      <c r="J35" s="512"/>
      <c r="K35" s="423"/>
      <c r="P35" s="423"/>
      <c r="R35" s="512"/>
    </row>
    <row r="39" spans="1:18" hidden="1"/>
    <row r="40" spans="1:18" ht="15" hidden="1" customHeight="1">
      <c r="B40" s="446">
        <f>DATE(2026,2,2)</f>
        <v>46055</v>
      </c>
      <c r="C40" s="446">
        <f>DATE(2026,2,9)</f>
        <v>46062</v>
      </c>
      <c r="D40" s="446">
        <f>DATE(2026,2,16)</f>
        <v>46069</v>
      </c>
      <c r="E40" s="446">
        <f>DATE(2026,2,23)</f>
        <v>46076</v>
      </c>
      <c r="F40" s="446">
        <f>DATE(2026,3,2)</f>
        <v>46083</v>
      </c>
      <c r="G40" s="446">
        <f>DATE(2026,3,9)</f>
        <v>46090</v>
      </c>
      <c r="H40" s="446">
        <f>DATE(2026,3,16)</f>
        <v>46097</v>
      </c>
      <c r="I40" s="446">
        <f>DATE(2026,3,23)</f>
        <v>46104</v>
      </c>
      <c r="J40" s="446">
        <f>DATE(2026,3,30)</f>
        <v>46111</v>
      </c>
      <c r="K40" s="446">
        <f>J40+7</f>
        <v>46118</v>
      </c>
      <c r="L40" s="446">
        <f t="shared" ref="L40:O40" si="22">K40+7</f>
        <v>46125</v>
      </c>
      <c r="M40" s="446">
        <f t="shared" si="22"/>
        <v>46132</v>
      </c>
      <c r="N40" s="446">
        <f t="shared" si="22"/>
        <v>46139</v>
      </c>
      <c r="O40" s="446">
        <f t="shared" si="22"/>
        <v>46146</v>
      </c>
    </row>
    <row r="41" spans="1:18" ht="15" hidden="1" customHeight="1">
      <c r="B41" s="446">
        <f>DATE(2026,2,8)</f>
        <v>46061</v>
      </c>
      <c r="C41" s="446">
        <f>DATE(2026,2,15)</f>
        <v>46068</v>
      </c>
      <c r="D41" s="446">
        <f>DATE(2026,2,22)</f>
        <v>46075</v>
      </c>
      <c r="E41" s="446">
        <f>DATE(2026,3,1)</f>
        <v>46082</v>
      </c>
      <c r="F41" s="446">
        <f>DATE(2026,3,8)</f>
        <v>46089</v>
      </c>
      <c r="G41" s="446">
        <f>DATE(2026,3,15)</f>
        <v>46096</v>
      </c>
      <c r="H41" s="446">
        <f>DATE(2026,3,22)</f>
        <v>46103</v>
      </c>
      <c r="I41" s="446">
        <f>DATE(2026,3,29)</f>
        <v>46110</v>
      </c>
      <c r="J41" s="446">
        <f>DATE(2026,4,5)</f>
        <v>46117</v>
      </c>
      <c r="K41" s="446">
        <f>J41+7</f>
        <v>46124</v>
      </c>
      <c r="L41" s="446">
        <f t="shared" ref="L41:O41" si="23">K41+7</f>
        <v>46131</v>
      </c>
      <c r="M41" s="446">
        <f t="shared" si="23"/>
        <v>46138</v>
      </c>
      <c r="N41" s="446">
        <f t="shared" si="23"/>
        <v>46145</v>
      </c>
      <c r="O41" s="446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3" bestFit="1" customWidth="1"/>
    <col min="2" max="61" width="11.5546875" style="423" bestFit="1" customWidth="1"/>
    <col min="62" max="62" width="11.5546875" bestFit="1" customWidth="1"/>
    <col min="63" max="95" width="11.5546875" style="423" bestFit="1" customWidth="1"/>
    <col min="96" max="96" width="11.5546875" style="423" customWidth="1"/>
    <col min="97" max="98" width="11.5546875" style="423" bestFit="1" customWidth="1"/>
    <col min="99" max="99" width="8.88671875" style="423" bestFit="1" customWidth="1"/>
    <col min="100" max="102" width="8.6640625" style="423"/>
    <col min="104" max="16384" width="8.6640625" style="423"/>
  </cols>
  <sheetData>
    <row r="1" spans="1:99" ht="30" customHeight="1">
      <c r="A1" s="780" t="s">
        <v>322</v>
      </c>
      <c r="B1" s="781"/>
      <c r="C1" s="781"/>
      <c r="D1" s="781"/>
      <c r="E1" s="781"/>
      <c r="F1" s="781"/>
      <c r="G1" s="781"/>
      <c r="H1" s="781"/>
      <c r="I1" s="781"/>
      <c r="J1" s="781"/>
      <c r="K1" s="781"/>
      <c r="L1" s="781"/>
      <c r="M1" s="781"/>
      <c r="N1" s="781"/>
      <c r="O1" s="781"/>
      <c r="P1" s="781"/>
      <c r="Q1" s="781"/>
      <c r="R1" s="781"/>
      <c r="S1" s="781"/>
      <c r="T1" s="781"/>
      <c r="U1" s="781"/>
      <c r="V1" s="781"/>
      <c r="W1" s="781"/>
      <c r="X1" s="781"/>
      <c r="Y1" s="781"/>
      <c r="Z1" s="781"/>
      <c r="AA1" s="781"/>
      <c r="AB1" s="781"/>
      <c r="AC1" s="781"/>
      <c r="AD1" s="781"/>
      <c r="AE1" s="781"/>
      <c r="AF1" s="781"/>
      <c r="AG1" s="781"/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1"/>
      <c r="AW1" s="781"/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1"/>
      <c r="BI1" s="781"/>
      <c r="BJ1" s="781"/>
      <c r="BK1" s="781"/>
      <c r="BL1" s="781"/>
      <c r="BM1" s="781"/>
      <c r="BN1" s="781"/>
      <c r="BO1" s="781"/>
      <c r="BP1" s="781"/>
      <c r="BQ1" s="781"/>
      <c r="BR1" s="781"/>
      <c r="BS1" s="781"/>
      <c r="BT1" s="781"/>
      <c r="BU1" s="781"/>
      <c r="BV1" s="781"/>
      <c r="BW1" s="781"/>
      <c r="BX1" s="781"/>
      <c r="BY1" s="781"/>
      <c r="BZ1" s="781"/>
      <c r="CA1" s="781"/>
      <c r="CB1" s="781"/>
      <c r="CC1" s="781"/>
      <c r="CD1" s="781"/>
      <c r="CE1" s="781"/>
      <c r="CF1" s="781"/>
      <c r="CG1" s="781"/>
      <c r="CH1" s="781"/>
      <c r="CI1" s="781"/>
      <c r="CJ1" s="781"/>
      <c r="CK1" s="781"/>
      <c r="CL1" s="781"/>
      <c r="CM1" s="781"/>
      <c r="CN1" s="781"/>
      <c r="CO1" s="781"/>
      <c r="CP1" s="781"/>
      <c r="CQ1" s="781"/>
      <c r="CR1" s="781"/>
      <c r="CS1" s="781"/>
      <c r="CT1" s="781"/>
      <c r="CU1" s="781"/>
    </row>
    <row r="2" spans="1:99" ht="18" customHeight="1">
      <c r="A2" s="782" t="s">
        <v>323</v>
      </c>
      <c r="B2" s="783"/>
      <c r="C2" s="783"/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3"/>
      <c r="Z2" s="783"/>
      <c r="AA2" s="783"/>
      <c r="AB2" s="783"/>
      <c r="AC2" s="783"/>
      <c r="AD2" s="783"/>
      <c r="AE2" s="783"/>
      <c r="AF2" s="783"/>
      <c r="AG2" s="783"/>
      <c r="AH2" s="783"/>
      <c r="AI2" s="783"/>
      <c r="AJ2" s="783"/>
      <c r="AK2" s="783"/>
      <c r="AL2" s="783"/>
      <c r="AM2" s="783"/>
      <c r="AN2" s="783"/>
      <c r="AO2" s="783"/>
      <c r="AP2" s="783"/>
      <c r="AQ2" s="783"/>
      <c r="AR2" s="783"/>
      <c r="AS2" s="783"/>
      <c r="AT2" s="783"/>
      <c r="AU2" s="783"/>
      <c r="AV2" s="783"/>
      <c r="AW2" s="783"/>
      <c r="AX2" s="783"/>
      <c r="AY2" s="783"/>
      <c r="AZ2" s="783"/>
      <c r="BA2" s="783"/>
      <c r="BB2" s="783"/>
      <c r="BC2" s="783"/>
      <c r="BD2" s="783"/>
      <c r="BE2" s="783"/>
      <c r="BF2" s="783"/>
      <c r="BG2" s="783"/>
      <c r="BH2" s="783"/>
      <c r="BI2" s="783"/>
      <c r="BJ2" s="783"/>
      <c r="BK2" s="783"/>
      <c r="BL2" s="783"/>
      <c r="BM2" s="783"/>
      <c r="BN2" s="783"/>
      <c r="BO2" s="783"/>
      <c r="BP2" s="783"/>
      <c r="BQ2" s="783"/>
      <c r="BR2" s="783"/>
      <c r="BS2" s="783"/>
      <c r="BT2" s="783"/>
      <c r="BU2" s="783"/>
      <c r="BV2" s="783"/>
      <c r="BW2" s="783"/>
      <c r="BX2" s="783"/>
      <c r="BY2" s="783"/>
      <c r="BZ2" s="783"/>
      <c r="CA2" s="783"/>
      <c r="CB2" s="783"/>
      <c r="CC2" s="783"/>
      <c r="CD2" s="783"/>
      <c r="CE2" s="783"/>
      <c r="CF2" s="783"/>
      <c r="CG2" s="783"/>
      <c r="CH2" s="783"/>
      <c r="CI2" s="783"/>
      <c r="CJ2" s="783"/>
      <c r="CK2" s="783"/>
      <c r="CL2" s="783"/>
      <c r="CM2" s="783"/>
      <c r="CN2" s="783"/>
      <c r="CO2" s="783"/>
      <c r="CP2" s="783"/>
      <c r="CQ2" s="783"/>
      <c r="CR2" s="783"/>
      <c r="CS2" s="783"/>
      <c r="CT2" s="783"/>
      <c r="CU2" s="783"/>
    </row>
    <row r="3" spans="1:99" ht="4.5" customHeight="1">
      <c r="BJ3" s="423"/>
    </row>
    <row r="4" spans="1:99">
      <c r="A4" s="779" t="s">
        <v>291</v>
      </c>
      <c r="B4" s="424" t="str">
        <f>TEXT(B42, "d mmm")</f>
        <v>3 ก.พ.</v>
      </c>
      <c r="C4" s="424" t="str">
        <f t="shared" ref="C4:BN4" si="0">TEXT(C42, "d mmm")</f>
        <v>4 ก.พ.</v>
      </c>
      <c r="D4" s="424" t="str">
        <f t="shared" si="0"/>
        <v>5 ก.พ.</v>
      </c>
      <c r="E4" s="424" t="str">
        <f t="shared" si="0"/>
        <v>6 ก.พ.</v>
      </c>
      <c r="F4" s="778" t="str">
        <f t="shared" si="0"/>
        <v>7 ก.พ.</v>
      </c>
      <c r="G4" s="778" t="str">
        <f t="shared" si="0"/>
        <v>8 ก.พ.</v>
      </c>
      <c r="H4" s="424" t="str">
        <f t="shared" si="0"/>
        <v>9 ก.พ.</v>
      </c>
      <c r="I4" s="424" t="str">
        <f t="shared" si="0"/>
        <v>10 ก.พ.</v>
      </c>
      <c r="J4" s="424" t="str">
        <f t="shared" si="0"/>
        <v>11 ก.พ.</v>
      </c>
      <c r="K4" s="424" t="str">
        <f t="shared" si="0"/>
        <v>12 ก.พ.</v>
      </c>
      <c r="L4" s="424" t="str">
        <f t="shared" si="0"/>
        <v>13 ก.พ.</v>
      </c>
      <c r="M4" s="778" t="str">
        <f t="shared" si="0"/>
        <v>14 ก.พ.</v>
      </c>
      <c r="N4" s="778" t="str">
        <f t="shared" si="0"/>
        <v>15 ก.พ.</v>
      </c>
      <c r="O4" s="424" t="str">
        <f t="shared" si="0"/>
        <v>16 ก.พ.</v>
      </c>
      <c r="P4" s="424" t="str">
        <f t="shared" si="0"/>
        <v>17 ก.พ.</v>
      </c>
      <c r="Q4" s="424" t="str">
        <f t="shared" si="0"/>
        <v>18 ก.พ.</v>
      </c>
      <c r="R4" s="424" t="str">
        <f t="shared" si="0"/>
        <v>19 ก.พ.</v>
      </c>
      <c r="S4" s="424" t="str">
        <f t="shared" si="0"/>
        <v>20 ก.พ.</v>
      </c>
      <c r="T4" s="778" t="str">
        <f t="shared" si="0"/>
        <v>21 ก.พ.</v>
      </c>
      <c r="U4" s="778" t="str">
        <f t="shared" si="0"/>
        <v>22 ก.พ.</v>
      </c>
      <c r="V4" s="424" t="str">
        <f t="shared" si="0"/>
        <v>23 ก.พ.</v>
      </c>
      <c r="W4" s="424" t="str">
        <f t="shared" si="0"/>
        <v>24 ก.พ.</v>
      </c>
      <c r="X4" s="424" t="str">
        <f t="shared" si="0"/>
        <v>25 ก.พ.</v>
      </c>
      <c r="Y4" s="424" t="str">
        <f t="shared" si="0"/>
        <v>26 ก.พ.</v>
      </c>
      <c r="Z4" s="424" t="str">
        <f t="shared" si="0"/>
        <v>27 ก.พ.</v>
      </c>
      <c r="AA4" s="778" t="str">
        <f t="shared" si="0"/>
        <v>28 ก.พ.</v>
      </c>
      <c r="AB4" s="778" t="str">
        <f t="shared" si="0"/>
        <v>1 มี.ค.</v>
      </c>
      <c r="AC4" s="424" t="str">
        <f t="shared" si="0"/>
        <v>2 มี.ค.</v>
      </c>
      <c r="AD4" s="424" t="str">
        <f t="shared" si="0"/>
        <v>3 มี.ค.</v>
      </c>
      <c r="AE4" s="424" t="str">
        <f t="shared" si="0"/>
        <v>4 มี.ค.</v>
      </c>
      <c r="AF4" s="424" t="str">
        <f t="shared" si="0"/>
        <v>5 มี.ค.</v>
      </c>
      <c r="AG4" s="424" t="str">
        <f t="shared" si="0"/>
        <v>6 มี.ค.</v>
      </c>
      <c r="AH4" s="778" t="str">
        <f t="shared" si="0"/>
        <v>7 มี.ค.</v>
      </c>
      <c r="AI4" s="778" t="str">
        <f t="shared" si="0"/>
        <v>8 มี.ค.</v>
      </c>
      <c r="AJ4" s="424" t="str">
        <f t="shared" si="0"/>
        <v>9 มี.ค.</v>
      </c>
      <c r="AK4" s="424" t="str">
        <f t="shared" si="0"/>
        <v>10 มี.ค.</v>
      </c>
      <c r="AL4" s="424" t="str">
        <f t="shared" si="0"/>
        <v>11 มี.ค.</v>
      </c>
      <c r="AM4" s="424" t="str">
        <f t="shared" si="0"/>
        <v>12 มี.ค.</v>
      </c>
      <c r="AN4" s="424" t="str">
        <f t="shared" si="0"/>
        <v>13 มี.ค.</v>
      </c>
      <c r="AO4" s="778" t="str">
        <f t="shared" si="0"/>
        <v>14 มี.ค.</v>
      </c>
      <c r="AP4" s="778" t="str">
        <f t="shared" si="0"/>
        <v>15 มี.ค.</v>
      </c>
      <c r="AQ4" s="424" t="str">
        <f t="shared" si="0"/>
        <v>16 มี.ค.</v>
      </c>
      <c r="AR4" s="424" t="str">
        <f t="shared" si="0"/>
        <v>17 มี.ค.</v>
      </c>
      <c r="AS4" s="424" t="str">
        <f t="shared" si="0"/>
        <v>18 มี.ค.</v>
      </c>
      <c r="AT4" s="424" t="str">
        <f t="shared" si="0"/>
        <v>19 มี.ค.</v>
      </c>
      <c r="AU4" s="424" t="str">
        <f t="shared" si="0"/>
        <v>20 มี.ค.</v>
      </c>
      <c r="AV4" s="778" t="str">
        <f t="shared" si="0"/>
        <v>21 มี.ค.</v>
      </c>
      <c r="AW4" s="778" t="str">
        <f t="shared" si="0"/>
        <v>22 มี.ค.</v>
      </c>
      <c r="AX4" s="424" t="str">
        <f t="shared" si="0"/>
        <v>23 มี.ค.</v>
      </c>
      <c r="AY4" s="424" t="str">
        <f t="shared" si="0"/>
        <v>24 มี.ค.</v>
      </c>
      <c r="AZ4" s="424" t="str">
        <f t="shared" si="0"/>
        <v>25 มี.ค.</v>
      </c>
      <c r="BA4" s="424" t="str">
        <f t="shared" si="0"/>
        <v>26 มี.ค.</v>
      </c>
      <c r="BB4" s="424" t="str">
        <f t="shared" si="0"/>
        <v>27 มี.ค.</v>
      </c>
      <c r="BC4" s="778" t="str">
        <f t="shared" si="0"/>
        <v>28 มี.ค.</v>
      </c>
      <c r="BD4" s="778" t="str">
        <f t="shared" si="0"/>
        <v>29 มี.ค.</v>
      </c>
      <c r="BE4" s="424" t="str">
        <f t="shared" si="0"/>
        <v>30 มี.ค.</v>
      </c>
      <c r="BF4" s="424" t="str">
        <f t="shared" si="0"/>
        <v>31 มี.ค.</v>
      </c>
      <c r="BG4" s="424" t="str">
        <f t="shared" si="0"/>
        <v>1 เม.ย.</v>
      </c>
      <c r="BH4" s="424" t="str">
        <f t="shared" si="0"/>
        <v>2 เม.ย.</v>
      </c>
      <c r="BI4" s="424" t="str">
        <f t="shared" si="0"/>
        <v>3 เม.ย.</v>
      </c>
      <c r="BJ4" s="778" t="str">
        <f>TEXT(BJ42, "d mmm")</f>
        <v>4 เม.ย.</v>
      </c>
      <c r="BK4" s="778" t="str">
        <f t="shared" si="0"/>
        <v>5 เม.ย.</v>
      </c>
      <c r="BL4" s="424" t="str">
        <f t="shared" si="0"/>
        <v>6 เม.ย.</v>
      </c>
      <c r="BM4" s="424" t="str">
        <f t="shared" si="0"/>
        <v>7 เม.ย.</v>
      </c>
      <c r="BN4" s="424" t="str">
        <f t="shared" si="0"/>
        <v>8 เม.ย.</v>
      </c>
      <c r="BO4" s="424" t="str">
        <f t="shared" ref="BO4:CT4" si="1">TEXT(BO42, "d mmm")</f>
        <v>9 เม.ย.</v>
      </c>
      <c r="BP4" s="424" t="str">
        <f t="shared" si="1"/>
        <v>10 เม.ย.</v>
      </c>
      <c r="BQ4" s="778" t="str">
        <f t="shared" si="1"/>
        <v>11 เม.ย.</v>
      </c>
      <c r="BR4" s="778" t="str">
        <f t="shared" si="1"/>
        <v>12 เม.ย.</v>
      </c>
      <c r="BS4" s="424" t="str">
        <f t="shared" si="1"/>
        <v>13 เม.ย.</v>
      </c>
      <c r="BT4" s="424" t="str">
        <f t="shared" si="1"/>
        <v>14 เม.ย.</v>
      </c>
      <c r="BU4" s="424" t="str">
        <f t="shared" si="1"/>
        <v>15 เม.ย.</v>
      </c>
      <c r="BV4" s="424" t="str">
        <f t="shared" si="1"/>
        <v>16 เม.ย.</v>
      </c>
      <c r="BW4" s="424" t="str">
        <f t="shared" si="1"/>
        <v>17 เม.ย.</v>
      </c>
      <c r="BX4" s="778" t="str">
        <f t="shared" si="1"/>
        <v>18 เม.ย.</v>
      </c>
      <c r="BY4" s="778" t="str">
        <f t="shared" si="1"/>
        <v>19 เม.ย.</v>
      </c>
      <c r="BZ4" s="424" t="str">
        <f t="shared" si="1"/>
        <v>20 เม.ย.</v>
      </c>
      <c r="CA4" s="424" t="str">
        <f t="shared" si="1"/>
        <v>21 เม.ย.</v>
      </c>
      <c r="CB4" s="424" t="str">
        <f t="shared" si="1"/>
        <v>22 เม.ย.</v>
      </c>
      <c r="CC4" s="424" t="str">
        <f t="shared" si="1"/>
        <v>23 เม.ย.</v>
      </c>
      <c r="CD4" s="424" t="str">
        <f t="shared" si="1"/>
        <v>24 เม.ย.</v>
      </c>
      <c r="CE4" s="778" t="str">
        <f t="shared" si="1"/>
        <v>25 เม.ย.</v>
      </c>
      <c r="CF4" s="778" t="str">
        <f t="shared" si="1"/>
        <v>26 เม.ย.</v>
      </c>
      <c r="CG4" s="424" t="str">
        <f t="shared" si="1"/>
        <v>27 เม.ย.</v>
      </c>
      <c r="CH4" s="424" t="str">
        <f t="shared" si="1"/>
        <v>28 เม.ย.</v>
      </c>
      <c r="CI4" s="424" t="str">
        <f t="shared" si="1"/>
        <v>29 เม.ย.</v>
      </c>
      <c r="CJ4" s="424" t="str">
        <f t="shared" si="1"/>
        <v>30 เม.ย.</v>
      </c>
      <c r="CK4" s="424" t="str">
        <f t="shared" si="1"/>
        <v>1 พ.ค.</v>
      </c>
      <c r="CL4" s="778" t="str">
        <f t="shared" si="1"/>
        <v>2 พ.ค.</v>
      </c>
      <c r="CM4" s="778" t="str">
        <f t="shared" si="1"/>
        <v>3 พ.ค.</v>
      </c>
      <c r="CN4" s="424" t="str">
        <f t="shared" si="1"/>
        <v>4 พ.ค.</v>
      </c>
      <c r="CO4" s="424" t="str">
        <f t="shared" si="1"/>
        <v>5 พ.ค.</v>
      </c>
      <c r="CP4" s="424" t="str">
        <f t="shared" si="1"/>
        <v>6 พ.ค.</v>
      </c>
      <c r="CQ4" s="424" t="str">
        <f t="shared" si="1"/>
        <v>7 พ.ค.</v>
      </c>
      <c r="CR4" s="424" t="str">
        <f t="shared" si="1"/>
        <v>8 พ.ค.</v>
      </c>
      <c r="CS4" s="778" t="str">
        <f t="shared" si="1"/>
        <v>9 พ.ค.</v>
      </c>
      <c r="CT4" s="778" t="str">
        <f t="shared" si="1"/>
        <v>10 พ.ค.</v>
      </c>
      <c r="CU4" s="779" t="s">
        <v>301</v>
      </c>
    </row>
    <row r="5" spans="1:99" ht="18" customHeight="1">
      <c r="A5" s="779"/>
      <c r="B5" s="776" t="str">
        <f>TEXT(B42, "ddd")</f>
        <v>อ.</v>
      </c>
      <c r="C5" s="776" t="str">
        <f t="shared" ref="C5:BN5" si="2">TEXT(C42, "ddd")</f>
        <v>พ.</v>
      </c>
      <c r="D5" s="776" t="str">
        <f t="shared" si="2"/>
        <v>พฤ.</v>
      </c>
      <c r="E5" s="776" t="str">
        <f t="shared" si="2"/>
        <v>ศ.</v>
      </c>
      <c r="F5" s="777" t="str">
        <f t="shared" si="2"/>
        <v>ส.</v>
      </c>
      <c r="G5" s="777" t="str">
        <f t="shared" si="2"/>
        <v>อา.</v>
      </c>
      <c r="H5" s="776" t="str">
        <f t="shared" si="2"/>
        <v>จ.</v>
      </c>
      <c r="I5" s="776" t="str">
        <f t="shared" si="2"/>
        <v>อ.</v>
      </c>
      <c r="J5" s="776" t="str">
        <f t="shared" si="2"/>
        <v>พ.</v>
      </c>
      <c r="K5" s="776" t="str">
        <f t="shared" si="2"/>
        <v>พฤ.</v>
      </c>
      <c r="L5" s="776" t="str">
        <f t="shared" si="2"/>
        <v>ศ.</v>
      </c>
      <c r="M5" s="777" t="str">
        <f t="shared" si="2"/>
        <v>ส.</v>
      </c>
      <c r="N5" s="777" t="str">
        <f t="shared" si="2"/>
        <v>อา.</v>
      </c>
      <c r="O5" s="776" t="str">
        <f t="shared" si="2"/>
        <v>จ.</v>
      </c>
      <c r="P5" s="776" t="str">
        <f t="shared" si="2"/>
        <v>อ.</v>
      </c>
      <c r="Q5" s="776" t="str">
        <f t="shared" si="2"/>
        <v>พ.</v>
      </c>
      <c r="R5" s="776" t="str">
        <f t="shared" si="2"/>
        <v>พฤ.</v>
      </c>
      <c r="S5" s="776" t="str">
        <f t="shared" si="2"/>
        <v>ศ.</v>
      </c>
      <c r="T5" s="777" t="str">
        <f t="shared" si="2"/>
        <v>ส.</v>
      </c>
      <c r="U5" s="777" t="str">
        <f t="shared" si="2"/>
        <v>อา.</v>
      </c>
      <c r="V5" s="776" t="str">
        <f t="shared" si="2"/>
        <v>จ.</v>
      </c>
      <c r="W5" s="776" t="str">
        <f t="shared" si="2"/>
        <v>อ.</v>
      </c>
      <c r="X5" s="776" t="str">
        <f t="shared" si="2"/>
        <v>พ.</v>
      </c>
      <c r="Y5" s="776" t="str">
        <f t="shared" si="2"/>
        <v>พฤ.</v>
      </c>
      <c r="Z5" s="776" t="str">
        <f t="shared" si="2"/>
        <v>ศ.</v>
      </c>
      <c r="AA5" s="777" t="str">
        <f t="shared" si="2"/>
        <v>ส.</v>
      </c>
      <c r="AB5" s="777" t="str">
        <f t="shared" si="2"/>
        <v>อา.</v>
      </c>
      <c r="AC5" s="776" t="str">
        <f t="shared" si="2"/>
        <v>จ.</v>
      </c>
      <c r="AD5" s="776" t="str">
        <f t="shared" si="2"/>
        <v>อ.</v>
      </c>
      <c r="AE5" s="776" t="str">
        <f t="shared" si="2"/>
        <v>พ.</v>
      </c>
      <c r="AF5" s="776" t="str">
        <f t="shared" si="2"/>
        <v>พฤ.</v>
      </c>
      <c r="AG5" s="776" t="str">
        <f t="shared" si="2"/>
        <v>ศ.</v>
      </c>
      <c r="AH5" s="777" t="str">
        <f t="shared" si="2"/>
        <v>ส.</v>
      </c>
      <c r="AI5" s="777" t="str">
        <f t="shared" si="2"/>
        <v>อา.</v>
      </c>
      <c r="AJ5" s="776" t="str">
        <f t="shared" si="2"/>
        <v>จ.</v>
      </c>
      <c r="AK5" s="776" t="str">
        <f t="shared" si="2"/>
        <v>อ.</v>
      </c>
      <c r="AL5" s="776" t="str">
        <f t="shared" si="2"/>
        <v>พ.</v>
      </c>
      <c r="AM5" s="776" t="str">
        <f t="shared" si="2"/>
        <v>พฤ.</v>
      </c>
      <c r="AN5" s="776" t="str">
        <f t="shared" si="2"/>
        <v>ศ.</v>
      </c>
      <c r="AO5" s="777" t="str">
        <f t="shared" si="2"/>
        <v>ส.</v>
      </c>
      <c r="AP5" s="777" t="str">
        <f t="shared" si="2"/>
        <v>อา.</v>
      </c>
      <c r="AQ5" s="776" t="str">
        <f t="shared" si="2"/>
        <v>จ.</v>
      </c>
      <c r="AR5" s="776" t="str">
        <f t="shared" si="2"/>
        <v>อ.</v>
      </c>
      <c r="AS5" s="776" t="str">
        <f t="shared" si="2"/>
        <v>พ.</v>
      </c>
      <c r="AT5" s="776" t="str">
        <f t="shared" si="2"/>
        <v>พฤ.</v>
      </c>
      <c r="AU5" s="776" t="str">
        <f t="shared" si="2"/>
        <v>ศ.</v>
      </c>
      <c r="AV5" s="777" t="str">
        <f t="shared" si="2"/>
        <v>ส.</v>
      </c>
      <c r="AW5" s="777" t="str">
        <f t="shared" si="2"/>
        <v>อา.</v>
      </c>
      <c r="AX5" s="776" t="str">
        <f t="shared" si="2"/>
        <v>จ.</v>
      </c>
      <c r="AY5" s="776" t="str">
        <f t="shared" si="2"/>
        <v>อ.</v>
      </c>
      <c r="AZ5" s="776" t="str">
        <f t="shared" si="2"/>
        <v>พ.</v>
      </c>
      <c r="BA5" s="776" t="str">
        <f t="shared" si="2"/>
        <v>พฤ.</v>
      </c>
      <c r="BB5" s="776" t="str">
        <f t="shared" si="2"/>
        <v>ศ.</v>
      </c>
      <c r="BC5" s="777" t="str">
        <f t="shared" si="2"/>
        <v>ส.</v>
      </c>
      <c r="BD5" s="777" t="str">
        <f t="shared" si="2"/>
        <v>อา.</v>
      </c>
      <c r="BE5" s="776" t="str">
        <f t="shared" si="2"/>
        <v>จ.</v>
      </c>
      <c r="BF5" s="776" t="str">
        <f t="shared" si="2"/>
        <v>อ.</v>
      </c>
      <c r="BG5" s="776" t="str">
        <f t="shared" si="2"/>
        <v>พ.</v>
      </c>
      <c r="BH5" s="776" t="str">
        <f t="shared" si="2"/>
        <v>พฤ.</v>
      </c>
      <c r="BI5" s="776" t="str">
        <f t="shared" si="2"/>
        <v>ศ.</v>
      </c>
      <c r="BJ5" s="777" t="str">
        <f t="shared" si="2"/>
        <v>ส.</v>
      </c>
      <c r="BK5" s="777" t="str">
        <f t="shared" si="2"/>
        <v>อา.</v>
      </c>
      <c r="BL5" s="776" t="str">
        <f t="shared" si="2"/>
        <v>จ.</v>
      </c>
      <c r="BM5" s="776" t="str">
        <f t="shared" si="2"/>
        <v>อ.</v>
      </c>
      <c r="BN5" s="776" t="str">
        <f t="shared" si="2"/>
        <v>พ.</v>
      </c>
      <c r="BO5" s="776" t="str">
        <f t="shared" ref="BO5:CT5" si="3">TEXT(BO42, "ddd")</f>
        <v>พฤ.</v>
      </c>
      <c r="BP5" s="776" t="str">
        <f t="shared" si="3"/>
        <v>ศ.</v>
      </c>
      <c r="BQ5" s="777" t="str">
        <f t="shared" si="3"/>
        <v>ส.</v>
      </c>
      <c r="BR5" s="777" t="str">
        <f t="shared" si="3"/>
        <v>อา.</v>
      </c>
      <c r="BS5" s="776" t="str">
        <f t="shared" si="3"/>
        <v>จ.</v>
      </c>
      <c r="BT5" s="776" t="str">
        <f t="shared" si="3"/>
        <v>อ.</v>
      </c>
      <c r="BU5" s="776" t="str">
        <f t="shared" si="3"/>
        <v>พ.</v>
      </c>
      <c r="BV5" s="776" t="str">
        <f t="shared" si="3"/>
        <v>พฤ.</v>
      </c>
      <c r="BW5" s="776" t="str">
        <f t="shared" si="3"/>
        <v>ศ.</v>
      </c>
      <c r="BX5" s="777" t="str">
        <f t="shared" si="3"/>
        <v>ส.</v>
      </c>
      <c r="BY5" s="777" t="str">
        <f t="shared" si="3"/>
        <v>อา.</v>
      </c>
      <c r="BZ5" s="776" t="str">
        <f t="shared" si="3"/>
        <v>จ.</v>
      </c>
      <c r="CA5" s="776" t="str">
        <f t="shared" si="3"/>
        <v>อ.</v>
      </c>
      <c r="CB5" s="776" t="str">
        <f t="shared" si="3"/>
        <v>พ.</v>
      </c>
      <c r="CC5" s="776" t="str">
        <f t="shared" si="3"/>
        <v>พฤ.</v>
      </c>
      <c r="CD5" s="776" t="str">
        <f t="shared" si="3"/>
        <v>ศ.</v>
      </c>
      <c r="CE5" s="777" t="str">
        <f t="shared" si="3"/>
        <v>ส.</v>
      </c>
      <c r="CF5" s="777" t="str">
        <f t="shared" si="3"/>
        <v>อา.</v>
      </c>
      <c r="CG5" s="776" t="str">
        <f t="shared" si="3"/>
        <v>จ.</v>
      </c>
      <c r="CH5" s="776" t="str">
        <f t="shared" si="3"/>
        <v>อ.</v>
      </c>
      <c r="CI5" s="776" t="str">
        <f t="shared" si="3"/>
        <v>พ.</v>
      </c>
      <c r="CJ5" s="776" t="str">
        <f t="shared" si="3"/>
        <v>พฤ.</v>
      </c>
      <c r="CK5" s="776" t="str">
        <f t="shared" si="3"/>
        <v>ศ.</v>
      </c>
      <c r="CL5" s="777" t="str">
        <f t="shared" si="3"/>
        <v>ส.</v>
      </c>
      <c r="CM5" s="777" t="str">
        <f t="shared" si="3"/>
        <v>อา.</v>
      </c>
      <c r="CN5" s="776" t="str">
        <f t="shared" si="3"/>
        <v>จ.</v>
      </c>
      <c r="CO5" s="776" t="str">
        <f t="shared" si="3"/>
        <v>อ.</v>
      </c>
      <c r="CP5" s="776" t="str">
        <f t="shared" si="3"/>
        <v>พ.</v>
      </c>
      <c r="CQ5" s="776" t="str">
        <f t="shared" si="3"/>
        <v>พฤ.</v>
      </c>
      <c r="CR5" s="776" t="str">
        <f t="shared" si="3"/>
        <v>ศ.</v>
      </c>
      <c r="CS5" s="777" t="str">
        <f t="shared" si="3"/>
        <v>ส.</v>
      </c>
      <c r="CT5" s="777" t="str">
        <f t="shared" si="3"/>
        <v>อา.</v>
      </c>
      <c r="CU5" s="779"/>
    </row>
    <row r="6" spans="1:99" ht="21.75" customHeight="1">
      <c r="A6" s="784" t="s">
        <v>302</v>
      </c>
      <c r="B6" s="785"/>
      <c r="C6" s="785"/>
      <c r="D6" s="785"/>
      <c r="E6" s="785"/>
      <c r="F6" s="785"/>
      <c r="G6" s="785"/>
      <c r="H6" s="785"/>
      <c r="I6" s="785"/>
      <c r="J6" s="785"/>
      <c r="K6" s="785"/>
      <c r="L6" s="785"/>
      <c r="M6" s="785"/>
      <c r="N6" s="785"/>
      <c r="O6" s="785"/>
      <c r="P6" s="785"/>
      <c r="Q6" s="785"/>
      <c r="R6" s="785"/>
      <c r="S6" s="785"/>
      <c r="T6" s="785"/>
      <c r="U6" s="785"/>
      <c r="V6" s="785"/>
      <c r="W6" s="785"/>
      <c r="X6" s="785"/>
      <c r="Y6" s="785"/>
      <c r="Z6" s="785"/>
      <c r="AA6" s="785"/>
      <c r="AB6" s="785"/>
      <c r="AC6" s="785"/>
      <c r="AD6" s="785"/>
      <c r="AE6" s="785"/>
      <c r="AF6" s="785"/>
      <c r="AG6" s="785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85"/>
      <c r="AU6" s="785"/>
      <c r="AV6" s="785"/>
      <c r="AW6" s="785"/>
      <c r="AX6" s="785"/>
      <c r="AY6" s="785"/>
      <c r="AZ6" s="785"/>
      <c r="BA6" s="785"/>
      <c r="BB6" s="785"/>
      <c r="BC6" s="785"/>
      <c r="BD6" s="785"/>
      <c r="BE6" s="785"/>
      <c r="BF6" s="785"/>
      <c r="BG6" s="785"/>
      <c r="BH6" s="785"/>
      <c r="BI6" s="785"/>
      <c r="BJ6" s="785"/>
      <c r="BK6" s="785"/>
      <c r="BL6" s="785"/>
      <c r="BM6" s="785"/>
      <c r="BN6" s="785"/>
      <c r="BO6" s="785"/>
      <c r="BP6" s="785"/>
      <c r="BQ6" s="785"/>
      <c r="BR6" s="785"/>
      <c r="BS6" s="785"/>
      <c r="BT6" s="785"/>
      <c r="BU6" s="785"/>
      <c r="BV6" s="785"/>
      <c r="BW6" s="785"/>
      <c r="BX6" s="785"/>
      <c r="BY6" s="785"/>
      <c r="BZ6" s="785"/>
      <c r="CA6" s="785"/>
      <c r="CB6" s="785"/>
      <c r="CC6" s="785"/>
      <c r="CD6" s="785"/>
      <c r="CE6" s="785"/>
      <c r="CF6" s="785"/>
      <c r="CG6" s="785"/>
      <c r="CH6" s="785"/>
      <c r="CI6" s="785"/>
      <c r="CJ6" s="785"/>
      <c r="CK6" s="785"/>
      <c r="CL6" s="785"/>
      <c r="CM6" s="785"/>
      <c r="CN6" s="785"/>
      <c r="CO6" s="785"/>
      <c r="CP6" s="785"/>
      <c r="CQ6" s="785"/>
      <c r="CR6" s="785"/>
      <c r="CS6" s="785"/>
      <c r="CT6" s="785"/>
      <c r="CU6" s="785"/>
    </row>
    <row r="7" spans="1:99" ht="19.5" customHeight="1">
      <c r="A7" s="425" t="s">
        <v>303</v>
      </c>
      <c r="B7" s="514" cm="1">
        <f t="array" ref="B7">SUMPRODUCT((HQ!$T$3:$T$89=B42)*(ISNUMBER(HQ!$G$3:$G$89))*(HQ!$G$3:$G$89))</f>
        <v>35</v>
      </c>
      <c r="C7" s="514" cm="1">
        <f t="array" ref="C7">SUMPRODUCT((HQ!$T$3:$T$89=C42)*(ISNUMBER(HQ!$G$3:$G$89))*(HQ!$G$3:$G$89))</f>
        <v>0</v>
      </c>
      <c r="D7" s="514" cm="1">
        <f t="array" ref="D7">SUMPRODUCT((HQ!$T$3:$T$89=D42)*(ISNUMBER(HQ!$G$3:$G$89))*(HQ!$G$3:$G$89))</f>
        <v>0</v>
      </c>
      <c r="E7" s="514" cm="1">
        <f t="array" ref="E7">SUMPRODUCT((HQ!$T$3:$T$89=E42)*(ISNUMBER(HQ!$G$3:$G$89))*(HQ!$G$3:$G$89))</f>
        <v>0</v>
      </c>
      <c r="F7" s="514" cm="1">
        <f t="array" ref="F7">SUMPRODUCT((HQ!$T$3:$T$89=F42)*(ISNUMBER(HQ!$G$3:$G$89))*(HQ!$G$3:$G$89))</f>
        <v>0</v>
      </c>
      <c r="G7" s="514" cm="1">
        <f t="array" ref="G7">SUMPRODUCT((HQ!$T$3:$T$89=G42)*(ISNUMBER(HQ!$G$3:$G$89))*(HQ!$G$3:$G$89))</f>
        <v>0</v>
      </c>
      <c r="H7" s="514" cm="1">
        <f t="array" ref="H7">SUMPRODUCT((HQ!$T$3:$T$89=H42)*(ISNUMBER(HQ!$G$3:$G$89))*(HQ!$G$3:$G$89))</f>
        <v>0</v>
      </c>
      <c r="I7" s="514" cm="1">
        <f t="array" ref="I7">SUMPRODUCT((HQ!$T$3:$T$89=I42)*(ISNUMBER(HQ!$G$3:$G$89))*(HQ!$G$3:$G$89))</f>
        <v>0</v>
      </c>
      <c r="J7" s="514" cm="1">
        <f t="array" ref="J7">SUMPRODUCT((HQ!$T$3:$T$89=J42)*(ISNUMBER(HQ!$G$3:$G$89))*(HQ!$G$3:$G$89))</f>
        <v>10</v>
      </c>
      <c r="K7" s="514" cm="1">
        <f t="array" ref="K7">SUMPRODUCT((HQ!$T$3:$T$89=K42)*(ISNUMBER(HQ!$G$3:$G$89))*(HQ!$G$3:$G$89))</f>
        <v>0</v>
      </c>
      <c r="L7" s="514" cm="1">
        <f t="array" ref="L7">SUMPRODUCT((HQ!$T$3:$T$89=L42)*(ISNUMBER(HQ!$G$3:$G$89))*(HQ!$G$3:$G$89))</f>
        <v>0</v>
      </c>
      <c r="M7" s="514" cm="1">
        <f t="array" ref="M7">SUMPRODUCT((HQ!$T$3:$T$89=M42)*(ISNUMBER(HQ!$G$3:$G$89))*(HQ!$G$3:$G$89))</f>
        <v>0</v>
      </c>
      <c r="N7" s="514" cm="1">
        <f t="array" ref="N7">SUMPRODUCT((HQ!$T$3:$T$89=N42)*(ISNUMBER(HQ!$G$3:$G$89))*(HQ!$G$3:$G$89))</f>
        <v>0</v>
      </c>
      <c r="O7" s="514" cm="1">
        <f t="array" ref="O7">SUMPRODUCT((HQ!$T$3:$T$89=O42)*(ISNUMBER(HQ!$G$3:$G$89))*(HQ!$G$3:$G$89))</f>
        <v>0</v>
      </c>
      <c r="P7" s="514" cm="1">
        <f t="array" ref="P7">SUMPRODUCT((HQ!$T$3:$T$89=P42)*(ISNUMBER(HQ!$G$3:$G$89))*(HQ!$G$3:$G$89))</f>
        <v>0</v>
      </c>
      <c r="Q7" s="514" cm="1">
        <f t="array" ref="Q7">SUMPRODUCT((HQ!$T$3:$T$89=Q42)*(ISNUMBER(HQ!$G$3:$G$89))*(HQ!$G$3:$G$89))</f>
        <v>5</v>
      </c>
      <c r="R7" s="514" cm="1">
        <f t="array" ref="R7">SUMPRODUCT((HQ!$T$3:$T$89=R42)*(ISNUMBER(HQ!$G$3:$G$89))*(HQ!$G$3:$G$89))</f>
        <v>0</v>
      </c>
      <c r="S7" s="514" cm="1">
        <f t="array" ref="S7">SUMPRODUCT((HQ!$T$3:$T$89=S42)*(ISNUMBER(HQ!$G$3:$G$89))*(HQ!$G$3:$G$89))</f>
        <v>4</v>
      </c>
      <c r="T7" s="514" cm="1">
        <f t="array" ref="T7">SUMPRODUCT((HQ!$T$3:$T$89=T42)*(ISNUMBER(HQ!$G$3:$G$89))*(HQ!$G$3:$G$89))</f>
        <v>0</v>
      </c>
      <c r="U7" s="514" cm="1">
        <f t="array" ref="U7">SUMPRODUCT((HQ!$T$3:$T$89=U42)*(ISNUMBER(HQ!$G$3:$G$89))*(HQ!$G$3:$G$89))</f>
        <v>0</v>
      </c>
      <c r="V7" s="514" cm="1">
        <f t="array" ref="V7">SUMPRODUCT((HQ!$T$3:$T$89=V42)*(ISNUMBER(HQ!$G$3:$G$89))*(HQ!$G$3:$G$89))</f>
        <v>15</v>
      </c>
      <c r="W7" s="514" cm="1">
        <f t="array" ref="W7">SUMPRODUCT((HQ!$T$3:$T$89=W42)*(ISNUMBER(HQ!$G$3:$G$89))*(HQ!$G$3:$G$89))</f>
        <v>0</v>
      </c>
      <c r="X7" s="514" cm="1">
        <f t="array" ref="X7">SUMPRODUCT((HQ!$T$3:$T$89=X42)*(ISNUMBER(HQ!$G$3:$G$89))*(HQ!$G$3:$G$89))</f>
        <v>20</v>
      </c>
      <c r="Y7" s="514" cm="1">
        <f t="array" ref="Y7">SUMPRODUCT((HQ!$T$3:$T$89=Y42)*(ISNUMBER(HQ!$G$3:$G$89))*(HQ!$G$3:$G$89))</f>
        <v>0</v>
      </c>
      <c r="Z7" s="514" cm="1">
        <f t="array" ref="Z7">SUMPRODUCT((HQ!$T$3:$T$89=Z42)*(ISNUMBER(HQ!$G$3:$G$89))*(HQ!$G$3:$G$89))</f>
        <v>17</v>
      </c>
      <c r="AA7" s="514" cm="1">
        <f t="array" ref="AA7">SUMPRODUCT((HQ!$T$3:$T$89=AA42)*(ISNUMBER(HQ!$G$3:$G$89))*(HQ!$G$3:$G$89))</f>
        <v>0</v>
      </c>
      <c r="AB7" s="514" cm="1">
        <f t="array" ref="AB7">SUMPRODUCT((HQ!$T$3:$T$89=AB42)*(ISNUMBER(HQ!$G$3:$G$89))*(HQ!$G$3:$G$89))</f>
        <v>0</v>
      </c>
      <c r="AC7" s="514" cm="1">
        <f t="array" ref="AC7">SUMPRODUCT((HQ!$T$3:$T$89=AC42)*(ISNUMBER(HQ!$G$3:$G$89))*(HQ!$G$3:$G$89))</f>
        <v>14</v>
      </c>
      <c r="AD7" s="514" cm="1">
        <f t="array" ref="AD7">SUMPRODUCT((HQ!$T$3:$T$89=AD42)*(ISNUMBER(HQ!$G$3:$G$89))*(HQ!$G$3:$G$89))</f>
        <v>0</v>
      </c>
      <c r="AE7" s="514" cm="1">
        <f t="array" ref="AE7">SUMPRODUCT((HQ!$T$3:$T$89=AE42)*(ISNUMBER(HQ!$G$3:$G$89))*(HQ!$G$3:$G$89))</f>
        <v>0</v>
      </c>
      <c r="AF7" s="514" cm="1">
        <f t="array" ref="AF7">SUMPRODUCT((HQ!$T$3:$T$89=AF42)*(ISNUMBER(HQ!$G$3:$G$89))*(HQ!$G$3:$G$89))</f>
        <v>0</v>
      </c>
      <c r="AG7" s="514" cm="1">
        <f t="array" ref="AG7">SUMPRODUCT((HQ!$T$3:$T$89=AG42)*(ISNUMBER(HQ!$G$3:$G$89))*(HQ!$G$3:$G$89))</f>
        <v>0</v>
      </c>
      <c r="AH7" s="514" cm="1">
        <f t="array" ref="AH7">SUMPRODUCT((HQ!$T$3:$T$89=AH42)*(ISNUMBER(HQ!$G$3:$G$89))*(HQ!$G$3:$G$89))</f>
        <v>0</v>
      </c>
      <c r="AI7" s="514" cm="1">
        <f t="array" ref="AI7">SUMPRODUCT((HQ!$T$3:$T$89=AI42)*(ISNUMBER(HQ!$G$3:$G$89))*(HQ!$G$3:$G$89))</f>
        <v>0</v>
      </c>
      <c r="AJ7" s="514" cm="1">
        <f t="array" ref="AJ7">SUMPRODUCT((HQ!$T$3:$T$89=AJ42)*(ISNUMBER(HQ!$G$3:$G$89))*(HQ!$G$3:$G$89))</f>
        <v>10</v>
      </c>
      <c r="AK7" s="514" cm="1">
        <f t="array" ref="AK7">SUMPRODUCT((HQ!$T$3:$T$89=AK42)*(ISNUMBER(HQ!$G$3:$G$89))*(HQ!$G$3:$G$89))</f>
        <v>0</v>
      </c>
      <c r="AL7" s="514" cm="1">
        <f t="array" ref="AL7">SUMPRODUCT((HQ!$T$3:$T$89=AL42)*(ISNUMBER(HQ!$G$3:$G$89))*(HQ!$G$3:$G$89))</f>
        <v>8</v>
      </c>
      <c r="AM7" s="514" cm="1">
        <f t="array" ref="AM7">SUMPRODUCT((HQ!$T$3:$T$89=AM42)*(ISNUMBER(HQ!$G$3:$G$89))*(HQ!$G$3:$G$89))</f>
        <v>0</v>
      </c>
      <c r="AN7" s="514" cm="1">
        <f t="array" ref="AN7">SUMPRODUCT((HQ!$T$3:$T$89=AN42)*(ISNUMBER(HQ!$G$3:$G$89))*(HQ!$G$3:$G$89))</f>
        <v>0</v>
      </c>
      <c r="AO7" s="514" cm="1">
        <f t="array" ref="AO7">SUMPRODUCT((HQ!$T$3:$T$89=AO42)*(ISNUMBER(HQ!$G$3:$G$89))*(HQ!$G$3:$G$89))</f>
        <v>0</v>
      </c>
      <c r="AP7" s="514" cm="1">
        <f t="array" ref="AP7">SUMPRODUCT((HQ!$T$3:$T$89=AP42)*(ISNUMBER(HQ!$G$3:$G$89))*(HQ!$G$3:$G$89))</f>
        <v>0</v>
      </c>
      <c r="AQ7" s="514" cm="1">
        <f t="array" ref="AQ7">SUMPRODUCT((HQ!$T$3:$T$89=AQ42)*(ISNUMBER(HQ!$G$3:$G$89))*(HQ!$G$3:$G$89))</f>
        <v>11</v>
      </c>
      <c r="AR7" s="514" cm="1">
        <f t="array" ref="AR7">SUMPRODUCT((HQ!$T$3:$T$89=AR42)*(ISNUMBER(HQ!$G$3:$G$89))*(HQ!$G$3:$G$89))</f>
        <v>0</v>
      </c>
      <c r="AS7" s="514" cm="1">
        <f t="array" ref="AS7">SUMPRODUCT((HQ!$T$3:$T$89=AS42)*(ISNUMBER(HQ!$G$3:$G$89))*(HQ!$G$3:$G$89))</f>
        <v>0</v>
      </c>
      <c r="AT7" s="514" cm="1">
        <f t="array" ref="AT7">SUMPRODUCT((HQ!$T$3:$T$89=AT42)*(ISNUMBER(HQ!$G$3:$G$89))*(HQ!$G$3:$G$89))</f>
        <v>0</v>
      </c>
      <c r="AU7" s="514" cm="1">
        <f t="array" ref="AU7">SUMPRODUCT((HQ!$T$3:$T$89=AU42)*(ISNUMBER(HQ!$G$3:$G$89))*(HQ!$G$3:$G$89))</f>
        <v>0</v>
      </c>
      <c r="AV7" s="514" cm="1">
        <f t="array" ref="AV7">SUMPRODUCT((HQ!$T$3:$T$89=AV42)*(ISNUMBER(HQ!$G$3:$G$89))*(HQ!$G$3:$G$89))</f>
        <v>0</v>
      </c>
      <c r="AW7" s="514" cm="1">
        <f t="array" ref="AW7">SUMPRODUCT((HQ!$T$3:$T$89=AW42)*(ISNUMBER(HQ!$G$3:$G$89))*(HQ!$G$3:$G$89))</f>
        <v>0</v>
      </c>
      <c r="AX7" s="514" cm="1">
        <f t="array" ref="AX7">SUMPRODUCT((HQ!$T$3:$T$89=AX42)*(ISNUMBER(HQ!$G$3:$G$89))*(HQ!$G$3:$G$89))</f>
        <v>0</v>
      </c>
      <c r="AY7" s="514" cm="1">
        <f t="array" ref="AY7">SUMPRODUCT((HQ!$T$3:$T$89=AY42)*(ISNUMBER(HQ!$G$3:$G$89))*(HQ!$G$3:$G$89))</f>
        <v>7</v>
      </c>
      <c r="AZ7" s="514" cm="1">
        <f t="array" ref="AZ7">SUMPRODUCT((HQ!$T$3:$T$89=AZ42)*(ISNUMBER(HQ!$G$3:$G$89))*(HQ!$G$3:$G$89))</f>
        <v>2</v>
      </c>
      <c r="BA7" s="514" cm="1">
        <f t="array" ref="BA7">SUMPRODUCT((HQ!$T$3:$T$89=BA42)*(ISNUMBER(HQ!$G$3:$G$89))*(HQ!$G$3:$G$89))</f>
        <v>0</v>
      </c>
      <c r="BB7" s="514" cm="1">
        <f t="array" ref="BB7">SUMPRODUCT((HQ!$T$3:$T$89=BB42)*(ISNUMBER(HQ!$G$3:$G$89))*(HQ!$G$3:$G$89))</f>
        <v>5</v>
      </c>
      <c r="BC7" s="514" cm="1">
        <f t="array" ref="BC7">SUMPRODUCT((HQ!$T$3:$T$89=BC42)*(ISNUMBER(HQ!$G$3:$G$89))*(HQ!$G$3:$G$89))</f>
        <v>0</v>
      </c>
      <c r="BD7" s="514" cm="1">
        <f t="array" ref="BD7">SUMPRODUCT((HQ!$T$3:$T$89=BD42)*(ISNUMBER(HQ!$G$3:$G$89))*(HQ!$G$3:$G$89))</f>
        <v>0</v>
      </c>
      <c r="BE7" s="514" cm="1">
        <f t="array" ref="BE7">SUMPRODUCT((HQ!$T$3:$T$89=BE42)*(ISNUMBER(HQ!$G$3:$G$89))*(HQ!$G$3:$G$89))</f>
        <v>0</v>
      </c>
      <c r="BF7" s="514" cm="1">
        <f t="array" ref="BF7">SUMPRODUCT((HQ!$T$3:$T$89=BF42)*(ISNUMBER(HQ!$G$3:$G$89))*(HQ!$G$3:$G$89))</f>
        <v>0</v>
      </c>
      <c r="BG7" s="514" cm="1">
        <f t="array" ref="BG7">SUMPRODUCT((HQ!$T$3:$T$89=BG42)*(ISNUMBER(HQ!$G$3:$G$89))*(HQ!$G$3:$G$89))</f>
        <v>12</v>
      </c>
      <c r="BH7" s="514" cm="1">
        <f t="array" ref="BH7">SUMPRODUCT((HQ!$T$3:$T$89=BH42)*(ISNUMBER(HQ!$G$3:$G$89))*(HQ!$G$3:$G$89))</f>
        <v>0</v>
      </c>
      <c r="BI7" s="514" cm="1">
        <f t="array" ref="BI7">SUMPRODUCT((HQ!$T$3:$T$89=BI42)*(ISNUMBER(HQ!$G$3:$G$89))*(HQ!$G$3:$G$89))</f>
        <v>2</v>
      </c>
      <c r="BJ7" s="514" cm="1">
        <f t="array" ref="BJ7">SUMPRODUCT((HQ!$T$3:$T$89=BJ42)*(ISNUMBER(HQ!$G$3:$G$89))*(HQ!$G$3:$G$89))</f>
        <v>0</v>
      </c>
      <c r="BK7" s="514" cm="1">
        <f t="array" ref="BK7">SUMPRODUCT((HQ!$T$3:$T$89=BK42)*(ISNUMBER(HQ!$G$3:$G$89))*(HQ!$G$3:$G$89))</f>
        <v>0</v>
      </c>
      <c r="BL7" s="514" cm="1">
        <f t="array" ref="BL7">SUMPRODUCT((HQ!$T$3:$T$89=BL42)*(ISNUMBER(HQ!$G$3:$G$89))*(HQ!$G$3:$G$89))</f>
        <v>4</v>
      </c>
      <c r="BM7" s="514" cm="1">
        <f t="array" ref="BM7">SUMPRODUCT((HQ!$T$3:$T$89=BM42)*(ISNUMBER(HQ!$G$3:$G$89))*(HQ!$G$3:$G$89))</f>
        <v>3</v>
      </c>
      <c r="BN7" s="514" cm="1">
        <f t="array" ref="BN7">SUMPRODUCT((HQ!$T$3:$T$89=BN42)*(ISNUMBER(HQ!$G$3:$G$89))*(HQ!$G$3:$G$89))</f>
        <v>3</v>
      </c>
      <c r="BO7" s="514" cm="1">
        <f t="array" ref="BO7">SUMPRODUCT((HQ!$T$3:$T$89=BO42)*(ISNUMBER(HQ!$G$3:$G$89))*(HQ!$G$3:$G$89))</f>
        <v>0</v>
      </c>
      <c r="BP7" s="514" cm="1">
        <f t="array" ref="BP7">SUMPRODUCT((HQ!$T$3:$T$89=BP42)*(ISNUMBER(HQ!$G$3:$G$89))*(HQ!$G$3:$G$89))</f>
        <v>6</v>
      </c>
      <c r="BQ7" s="514" cm="1">
        <f t="array" ref="BQ7">SUMPRODUCT((HQ!$T$3:$T$89=BQ42)*(ISNUMBER(HQ!$G$3:$G$89))*(HQ!$G$3:$G$89))</f>
        <v>0</v>
      </c>
      <c r="BR7" s="514" cm="1">
        <f t="array" ref="BR7">SUMPRODUCT((HQ!$T$3:$T$89=BR42)*(ISNUMBER(HQ!$G$3:$G$89))*(HQ!$G$3:$G$89))</f>
        <v>0</v>
      </c>
      <c r="BS7" s="514" cm="1">
        <f t="array" ref="BS7">SUMPRODUCT((HQ!$T$3:$T$89=BS42)*(ISNUMBER(HQ!$G$3:$G$89))*(HQ!$G$3:$G$89))</f>
        <v>0</v>
      </c>
      <c r="BT7" s="514" cm="1">
        <f t="array" ref="BT7">SUMPRODUCT((HQ!$T$3:$T$89=BT42)*(ISNUMBER(HQ!$G$3:$G$89))*(HQ!$G$3:$G$89))</f>
        <v>0</v>
      </c>
      <c r="BU7" s="514" cm="1">
        <f t="array" ref="BU7">SUMPRODUCT((HQ!$T$3:$T$89=BU42)*(ISNUMBER(HQ!$G$3:$G$89))*(HQ!$G$3:$G$89))</f>
        <v>0</v>
      </c>
      <c r="BV7" s="514" cm="1">
        <f t="array" ref="BV7">SUMPRODUCT((HQ!$T$3:$T$89=BV42)*(ISNUMBER(HQ!$G$3:$G$89))*(HQ!$G$3:$G$89))</f>
        <v>0</v>
      </c>
      <c r="BW7" s="514" cm="1">
        <f t="array" ref="BW7">SUMPRODUCT((HQ!$T$3:$T$89=BW42)*(ISNUMBER(HQ!$G$3:$G$89))*(HQ!$G$3:$G$89))</f>
        <v>0</v>
      </c>
      <c r="BX7" s="514" cm="1">
        <f t="array" ref="BX7">SUMPRODUCT((HQ!$T$3:$T$89=BX42)*(ISNUMBER(HQ!$G$3:$G$89))*(HQ!$G$3:$G$89))</f>
        <v>0</v>
      </c>
      <c r="BY7" s="514" cm="1">
        <f t="array" ref="BY7">SUMPRODUCT((HQ!$T$3:$T$89=BY42)*(ISNUMBER(HQ!$G$3:$G$89))*(HQ!$G$3:$G$89))</f>
        <v>0</v>
      </c>
      <c r="BZ7" s="514" cm="1">
        <f t="array" ref="BZ7">SUMPRODUCT((HQ!$T$3:$T$89=BZ42)*(ISNUMBER(HQ!$G$3:$G$89))*(HQ!$G$3:$G$89))</f>
        <v>0</v>
      </c>
      <c r="CA7" s="514" cm="1">
        <f t="array" ref="CA7">SUMPRODUCT((HQ!$T$3:$T$89=CA42)*(ISNUMBER(HQ!$G$3:$G$89))*(HQ!$G$3:$G$89))</f>
        <v>0</v>
      </c>
      <c r="CB7" s="514" cm="1">
        <f t="array" ref="CB7">SUMPRODUCT((HQ!$T$3:$T$89=CB42)*(ISNUMBER(HQ!$G$3:$G$89))*(HQ!$G$3:$G$89))</f>
        <v>0</v>
      </c>
      <c r="CC7" s="514" cm="1">
        <f t="array" ref="CC7">SUMPRODUCT((HQ!$T$3:$T$89=CC42)*(ISNUMBER(HQ!$G$3:$G$89))*(HQ!$G$3:$G$89))</f>
        <v>0</v>
      </c>
      <c r="CD7" s="514" cm="1">
        <f t="array" ref="CD7">SUMPRODUCT((HQ!$T$3:$T$89=CD42)*(ISNUMBER(HQ!$G$3:$G$89))*(HQ!$G$3:$G$89))</f>
        <v>0</v>
      </c>
      <c r="CE7" s="514" cm="1">
        <f t="array" ref="CE7">SUMPRODUCT((HQ!$T$3:$T$89=CE42)*(ISNUMBER(HQ!$G$3:$G$89))*(HQ!$G$3:$G$89))</f>
        <v>0</v>
      </c>
      <c r="CF7" s="514" cm="1">
        <f t="array" ref="CF7">SUMPRODUCT((HQ!$T$3:$T$89=CF42)*(ISNUMBER(HQ!$G$3:$G$89))*(HQ!$G$3:$G$89))</f>
        <v>0</v>
      </c>
      <c r="CG7" s="514" cm="1">
        <f t="array" ref="CG7">SUMPRODUCT((HQ!$T$3:$T$89=CG42)*(ISNUMBER(HQ!$G$3:$G$89))*(HQ!$G$3:$G$89))</f>
        <v>0</v>
      </c>
      <c r="CH7" s="514" cm="1">
        <f t="array" ref="CH7">SUMPRODUCT((HQ!$T$3:$T$89=CH42)*(ISNUMBER(HQ!$G$3:$G$89))*(HQ!$G$3:$G$89))</f>
        <v>0</v>
      </c>
      <c r="CI7" s="514" cm="1">
        <f t="array" ref="CI7">SUMPRODUCT((HQ!$T$3:$T$89=CI42)*(ISNUMBER(HQ!$G$3:$G$89))*(HQ!$G$3:$G$89))</f>
        <v>0</v>
      </c>
      <c r="CJ7" s="514" cm="1">
        <f t="array" ref="CJ7">SUMPRODUCT((HQ!$T$3:$T$89=CJ42)*(ISNUMBER(HQ!$G$3:$G$89))*(HQ!$G$3:$G$89))</f>
        <v>0</v>
      </c>
      <c r="CK7" s="514" cm="1">
        <f t="array" ref="CK7">SUMPRODUCT((HQ!$T$3:$T$89=CK42)*(ISNUMBER(HQ!$G$3:$G$89))*(HQ!$G$3:$G$89))</f>
        <v>0</v>
      </c>
      <c r="CL7" s="514" cm="1">
        <f t="array" ref="CL7">SUMPRODUCT((HQ!$T$3:$T$89=CL42)*(ISNUMBER(HQ!$G$3:$G$89))*(HQ!$G$3:$G$89))</f>
        <v>0</v>
      </c>
      <c r="CM7" s="514" cm="1">
        <f t="array" ref="CM7">SUMPRODUCT((HQ!$T$3:$T$89=CM42)*(ISNUMBER(HQ!$G$3:$G$89))*(HQ!$G$3:$G$89))</f>
        <v>0</v>
      </c>
      <c r="CN7" s="514" cm="1">
        <f t="array" ref="CN7">SUMPRODUCT((HQ!$T$3:$T$89=CN42)*(ISNUMBER(HQ!$G$3:$G$89))*(HQ!$G$3:$G$89))</f>
        <v>0</v>
      </c>
      <c r="CO7" s="514" cm="1">
        <f t="array" ref="CO7">SUMPRODUCT((HQ!$T$3:$T$89=CO42)*(ISNUMBER(HQ!$G$3:$G$89))*(HQ!$G$3:$G$89))</f>
        <v>0</v>
      </c>
      <c r="CP7" s="514" cm="1">
        <f t="array" ref="CP7">SUMPRODUCT((HQ!$T$3:$T$89=CP42)*(ISNUMBER(HQ!$G$3:$G$89))*(HQ!$G$3:$G$89))</f>
        <v>0</v>
      </c>
      <c r="CQ7" s="514" cm="1">
        <f t="array" ref="CQ7">SUMPRODUCT((HQ!$T$3:$T$89=CQ42)*(ISNUMBER(HQ!$G$3:$G$89))*(HQ!$G$3:$G$89))</f>
        <v>0</v>
      </c>
      <c r="CR7" s="514" cm="1">
        <f t="array" ref="CR7">SUMPRODUCT((HQ!$T$3:$T$89=CR42)*(ISNUMBER(HQ!$G$3:$G$89))*(HQ!$G$3:$G$89))</f>
        <v>0</v>
      </c>
      <c r="CS7" s="514" cm="1">
        <f t="array" ref="CS7">SUMPRODUCT((HQ!$T$3:$T$89=CS42)*(ISNUMBER(HQ!$G$3:$G$89))*(HQ!$G$3:$G$89))</f>
        <v>0</v>
      </c>
      <c r="CT7" s="514" cm="1">
        <f t="array" ref="CT7">SUMPRODUCT((HQ!$T$3:$T$89=CT42)*(ISNUMBER(HQ!$G$3:$G$89))*(HQ!$G$3:$G$89))</f>
        <v>0</v>
      </c>
      <c r="CU7" s="433" cm="1">
        <f t="array" ref="CU7">SUMPRODUCT((ISNUMBER(HQ!$G$3:$G$89))*(HQ!$G$3:$G$89))</f>
        <v>193</v>
      </c>
    </row>
    <row r="8" spans="1:99" ht="19.5" customHeight="1">
      <c r="A8" s="428" t="s">
        <v>324</v>
      </c>
      <c r="B8" s="429">
        <f t="shared" ref="B8:AG8" si="4">IF(B7=0,0,B7/$CU$7)</f>
        <v>0.18134715025906736</v>
      </c>
      <c r="C8" s="429">
        <f t="shared" si="4"/>
        <v>0</v>
      </c>
      <c r="D8" s="429">
        <f t="shared" si="4"/>
        <v>0</v>
      </c>
      <c r="E8" s="429">
        <f t="shared" si="4"/>
        <v>0</v>
      </c>
      <c r="F8" s="429">
        <f t="shared" si="4"/>
        <v>0</v>
      </c>
      <c r="G8" s="429">
        <f t="shared" si="4"/>
        <v>0</v>
      </c>
      <c r="H8" s="429">
        <f t="shared" si="4"/>
        <v>0</v>
      </c>
      <c r="I8" s="429">
        <f t="shared" si="4"/>
        <v>0</v>
      </c>
      <c r="J8" s="429">
        <f t="shared" si="4"/>
        <v>5.181347150259067E-2</v>
      </c>
      <c r="K8" s="429">
        <f t="shared" si="4"/>
        <v>0</v>
      </c>
      <c r="L8" s="429">
        <f t="shared" si="4"/>
        <v>0</v>
      </c>
      <c r="M8" s="429">
        <f t="shared" si="4"/>
        <v>0</v>
      </c>
      <c r="N8" s="429">
        <f t="shared" si="4"/>
        <v>0</v>
      </c>
      <c r="O8" s="429">
        <f t="shared" si="4"/>
        <v>0</v>
      </c>
      <c r="P8" s="429">
        <f t="shared" si="4"/>
        <v>0</v>
      </c>
      <c r="Q8" s="429">
        <f t="shared" si="4"/>
        <v>2.5906735751295335E-2</v>
      </c>
      <c r="R8" s="429">
        <f t="shared" si="4"/>
        <v>0</v>
      </c>
      <c r="S8" s="429">
        <f t="shared" si="4"/>
        <v>2.072538860103627E-2</v>
      </c>
      <c r="T8" s="429">
        <f t="shared" si="4"/>
        <v>0</v>
      </c>
      <c r="U8" s="429">
        <f t="shared" si="4"/>
        <v>0</v>
      </c>
      <c r="V8" s="429">
        <f t="shared" si="4"/>
        <v>7.7720207253886009E-2</v>
      </c>
      <c r="W8" s="429">
        <f t="shared" si="4"/>
        <v>0</v>
      </c>
      <c r="X8" s="429">
        <f t="shared" si="4"/>
        <v>0.10362694300518134</v>
      </c>
      <c r="Y8" s="429">
        <f t="shared" si="4"/>
        <v>0</v>
      </c>
      <c r="Z8" s="429">
        <f t="shared" si="4"/>
        <v>8.8082901554404139E-2</v>
      </c>
      <c r="AA8" s="429">
        <f t="shared" si="4"/>
        <v>0</v>
      </c>
      <c r="AB8" s="429">
        <f t="shared" si="4"/>
        <v>0</v>
      </c>
      <c r="AC8" s="429">
        <f t="shared" si="4"/>
        <v>7.2538860103626937E-2</v>
      </c>
      <c r="AD8" s="429">
        <f t="shared" si="4"/>
        <v>0</v>
      </c>
      <c r="AE8" s="429">
        <f t="shared" si="4"/>
        <v>0</v>
      </c>
      <c r="AF8" s="429">
        <f t="shared" si="4"/>
        <v>0</v>
      </c>
      <c r="AG8" s="429">
        <f t="shared" si="4"/>
        <v>0</v>
      </c>
      <c r="AH8" s="429">
        <f t="shared" ref="AH8:BM8" si="5">IF(AH7=0,0,AH7/$CU$7)</f>
        <v>0</v>
      </c>
      <c r="AI8" s="429">
        <f t="shared" si="5"/>
        <v>0</v>
      </c>
      <c r="AJ8" s="429">
        <f t="shared" si="5"/>
        <v>5.181347150259067E-2</v>
      </c>
      <c r="AK8" s="429">
        <f t="shared" si="5"/>
        <v>0</v>
      </c>
      <c r="AL8" s="429">
        <f t="shared" si="5"/>
        <v>4.145077720207254E-2</v>
      </c>
      <c r="AM8" s="429">
        <f t="shared" si="5"/>
        <v>0</v>
      </c>
      <c r="AN8" s="429">
        <f t="shared" si="5"/>
        <v>0</v>
      </c>
      <c r="AO8" s="429">
        <f t="shared" si="5"/>
        <v>0</v>
      </c>
      <c r="AP8" s="429">
        <f t="shared" si="5"/>
        <v>0</v>
      </c>
      <c r="AQ8" s="429">
        <f t="shared" si="5"/>
        <v>5.6994818652849742E-2</v>
      </c>
      <c r="AR8" s="429">
        <f t="shared" si="5"/>
        <v>0</v>
      </c>
      <c r="AS8" s="429">
        <f t="shared" si="5"/>
        <v>0</v>
      </c>
      <c r="AT8" s="429">
        <f t="shared" si="5"/>
        <v>0</v>
      </c>
      <c r="AU8" s="429">
        <f t="shared" si="5"/>
        <v>0</v>
      </c>
      <c r="AV8" s="429">
        <f t="shared" si="5"/>
        <v>0</v>
      </c>
      <c r="AW8" s="429">
        <f t="shared" si="5"/>
        <v>0</v>
      </c>
      <c r="AX8" s="429">
        <f t="shared" si="5"/>
        <v>0</v>
      </c>
      <c r="AY8" s="429">
        <f t="shared" si="5"/>
        <v>3.6269430051813469E-2</v>
      </c>
      <c r="AZ8" s="429">
        <f t="shared" si="5"/>
        <v>1.0362694300518135E-2</v>
      </c>
      <c r="BA8" s="429">
        <f t="shared" si="5"/>
        <v>0</v>
      </c>
      <c r="BB8" s="429">
        <f t="shared" si="5"/>
        <v>2.5906735751295335E-2</v>
      </c>
      <c r="BC8" s="429">
        <f t="shared" si="5"/>
        <v>0</v>
      </c>
      <c r="BD8" s="429">
        <f t="shared" si="5"/>
        <v>0</v>
      </c>
      <c r="BE8" s="429">
        <f t="shared" si="5"/>
        <v>0</v>
      </c>
      <c r="BF8" s="429">
        <f t="shared" si="5"/>
        <v>0</v>
      </c>
      <c r="BG8" s="429">
        <f t="shared" si="5"/>
        <v>6.2176165803108807E-2</v>
      </c>
      <c r="BH8" s="429">
        <f t="shared" si="5"/>
        <v>0</v>
      </c>
      <c r="BI8" s="429">
        <f t="shared" si="5"/>
        <v>1.0362694300518135E-2</v>
      </c>
      <c r="BJ8" s="429">
        <f t="shared" si="5"/>
        <v>0</v>
      </c>
      <c r="BK8" s="429">
        <f t="shared" si="5"/>
        <v>0</v>
      </c>
      <c r="BL8" s="429">
        <f t="shared" si="5"/>
        <v>2.072538860103627E-2</v>
      </c>
      <c r="BM8" s="429">
        <f t="shared" si="5"/>
        <v>1.5544041450777202E-2</v>
      </c>
      <c r="BN8" s="429">
        <f t="shared" ref="BN8:CS8" si="6">IF(BN7=0,0,BN7/$CU$7)</f>
        <v>1.5544041450777202E-2</v>
      </c>
      <c r="BO8" s="429">
        <f t="shared" si="6"/>
        <v>0</v>
      </c>
      <c r="BP8" s="429">
        <f t="shared" si="6"/>
        <v>3.1088082901554404E-2</v>
      </c>
      <c r="BQ8" s="429">
        <f t="shared" si="6"/>
        <v>0</v>
      </c>
      <c r="BR8" s="429">
        <f t="shared" si="6"/>
        <v>0</v>
      </c>
      <c r="BS8" s="429">
        <f t="shared" si="6"/>
        <v>0</v>
      </c>
      <c r="BT8" s="429">
        <f t="shared" si="6"/>
        <v>0</v>
      </c>
      <c r="BU8" s="429">
        <f t="shared" si="6"/>
        <v>0</v>
      </c>
      <c r="BV8" s="429">
        <f t="shared" si="6"/>
        <v>0</v>
      </c>
      <c r="BW8" s="429">
        <f t="shared" si="6"/>
        <v>0</v>
      </c>
      <c r="BX8" s="429">
        <f t="shared" si="6"/>
        <v>0</v>
      </c>
      <c r="BY8" s="429">
        <f t="shared" si="6"/>
        <v>0</v>
      </c>
      <c r="BZ8" s="429">
        <f t="shared" si="6"/>
        <v>0</v>
      </c>
      <c r="CA8" s="429">
        <f t="shared" si="6"/>
        <v>0</v>
      </c>
      <c r="CB8" s="429">
        <f t="shared" si="6"/>
        <v>0</v>
      </c>
      <c r="CC8" s="429">
        <f t="shared" si="6"/>
        <v>0</v>
      </c>
      <c r="CD8" s="429">
        <f t="shared" si="6"/>
        <v>0</v>
      </c>
      <c r="CE8" s="429">
        <f t="shared" si="6"/>
        <v>0</v>
      </c>
      <c r="CF8" s="429">
        <f t="shared" si="6"/>
        <v>0</v>
      </c>
      <c r="CG8" s="429">
        <f t="shared" si="6"/>
        <v>0</v>
      </c>
      <c r="CH8" s="429">
        <f t="shared" si="6"/>
        <v>0</v>
      </c>
      <c r="CI8" s="429">
        <f t="shared" si="6"/>
        <v>0</v>
      </c>
      <c r="CJ8" s="429">
        <f t="shared" si="6"/>
        <v>0</v>
      </c>
      <c r="CK8" s="429">
        <f t="shared" si="6"/>
        <v>0</v>
      </c>
      <c r="CL8" s="429">
        <f t="shared" si="6"/>
        <v>0</v>
      </c>
      <c r="CM8" s="429">
        <f t="shared" si="6"/>
        <v>0</v>
      </c>
      <c r="CN8" s="429">
        <f t="shared" si="6"/>
        <v>0</v>
      </c>
      <c r="CO8" s="429">
        <f t="shared" si="6"/>
        <v>0</v>
      </c>
      <c r="CP8" s="429">
        <f t="shared" si="6"/>
        <v>0</v>
      </c>
      <c r="CQ8" s="429">
        <f t="shared" si="6"/>
        <v>0</v>
      </c>
      <c r="CR8" s="429">
        <f t="shared" si="6"/>
        <v>0</v>
      </c>
      <c r="CS8" s="429">
        <f t="shared" si="6"/>
        <v>0</v>
      </c>
      <c r="CT8" s="429">
        <f t="shared" ref="CT8:DY8" si="7">IF(CT7=0,0,CT7/$CU$7)</f>
        <v>0</v>
      </c>
      <c r="CU8" s="430">
        <f>CU7/CU7</f>
        <v>1</v>
      </c>
    </row>
    <row r="9" spans="1:99" ht="3.75" customHeight="1">
      <c r="BJ9" s="423"/>
    </row>
    <row r="10" spans="1:99" ht="21.75" customHeight="1">
      <c r="A10" s="936" t="s">
        <v>305</v>
      </c>
      <c r="B10" s="937"/>
      <c r="C10" s="937"/>
      <c r="D10" s="937"/>
      <c r="E10" s="937"/>
      <c r="F10" s="937"/>
      <c r="G10" s="937"/>
      <c r="H10" s="937"/>
      <c r="I10" s="937"/>
      <c r="J10" s="937"/>
      <c r="K10" s="937"/>
      <c r="L10" s="937"/>
      <c r="M10" s="937"/>
      <c r="N10" s="937"/>
      <c r="O10" s="937"/>
      <c r="P10" s="937"/>
      <c r="Q10" s="937"/>
      <c r="R10" s="937"/>
      <c r="S10" s="937"/>
      <c r="T10" s="937"/>
      <c r="U10" s="937"/>
      <c r="V10" s="937"/>
      <c r="W10" s="937"/>
      <c r="X10" s="937"/>
      <c r="Y10" s="937"/>
      <c r="Z10" s="937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  <c r="BW10" s="937"/>
      <c r="BX10" s="937"/>
      <c r="BY10" s="937"/>
      <c r="BZ10" s="937"/>
      <c r="CA10" s="937"/>
      <c r="CB10" s="937"/>
      <c r="CC10" s="937"/>
      <c r="CD10" s="937"/>
      <c r="CE10" s="937"/>
      <c r="CF10" s="937"/>
      <c r="CG10" s="937"/>
      <c r="CH10" s="937"/>
      <c r="CI10" s="937"/>
      <c r="CJ10" s="937"/>
      <c r="CK10" s="937"/>
      <c r="CL10" s="937"/>
      <c r="CM10" s="937"/>
      <c r="CN10" s="937"/>
      <c r="CO10" s="937"/>
      <c r="CP10" s="937"/>
      <c r="CQ10" s="937"/>
      <c r="CR10" s="937"/>
      <c r="CS10" s="937"/>
      <c r="CT10" s="937"/>
      <c r="CU10" s="937"/>
    </row>
    <row r="11" spans="1:99" ht="19.5" customHeight="1">
      <c r="A11" s="431" t="s">
        <v>306</v>
      </c>
      <c r="B11" s="432">
        <f t="shared" ref="B11:BI11" si="8">B7</f>
        <v>35</v>
      </c>
      <c r="C11" s="432">
        <f t="shared" si="8"/>
        <v>0</v>
      </c>
      <c r="D11" s="432">
        <f t="shared" si="8"/>
        <v>0</v>
      </c>
      <c r="E11" s="432">
        <f t="shared" si="8"/>
        <v>0</v>
      </c>
      <c r="F11" s="432">
        <f t="shared" si="8"/>
        <v>0</v>
      </c>
      <c r="G11" s="432">
        <f t="shared" si="8"/>
        <v>0</v>
      </c>
      <c r="H11" s="432">
        <f t="shared" si="8"/>
        <v>0</v>
      </c>
      <c r="I11" s="432">
        <f t="shared" si="8"/>
        <v>0</v>
      </c>
      <c r="J11" s="432">
        <f t="shared" si="8"/>
        <v>10</v>
      </c>
      <c r="K11" s="432">
        <f t="shared" si="8"/>
        <v>0</v>
      </c>
      <c r="L11" s="432">
        <f t="shared" si="8"/>
        <v>0</v>
      </c>
      <c r="M11" s="432">
        <f t="shared" si="8"/>
        <v>0</v>
      </c>
      <c r="N11" s="432">
        <f t="shared" si="8"/>
        <v>0</v>
      </c>
      <c r="O11" s="432">
        <f t="shared" si="8"/>
        <v>0</v>
      </c>
      <c r="P11" s="432">
        <f t="shared" si="8"/>
        <v>0</v>
      </c>
      <c r="Q11" s="432">
        <f t="shared" si="8"/>
        <v>5</v>
      </c>
      <c r="R11" s="432">
        <f t="shared" si="8"/>
        <v>0</v>
      </c>
      <c r="S11" s="432">
        <f t="shared" si="8"/>
        <v>4</v>
      </c>
      <c r="T11" s="432">
        <f t="shared" si="8"/>
        <v>0</v>
      </c>
      <c r="U11" s="432">
        <f t="shared" si="8"/>
        <v>0</v>
      </c>
      <c r="V11" s="432">
        <f t="shared" si="8"/>
        <v>15</v>
      </c>
      <c r="W11" s="432">
        <f t="shared" si="8"/>
        <v>0</v>
      </c>
      <c r="X11" s="432">
        <f t="shared" si="8"/>
        <v>20</v>
      </c>
      <c r="Y11" s="432">
        <f t="shared" si="8"/>
        <v>0</v>
      </c>
      <c r="Z11" s="432">
        <f t="shared" si="8"/>
        <v>17</v>
      </c>
      <c r="AA11" s="432">
        <f t="shared" si="8"/>
        <v>0</v>
      </c>
      <c r="AB11" s="432">
        <f t="shared" si="8"/>
        <v>0</v>
      </c>
      <c r="AC11" s="432">
        <f t="shared" si="8"/>
        <v>14</v>
      </c>
      <c r="AD11" s="432">
        <f t="shared" si="8"/>
        <v>0</v>
      </c>
      <c r="AE11" s="432">
        <f t="shared" si="8"/>
        <v>0</v>
      </c>
      <c r="AF11" s="432">
        <f t="shared" si="8"/>
        <v>0</v>
      </c>
      <c r="AG11" s="432">
        <f t="shared" si="8"/>
        <v>0</v>
      </c>
      <c r="AH11" s="432">
        <f t="shared" si="8"/>
        <v>0</v>
      </c>
      <c r="AI11" s="432">
        <f t="shared" si="8"/>
        <v>0</v>
      </c>
      <c r="AJ11" s="432">
        <f t="shared" si="8"/>
        <v>10</v>
      </c>
      <c r="AK11" s="432">
        <f t="shared" si="8"/>
        <v>0</v>
      </c>
      <c r="AL11" s="432">
        <f t="shared" si="8"/>
        <v>8</v>
      </c>
      <c r="AM11" s="432">
        <f t="shared" si="8"/>
        <v>0</v>
      </c>
      <c r="AN11" s="432">
        <f t="shared" si="8"/>
        <v>0</v>
      </c>
      <c r="AO11" s="432">
        <f t="shared" si="8"/>
        <v>0</v>
      </c>
      <c r="AP11" s="432">
        <f t="shared" si="8"/>
        <v>0</v>
      </c>
      <c r="AQ11" s="432">
        <f t="shared" si="8"/>
        <v>11</v>
      </c>
      <c r="AR11" s="432">
        <f t="shared" si="8"/>
        <v>0</v>
      </c>
      <c r="AS11" s="432">
        <f t="shared" si="8"/>
        <v>0</v>
      </c>
      <c r="AT11" s="432">
        <f t="shared" si="8"/>
        <v>0</v>
      </c>
      <c r="AU11" s="432">
        <f t="shared" si="8"/>
        <v>0</v>
      </c>
      <c r="AV11" s="432">
        <f t="shared" si="8"/>
        <v>0</v>
      </c>
      <c r="AW11" s="432">
        <f t="shared" si="8"/>
        <v>0</v>
      </c>
      <c r="AX11" s="432">
        <f t="shared" si="8"/>
        <v>0</v>
      </c>
      <c r="AY11" s="432">
        <f t="shared" si="8"/>
        <v>7</v>
      </c>
      <c r="AZ11" s="432">
        <f t="shared" si="8"/>
        <v>2</v>
      </c>
      <c r="BA11" s="432">
        <f t="shared" si="8"/>
        <v>0</v>
      </c>
      <c r="BB11" s="432">
        <f t="shared" si="8"/>
        <v>5</v>
      </c>
      <c r="BC11" s="432">
        <f t="shared" si="8"/>
        <v>0</v>
      </c>
      <c r="BD11" s="432">
        <f t="shared" si="8"/>
        <v>0</v>
      </c>
      <c r="BE11" s="432">
        <f t="shared" si="8"/>
        <v>0</v>
      </c>
      <c r="BF11" s="432">
        <f t="shared" si="8"/>
        <v>0</v>
      </c>
      <c r="BG11" s="432">
        <f t="shared" si="8"/>
        <v>12</v>
      </c>
      <c r="BH11" s="432">
        <f t="shared" si="8"/>
        <v>0</v>
      </c>
      <c r="BI11" s="432">
        <f t="shared" si="8"/>
        <v>2</v>
      </c>
      <c r="BJ11" s="432">
        <f t="shared" ref="BJ11:CJ11" si="9">BJ7</f>
        <v>0</v>
      </c>
      <c r="BK11" s="432">
        <f t="shared" si="9"/>
        <v>0</v>
      </c>
      <c r="BL11" s="432">
        <f t="shared" si="9"/>
        <v>4</v>
      </c>
      <c r="BM11" s="432">
        <f t="shared" si="9"/>
        <v>3</v>
      </c>
      <c r="BN11" s="432">
        <f t="shared" si="9"/>
        <v>3</v>
      </c>
      <c r="BO11" s="432">
        <f t="shared" si="9"/>
        <v>0</v>
      </c>
      <c r="BP11" s="432">
        <f t="shared" si="9"/>
        <v>6</v>
      </c>
      <c r="BQ11" s="432">
        <f t="shared" si="9"/>
        <v>0</v>
      </c>
      <c r="BR11" s="432">
        <f t="shared" si="9"/>
        <v>0</v>
      </c>
      <c r="BS11" s="432">
        <f t="shared" si="9"/>
        <v>0</v>
      </c>
      <c r="BT11" s="432">
        <f t="shared" si="9"/>
        <v>0</v>
      </c>
      <c r="BU11" s="432">
        <f t="shared" si="9"/>
        <v>0</v>
      </c>
      <c r="BV11" s="432">
        <f t="shared" si="9"/>
        <v>0</v>
      </c>
      <c r="BW11" s="432">
        <f t="shared" si="9"/>
        <v>0</v>
      </c>
      <c r="BX11" s="432">
        <f t="shared" si="9"/>
        <v>0</v>
      </c>
      <c r="BY11" s="432">
        <f t="shared" si="9"/>
        <v>0</v>
      </c>
      <c r="BZ11" s="432">
        <f t="shared" si="9"/>
        <v>0</v>
      </c>
      <c r="CA11" s="432">
        <f t="shared" si="9"/>
        <v>0</v>
      </c>
      <c r="CB11" s="432">
        <f t="shared" si="9"/>
        <v>0</v>
      </c>
      <c r="CC11" s="432">
        <f t="shared" si="9"/>
        <v>0</v>
      </c>
      <c r="CD11" s="432">
        <f t="shared" si="9"/>
        <v>0</v>
      </c>
      <c r="CE11" s="432">
        <f t="shared" si="9"/>
        <v>0</v>
      </c>
      <c r="CF11" s="432">
        <f t="shared" si="9"/>
        <v>0</v>
      </c>
      <c r="CG11" s="432">
        <f t="shared" si="9"/>
        <v>0</v>
      </c>
      <c r="CH11" s="432">
        <f t="shared" si="9"/>
        <v>0</v>
      </c>
      <c r="CI11" s="432">
        <f t="shared" si="9"/>
        <v>0</v>
      </c>
      <c r="CJ11" s="432">
        <f t="shared" si="9"/>
        <v>0</v>
      </c>
      <c r="CK11" s="432">
        <f t="shared" ref="CK11:CT11" si="10">CK7</f>
        <v>0</v>
      </c>
      <c r="CL11" s="432">
        <f t="shared" si="10"/>
        <v>0</v>
      </c>
      <c r="CM11" s="432">
        <f t="shared" si="10"/>
        <v>0</v>
      </c>
      <c r="CN11" s="432">
        <f t="shared" si="10"/>
        <v>0</v>
      </c>
      <c r="CO11" s="432">
        <f t="shared" si="10"/>
        <v>0</v>
      </c>
      <c r="CP11" s="432">
        <f t="shared" si="10"/>
        <v>0</v>
      </c>
      <c r="CQ11" s="432">
        <f t="shared" si="10"/>
        <v>0</v>
      </c>
      <c r="CR11" s="432">
        <f t="shared" si="10"/>
        <v>0</v>
      </c>
      <c r="CS11" s="432">
        <f t="shared" si="10"/>
        <v>0</v>
      </c>
      <c r="CT11" s="432">
        <f t="shared" si="10"/>
        <v>0</v>
      </c>
      <c r="CU11" s="433">
        <f>CU7</f>
        <v>193</v>
      </c>
    </row>
    <row r="12" spans="1:99" ht="19.5" customHeight="1">
      <c r="A12" s="434" t="s">
        <v>307</v>
      </c>
      <c r="B12" s="435" cm="1">
        <f t="array" ref="B12">SUMPRODUCT((HQ!$T$3:$T$89=B42)*(ISNUMBER(HQ!$N$3:$N$89))*(HQ!$N$3:$N$89))</f>
        <v>27</v>
      </c>
      <c r="C12" s="435" cm="1">
        <f t="array" ref="C12">SUMPRODUCT((HQ!$T$3:$T$89=C42)*(ISNUMBER(HQ!$N$3:$N$89))*(HQ!$N$3:$N$89))</f>
        <v>0</v>
      </c>
      <c r="D12" s="435" cm="1">
        <f t="array" ref="D12">SUMPRODUCT((HQ!$T$3:$T$89=D42)*(ISNUMBER(HQ!$N$3:$N$89))*(HQ!$N$3:$N$89))</f>
        <v>0</v>
      </c>
      <c r="E12" s="435" cm="1">
        <f t="array" ref="E12">SUMPRODUCT((HQ!$T$3:$T$89=E42)*(ISNUMBER(HQ!$N$3:$N$89))*(HQ!$N$3:$N$89))</f>
        <v>0</v>
      </c>
      <c r="F12" s="435" cm="1">
        <f t="array" ref="F12">SUMPRODUCT((HQ!$T$3:$T$89=F42)*(ISNUMBER(HQ!$N$3:$N$89))*(HQ!$N$3:$N$89))</f>
        <v>0</v>
      </c>
      <c r="G12" s="435" cm="1">
        <f t="array" ref="G12">SUMPRODUCT((HQ!$T$3:$T$89=G42)*(ISNUMBER(HQ!$N$3:$N$89))*(HQ!$N$3:$N$89))</f>
        <v>0</v>
      </c>
      <c r="H12" s="435" cm="1">
        <f t="array" ref="H12">SUMPRODUCT((HQ!$T$3:$T$89=H42)*(ISNUMBER(HQ!$N$3:$N$89))*(HQ!$N$3:$N$89))</f>
        <v>0</v>
      </c>
      <c r="I12" s="435" cm="1">
        <f t="array" ref="I12">SUMPRODUCT((HQ!$T$3:$T$89=I42)*(ISNUMBER(HQ!$N$3:$N$89))*(HQ!$N$3:$N$89))</f>
        <v>0</v>
      </c>
      <c r="J12" s="435" cm="1">
        <f t="array" ref="J12">SUMPRODUCT((HQ!$T$3:$T$89=J42)*(ISNUMBER(HQ!$N$3:$N$89))*(HQ!$N$3:$N$89))</f>
        <v>10</v>
      </c>
      <c r="K12" s="435" cm="1">
        <f t="array" ref="K12">SUMPRODUCT((HQ!$T$3:$T$89=K42)*(ISNUMBER(HQ!$N$3:$N$89))*(HQ!$N$3:$N$89))</f>
        <v>0</v>
      </c>
      <c r="L12" s="435" cm="1">
        <f t="array" ref="L12">SUMPRODUCT((HQ!$T$3:$T$89=L42)*(ISNUMBER(HQ!$N$3:$N$89))*(HQ!$N$3:$N$89))</f>
        <v>0</v>
      </c>
      <c r="M12" s="435" cm="1">
        <f t="array" ref="M12">SUMPRODUCT((HQ!$T$3:$T$89=M42)*(ISNUMBER(HQ!$N$3:$N$89))*(HQ!$N$3:$N$89))</f>
        <v>0</v>
      </c>
      <c r="N12" s="435" cm="1">
        <f t="array" ref="N12">SUMPRODUCT((HQ!$T$3:$T$89=N42)*(ISNUMBER(HQ!$N$3:$N$89))*(HQ!$N$3:$N$89))</f>
        <v>0</v>
      </c>
      <c r="O12" s="435" cm="1">
        <f t="array" ref="O12">SUMPRODUCT((HQ!$T$3:$T$89=O42)*(ISNUMBER(HQ!$N$3:$N$89))*(HQ!$N$3:$N$89))</f>
        <v>0</v>
      </c>
      <c r="P12" s="435" cm="1">
        <f t="array" ref="P12">SUMPRODUCT((HQ!$T$3:$T$89=P42)*(ISNUMBER(HQ!$N$3:$N$89))*(HQ!$N$3:$N$89))</f>
        <v>0</v>
      </c>
      <c r="Q12" s="435" cm="1">
        <f t="array" ref="Q12">SUMPRODUCT((HQ!$T$3:$T$89=Q42)*(ISNUMBER(HQ!$N$3:$N$89))*(HQ!$N$3:$N$89))</f>
        <v>5</v>
      </c>
      <c r="R12" s="435" cm="1">
        <f t="array" ref="R12">SUMPRODUCT((HQ!$T$3:$T$89=R42)*(ISNUMBER(HQ!$N$3:$N$89))*(HQ!$N$3:$N$89))</f>
        <v>0</v>
      </c>
      <c r="S12" s="435" cm="1">
        <f t="array" ref="S12">SUMPRODUCT((HQ!$T$3:$T$89=S42)*(ISNUMBER(HQ!$N$3:$N$89))*(HQ!$N$3:$N$89))</f>
        <v>4</v>
      </c>
      <c r="T12" s="435" cm="1">
        <f t="array" ref="T12">SUMPRODUCT((HQ!$T$3:$T$89=T42)*(ISNUMBER(HQ!$N$3:$N$89))*(HQ!$N$3:$N$89))</f>
        <v>0</v>
      </c>
      <c r="U12" s="435" cm="1">
        <f t="array" ref="U12">SUMPRODUCT((HQ!$T$3:$T$89=U42)*(ISNUMBER(HQ!$N$3:$N$89))*(HQ!$N$3:$N$89))</f>
        <v>0</v>
      </c>
      <c r="V12" s="435" cm="1">
        <f t="array" ref="V12">SUMPRODUCT((HQ!$T$3:$T$89=V42)*(ISNUMBER(HQ!$N$3:$N$89))*(HQ!$N$3:$N$89))</f>
        <v>15</v>
      </c>
      <c r="W12" s="435" cm="1">
        <f t="array" ref="W12">SUMPRODUCT((HQ!$T$3:$T$89=W42)*(ISNUMBER(HQ!$N$3:$N$89))*(HQ!$N$3:$N$89))</f>
        <v>0</v>
      </c>
      <c r="X12" s="435" cm="1">
        <f t="array" ref="X12">SUMPRODUCT((HQ!$T$3:$T$89=X42)*(ISNUMBER(HQ!$N$3:$N$89))*(HQ!$N$3:$N$89))</f>
        <v>20</v>
      </c>
      <c r="Y12" s="435" cm="1">
        <f t="array" ref="Y12">SUMPRODUCT((HQ!$T$3:$T$89=Y42)*(ISNUMBER(HQ!$N$3:$N$89))*(HQ!$N$3:$N$89))</f>
        <v>0</v>
      </c>
      <c r="Z12" s="435" cm="1">
        <f t="array" ref="Z12">SUMPRODUCT((HQ!$T$3:$T$89=Z42)*(ISNUMBER(HQ!$N$3:$N$89))*(HQ!$N$3:$N$89))</f>
        <v>17</v>
      </c>
      <c r="AA12" s="435" cm="1">
        <f t="array" ref="AA12">SUMPRODUCT((HQ!$T$3:$T$89=AA42)*(ISNUMBER(HQ!$N$3:$N$89))*(HQ!$N$3:$N$89))</f>
        <v>0</v>
      </c>
      <c r="AB12" s="435" cm="1">
        <f t="array" ref="AB12">SUMPRODUCT((HQ!$T$3:$T$89=AB42)*(ISNUMBER(HQ!$N$3:$N$89))*(HQ!$N$3:$N$89))</f>
        <v>0</v>
      </c>
      <c r="AC12" s="435" cm="1">
        <f t="array" ref="AC12">SUMPRODUCT((HQ!$T$3:$T$89=AC42)*(ISNUMBER(HQ!$N$3:$N$89))*(HQ!$N$3:$N$89))</f>
        <v>14</v>
      </c>
      <c r="AD12" s="435" cm="1">
        <f t="array" ref="AD12">SUMPRODUCT((HQ!$T$3:$T$89=AD42)*(ISNUMBER(HQ!$N$3:$N$89))*(HQ!$N$3:$N$89))</f>
        <v>0</v>
      </c>
      <c r="AE12" s="435" cm="1">
        <f t="array" ref="AE12">SUMPRODUCT((HQ!$T$3:$T$89=AE42)*(ISNUMBER(HQ!$N$3:$N$89))*(HQ!$N$3:$N$89))</f>
        <v>0</v>
      </c>
      <c r="AF12" s="435" cm="1">
        <f t="array" ref="AF12">SUMPRODUCT((HQ!$T$3:$T$89=AF42)*(ISNUMBER(HQ!$N$3:$N$89))*(HQ!$N$3:$N$89))</f>
        <v>0</v>
      </c>
      <c r="AG12" s="435" cm="1">
        <f t="array" ref="AG12">SUMPRODUCT((HQ!$T$3:$T$89=AG42)*(ISNUMBER(HQ!$N$3:$N$89))*(HQ!$N$3:$N$89))</f>
        <v>0</v>
      </c>
      <c r="AH12" s="435" cm="1">
        <f t="array" ref="AH12">SUMPRODUCT((HQ!$T$3:$T$89=AH42)*(ISNUMBER(HQ!$N$3:$N$89))*(HQ!$N$3:$N$89))</f>
        <v>0</v>
      </c>
      <c r="AI12" s="435" cm="1">
        <f t="array" ref="AI12">SUMPRODUCT((HQ!$T$3:$T$89=AI42)*(ISNUMBER(HQ!$N$3:$N$89))*(HQ!$N$3:$N$89))</f>
        <v>0</v>
      </c>
      <c r="AJ12" s="435" cm="1">
        <f t="array" ref="AJ12">SUMPRODUCT((HQ!$T$3:$T$89=AJ42)*(ISNUMBER(HQ!$N$3:$N$89))*(HQ!$N$3:$N$89))</f>
        <v>10</v>
      </c>
      <c r="AK12" s="435" cm="1">
        <f t="array" ref="AK12">SUMPRODUCT((HQ!$T$3:$T$89=AK42)*(ISNUMBER(HQ!$N$3:$N$89))*(HQ!$N$3:$N$89))</f>
        <v>0</v>
      </c>
      <c r="AL12" s="435" cm="1">
        <f t="array" ref="AL12">SUMPRODUCT((HQ!$T$3:$T$89=AL42)*(ISNUMBER(HQ!$N$3:$N$89))*(HQ!$N$3:$N$89))</f>
        <v>8</v>
      </c>
      <c r="AM12" s="435" cm="1">
        <f t="array" ref="AM12">SUMPRODUCT((HQ!$T$3:$T$89=AM42)*(ISNUMBER(HQ!$N$3:$N$89))*(HQ!$N$3:$N$89))</f>
        <v>0</v>
      </c>
      <c r="AN12" s="435" cm="1">
        <f t="array" ref="AN12">SUMPRODUCT((HQ!$T$3:$T$89=AN42)*(ISNUMBER(HQ!$N$3:$N$89))*(HQ!$N$3:$N$89))</f>
        <v>0</v>
      </c>
      <c r="AO12" s="435" cm="1">
        <f t="array" ref="AO12">SUMPRODUCT((HQ!$T$3:$T$89=AO42)*(ISNUMBER(HQ!$N$3:$N$89))*(HQ!$N$3:$N$89))</f>
        <v>0</v>
      </c>
      <c r="AP12" s="435" cm="1">
        <f t="array" ref="AP12">SUMPRODUCT((HQ!$T$3:$T$89=AP42)*(ISNUMBER(HQ!$N$3:$N$89))*(HQ!$N$3:$N$89))</f>
        <v>0</v>
      </c>
      <c r="AQ12" s="435" cm="1">
        <f t="array" ref="AQ12">SUMPRODUCT((HQ!$T$3:$T$89=AQ42)*(ISNUMBER(HQ!$N$3:$N$89))*(HQ!$N$3:$N$89))</f>
        <v>11</v>
      </c>
      <c r="AR12" s="435" cm="1">
        <f t="array" ref="AR12">SUMPRODUCT((HQ!$T$3:$T$89=AR42)*(ISNUMBER(HQ!$N$3:$N$89))*(HQ!$N$3:$N$89))</f>
        <v>0</v>
      </c>
      <c r="AS12" s="435" cm="1">
        <f t="array" ref="AS12">SUMPRODUCT((HQ!$T$3:$T$89=AS42)*(ISNUMBER(HQ!$N$3:$N$89))*(HQ!$N$3:$N$89))</f>
        <v>0</v>
      </c>
      <c r="AT12" s="435" cm="1">
        <f t="array" ref="AT12">SUMPRODUCT((HQ!$T$3:$T$89=AT42)*(ISNUMBER(HQ!$N$3:$N$89))*(HQ!$N$3:$N$89))</f>
        <v>0</v>
      </c>
      <c r="AU12" s="435" cm="1">
        <f t="array" ref="AU12">SUMPRODUCT((HQ!$T$3:$T$89=AU42)*(ISNUMBER(HQ!$N$3:$N$89))*(HQ!$N$3:$N$89))</f>
        <v>0</v>
      </c>
      <c r="AV12" s="435" cm="1">
        <f t="array" ref="AV12">SUMPRODUCT((HQ!$T$3:$T$89=AV42)*(ISNUMBER(HQ!$N$3:$N$89))*(HQ!$N$3:$N$89))</f>
        <v>0</v>
      </c>
      <c r="AW12" s="435" cm="1">
        <f t="array" ref="AW12">SUMPRODUCT((HQ!$T$3:$T$89=AW42)*(ISNUMBER(HQ!$N$3:$N$89))*(HQ!$N$3:$N$89))</f>
        <v>0</v>
      </c>
      <c r="AX12" s="435" cm="1">
        <f t="array" ref="AX12">SUMPRODUCT((HQ!$T$3:$T$89=AX42)*(ISNUMBER(HQ!$N$3:$N$89))*(HQ!$N$3:$N$89))</f>
        <v>0</v>
      </c>
      <c r="AY12" s="435" cm="1">
        <f t="array" ref="AY12">SUMPRODUCT((HQ!$T$3:$T$89=AY42)*(ISNUMBER(HQ!$N$3:$N$89))*(HQ!$N$3:$N$89))</f>
        <v>7</v>
      </c>
      <c r="AZ12" s="435" cm="1">
        <f t="array" ref="AZ12">SUMPRODUCT((HQ!$T$3:$T$89=AZ42)*(ISNUMBER(HQ!$N$3:$N$89))*(HQ!$N$3:$N$89))</f>
        <v>2</v>
      </c>
      <c r="BA12" s="435" cm="1">
        <f t="array" ref="BA12">SUMPRODUCT((HQ!$T$3:$T$89=BA42)*(ISNUMBER(HQ!$N$3:$N$89))*(HQ!$N$3:$N$89))</f>
        <v>0</v>
      </c>
      <c r="BB12" s="435" cm="1">
        <f t="array" ref="BB12">SUMPRODUCT((HQ!$T$3:$T$89=BB42)*(ISNUMBER(HQ!$N$3:$N$89))*(HQ!$N$3:$N$89))</f>
        <v>2</v>
      </c>
      <c r="BC12" s="435" cm="1">
        <f t="array" ref="BC12">SUMPRODUCT((HQ!$T$3:$T$89=BC42)*(ISNUMBER(HQ!$N$3:$N$89))*(HQ!$N$3:$N$89))</f>
        <v>0</v>
      </c>
      <c r="BD12" s="435" cm="1">
        <f t="array" ref="BD12">SUMPRODUCT((HQ!$T$3:$T$89=BD42)*(ISNUMBER(HQ!$N$3:$N$89))*(HQ!$N$3:$N$89))</f>
        <v>0</v>
      </c>
      <c r="BE12" s="435" cm="1">
        <f t="array" ref="BE12">SUMPRODUCT((HQ!$T$3:$T$89=BE42)*(ISNUMBER(HQ!$N$3:$N$89))*(HQ!$N$3:$N$89))</f>
        <v>0</v>
      </c>
      <c r="BF12" s="435" cm="1">
        <f t="array" ref="BF12">SUMPRODUCT((HQ!$T$3:$T$89=BF42)*(ISNUMBER(HQ!$N$3:$N$89))*(HQ!$N$3:$N$89))</f>
        <v>0</v>
      </c>
      <c r="BG12" s="435" cm="1">
        <f t="array" ref="BG12">SUMPRODUCT((HQ!$T$3:$T$89=BG42)*(ISNUMBER(HQ!$N$3:$N$89))*(HQ!$N$3:$N$89))</f>
        <v>0</v>
      </c>
      <c r="BH12" s="435" cm="1">
        <f t="array" ref="BH12">SUMPRODUCT((HQ!$T$3:$T$89=BH42)*(ISNUMBER(HQ!$N$3:$N$89))*(HQ!$N$3:$N$89))</f>
        <v>0</v>
      </c>
      <c r="BI12" s="435" cm="1">
        <f t="array" ref="BI12">SUMPRODUCT((HQ!$T$3:$T$89=BI42)*(ISNUMBER(HQ!$N$3:$N$89))*(HQ!$N$3:$N$89))</f>
        <v>0</v>
      </c>
      <c r="BJ12" s="435" cm="1">
        <f t="array" ref="BJ12">SUMPRODUCT((HQ!$T$3:$T$89=BJ42)*(ISNUMBER(HQ!$N$3:$N$89))*(HQ!$N$3:$N$89))</f>
        <v>0</v>
      </c>
      <c r="BK12" s="435" cm="1">
        <f t="array" ref="BK12">SUMPRODUCT((HQ!$T$3:$T$89=BK42)*(ISNUMBER(HQ!$N$3:$N$89))*(HQ!$N$3:$N$89))</f>
        <v>0</v>
      </c>
      <c r="BL12" s="435" cm="1">
        <f t="array" ref="BL12">SUMPRODUCT((HQ!$T$3:$T$89=BL42)*(ISNUMBER(HQ!$N$3:$N$89))*(HQ!$N$3:$N$89))</f>
        <v>0</v>
      </c>
      <c r="BM12" s="435" cm="1">
        <f t="array" ref="BM12">SUMPRODUCT((HQ!$T$3:$T$89=BM42)*(ISNUMBER(HQ!$N$3:$N$89))*(HQ!$N$3:$N$89))</f>
        <v>0</v>
      </c>
      <c r="BN12" s="435" cm="1">
        <f t="array" ref="BN12">SUMPRODUCT((HQ!$T$3:$T$89=BN42)*(ISNUMBER(HQ!$N$3:$N$89))*(HQ!$N$3:$N$89))</f>
        <v>2</v>
      </c>
      <c r="BO12" s="435" cm="1">
        <f t="array" ref="BO12">SUMPRODUCT((HQ!$T$3:$T$89=BO42)*(ISNUMBER(HQ!$N$3:$N$89))*(HQ!$N$3:$N$89))</f>
        <v>0</v>
      </c>
      <c r="BP12" s="435" cm="1">
        <f t="array" ref="BP12">SUMPRODUCT((HQ!$T$3:$T$89=BP42)*(ISNUMBER(HQ!$N$3:$N$89))*(HQ!$N$3:$N$89))</f>
        <v>4</v>
      </c>
      <c r="BQ12" s="435" cm="1">
        <f t="array" ref="BQ12">SUMPRODUCT((HQ!$T$3:$T$89=BQ42)*(ISNUMBER(HQ!$N$3:$N$89))*(HQ!$N$3:$N$89))</f>
        <v>0</v>
      </c>
      <c r="BR12" s="435" cm="1">
        <f t="array" ref="BR12">SUMPRODUCT((HQ!$T$3:$T$89=BR42)*(ISNUMBER(HQ!$N$3:$N$89))*(HQ!$N$3:$N$89))</f>
        <v>0</v>
      </c>
      <c r="BS12" s="435" cm="1">
        <f t="array" ref="BS12">SUMPRODUCT((HQ!$T$3:$T$89=BS42)*(ISNUMBER(HQ!$N$3:$N$89))*(HQ!$N$3:$N$89))</f>
        <v>0</v>
      </c>
      <c r="BT12" s="435" cm="1">
        <f t="array" ref="BT12">SUMPRODUCT((HQ!$T$3:$T$89=BT42)*(ISNUMBER(HQ!$N$3:$N$89))*(HQ!$N$3:$N$89))</f>
        <v>0</v>
      </c>
      <c r="BU12" s="435" cm="1">
        <f t="array" ref="BU12">SUMPRODUCT((HQ!$T$3:$T$89=BU42)*(ISNUMBER(HQ!$N$3:$N$89))*(HQ!$N$3:$N$89))</f>
        <v>0</v>
      </c>
      <c r="BV12" s="435" cm="1">
        <f t="array" ref="BV12">SUMPRODUCT((HQ!$T$3:$T$89=BV42)*(ISNUMBER(HQ!$N$3:$N$89))*(HQ!$N$3:$N$89))</f>
        <v>0</v>
      </c>
      <c r="BW12" s="435" cm="1">
        <f t="array" ref="BW12">SUMPRODUCT((HQ!$T$3:$T$89=BW42)*(ISNUMBER(HQ!$N$3:$N$89))*(HQ!$N$3:$N$89))</f>
        <v>0</v>
      </c>
      <c r="BX12" s="435" cm="1">
        <f t="array" ref="BX12">SUMPRODUCT((HQ!$T$3:$T$89=BX42)*(ISNUMBER(HQ!$N$3:$N$89))*(HQ!$N$3:$N$89))</f>
        <v>0</v>
      </c>
      <c r="BY12" s="435" cm="1">
        <f t="array" ref="BY12">SUMPRODUCT((HQ!$T$3:$T$89=BY42)*(ISNUMBER(HQ!$N$3:$N$89))*(HQ!$N$3:$N$89))</f>
        <v>0</v>
      </c>
      <c r="BZ12" s="435" cm="1">
        <f t="array" ref="BZ12">SUMPRODUCT((HQ!$T$3:$T$89=BZ42)*(ISNUMBER(HQ!$N$3:$N$89))*(HQ!$N$3:$N$89))</f>
        <v>0</v>
      </c>
      <c r="CA12" s="435" cm="1">
        <f t="array" ref="CA12">SUMPRODUCT((HQ!$T$3:$T$89=CA42)*(ISNUMBER(HQ!$N$3:$N$89))*(HQ!$N$3:$N$89))</f>
        <v>0</v>
      </c>
      <c r="CB12" s="435" cm="1">
        <f t="array" ref="CB12">SUMPRODUCT((HQ!$T$3:$T$89=CB42)*(ISNUMBER(HQ!$N$3:$N$89))*(HQ!$N$3:$N$89))</f>
        <v>0</v>
      </c>
      <c r="CC12" s="435" cm="1">
        <f t="array" ref="CC12">SUMPRODUCT((HQ!$T$3:$T$89=CC42)*(ISNUMBER(HQ!$N$3:$N$89))*(HQ!$N$3:$N$89))</f>
        <v>0</v>
      </c>
      <c r="CD12" s="435" cm="1">
        <f t="array" ref="CD12">SUMPRODUCT((HQ!$T$3:$T$89=CD42)*(ISNUMBER(HQ!$N$3:$N$89))*(HQ!$N$3:$N$89))</f>
        <v>0</v>
      </c>
      <c r="CE12" s="435" cm="1">
        <f t="array" ref="CE12">SUMPRODUCT((HQ!$T$3:$T$89=CE42)*(ISNUMBER(HQ!$N$3:$N$89))*(HQ!$N$3:$N$89))</f>
        <v>0</v>
      </c>
      <c r="CF12" s="435" cm="1">
        <f t="array" ref="CF12">SUMPRODUCT((HQ!$T$3:$T$89=CF42)*(ISNUMBER(HQ!$N$3:$N$89))*(HQ!$N$3:$N$89))</f>
        <v>0</v>
      </c>
      <c r="CG12" s="435" cm="1">
        <f t="array" ref="CG12">SUMPRODUCT((HQ!$T$3:$T$89=CG42)*(ISNUMBER(HQ!$N$3:$N$89))*(HQ!$N$3:$N$89))</f>
        <v>0</v>
      </c>
      <c r="CH12" s="435" cm="1">
        <f t="array" ref="CH12">SUMPRODUCT((HQ!$T$3:$T$89=CH42)*(ISNUMBER(HQ!$N$3:$N$89))*(HQ!$N$3:$N$89))</f>
        <v>0</v>
      </c>
      <c r="CI12" s="435" cm="1">
        <f t="array" ref="CI12">SUMPRODUCT((HQ!$T$3:$T$89=CI42)*(ISNUMBER(HQ!$N$3:$N$89))*(HQ!$N$3:$N$89))</f>
        <v>0</v>
      </c>
      <c r="CJ12" s="435" cm="1">
        <f t="array" ref="CJ12">SUMPRODUCT((HQ!$T$3:$T$89=CJ42)*(ISNUMBER(HQ!$N$3:$N$89))*(HQ!$N$3:$N$89))</f>
        <v>0</v>
      </c>
      <c r="CK12" s="435" cm="1">
        <f t="array" ref="CK12">SUMPRODUCT((HQ!$T$3:$T$89=CK42)*(ISNUMBER(HQ!$N$3:$N$89))*(HQ!$N$3:$N$89))</f>
        <v>0</v>
      </c>
      <c r="CL12" s="435" cm="1">
        <f t="array" ref="CL12">SUMPRODUCT((HQ!$T$3:$T$89=CL42)*(ISNUMBER(HQ!$N$3:$N$89))*(HQ!$N$3:$N$89))</f>
        <v>0</v>
      </c>
      <c r="CM12" s="435" cm="1">
        <f t="array" ref="CM12">SUMPRODUCT((HQ!$T$3:$T$89=CM42)*(ISNUMBER(HQ!$N$3:$N$89))*(HQ!$N$3:$N$89))</f>
        <v>0</v>
      </c>
      <c r="CN12" s="435" cm="1">
        <f t="array" ref="CN12">SUMPRODUCT((HQ!$T$3:$T$89=CN42)*(ISNUMBER(HQ!$N$3:$N$89))*(HQ!$N$3:$N$89))</f>
        <v>0</v>
      </c>
      <c r="CO12" s="435" cm="1">
        <f t="array" ref="CO12">SUMPRODUCT((HQ!$T$3:$T$89=CO42)*(ISNUMBER(HQ!$N$3:$N$89))*(HQ!$N$3:$N$89))</f>
        <v>0</v>
      </c>
      <c r="CP12" s="435" cm="1">
        <f t="array" ref="CP12">SUMPRODUCT((HQ!$T$3:$T$89=CP42)*(ISNUMBER(HQ!$N$3:$N$89))*(HQ!$N$3:$N$89))</f>
        <v>0</v>
      </c>
      <c r="CQ12" s="435" cm="1">
        <f t="array" ref="CQ12">SUMPRODUCT((HQ!$T$3:$T$89=CQ42)*(ISNUMBER(HQ!$N$3:$N$89))*(HQ!$N$3:$N$89))</f>
        <v>0</v>
      </c>
      <c r="CR12" s="435" cm="1">
        <f t="array" ref="CR12">SUMPRODUCT((HQ!$T$3:$T$89=CR42)*(ISNUMBER(HQ!$N$3:$N$89))*(HQ!$N$3:$N$89))</f>
        <v>0</v>
      </c>
      <c r="CS12" s="435" cm="1">
        <f t="array" ref="CS12">SUMPRODUCT((HQ!$T$3:$T$89=CS42)*(ISNUMBER(HQ!$N$3:$N$89))*(HQ!$N$3:$N$89))</f>
        <v>0</v>
      </c>
      <c r="CT12" s="435" cm="1">
        <f t="array" ref="CT12">SUMPRODUCT((HQ!$T$3:$T$89=CT42)*(ISNUMBER(HQ!$N$3:$N$89))*(HQ!$N$3:$N$89))</f>
        <v>0</v>
      </c>
      <c r="CU12" s="433">
        <f>SUM(B12:CT12)</f>
        <v>158</v>
      </c>
    </row>
    <row r="13" spans="1:99" ht="19.5" customHeight="1">
      <c r="A13" s="436" t="s">
        <v>308</v>
      </c>
      <c r="B13" s="437">
        <f>IF(B11=0,IF(B12=0,0,1),B12/B11)</f>
        <v>0.77142857142857146</v>
      </c>
      <c r="C13" s="437">
        <f t="shared" ref="C13:BI13" si="11">IF(C11=0,IF(C12=0,0,1),C12/C11)</f>
        <v>0</v>
      </c>
      <c r="D13" s="437">
        <f t="shared" si="11"/>
        <v>0</v>
      </c>
      <c r="E13" s="437">
        <f t="shared" si="11"/>
        <v>0</v>
      </c>
      <c r="F13" s="437">
        <f t="shared" si="11"/>
        <v>0</v>
      </c>
      <c r="G13" s="437">
        <f t="shared" si="11"/>
        <v>0</v>
      </c>
      <c r="H13" s="437">
        <f t="shared" si="11"/>
        <v>0</v>
      </c>
      <c r="I13" s="437">
        <f t="shared" si="11"/>
        <v>0</v>
      </c>
      <c r="J13" s="437">
        <f t="shared" si="11"/>
        <v>1</v>
      </c>
      <c r="K13" s="437">
        <f t="shared" si="11"/>
        <v>0</v>
      </c>
      <c r="L13" s="437">
        <f t="shared" si="11"/>
        <v>0</v>
      </c>
      <c r="M13" s="437">
        <f t="shared" si="11"/>
        <v>0</v>
      </c>
      <c r="N13" s="437">
        <f t="shared" si="11"/>
        <v>0</v>
      </c>
      <c r="O13" s="437">
        <f t="shared" si="11"/>
        <v>0</v>
      </c>
      <c r="P13" s="437">
        <f t="shared" si="11"/>
        <v>0</v>
      </c>
      <c r="Q13" s="437">
        <f t="shared" si="11"/>
        <v>1</v>
      </c>
      <c r="R13" s="437">
        <f t="shared" si="11"/>
        <v>0</v>
      </c>
      <c r="S13" s="437">
        <f t="shared" si="11"/>
        <v>1</v>
      </c>
      <c r="T13" s="437">
        <f t="shared" si="11"/>
        <v>0</v>
      </c>
      <c r="U13" s="437">
        <f t="shared" si="11"/>
        <v>0</v>
      </c>
      <c r="V13" s="437">
        <f t="shared" si="11"/>
        <v>1</v>
      </c>
      <c r="W13" s="437">
        <f t="shared" si="11"/>
        <v>0</v>
      </c>
      <c r="X13" s="437">
        <f t="shared" si="11"/>
        <v>1</v>
      </c>
      <c r="Y13" s="437">
        <f t="shared" si="11"/>
        <v>0</v>
      </c>
      <c r="Z13" s="437">
        <f t="shared" si="11"/>
        <v>1</v>
      </c>
      <c r="AA13" s="437">
        <f t="shared" si="11"/>
        <v>0</v>
      </c>
      <c r="AB13" s="437">
        <f t="shared" si="11"/>
        <v>0</v>
      </c>
      <c r="AC13" s="437">
        <f t="shared" si="11"/>
        <v>1</v>
      </c>
      <c r="AD13" s="437">
        <f t="shared" si="11"/>
        <v>0</v>
      </c>
      <c r="AE13" s="437">
        <f t="shared" si="11"/>
        <v>0</v>
      </c>
      <c r="AF13" s="437">
        <f t="shared" si="11"/>
        <v>0</v>
      </c>
      <c r="AG13" s="437">
        <f t="shared" si="11"/>
        <v>0</v>
      </c>
      <c r="AH13" s="437">
        <f t="shared" si="11"/>
        <v>0</v>
      </c>
      <c r="AI13" s="437">
        <f t="shared" si="11"/>
        <v>0</v>
      </c>
      <c r="AJ13" s="437">
        <f t="shared" si="11"/>
        <v>1</v>
      </c>
      <c r="AK13" s="437">
        <f t="shared" si="11"/>
        <v>0</v>
      </c>
      <c r="AL13" s="437">
        <f t="shared" si="11"/>
        <v>1</v>
      </c>
      <c r="AM13" s="437">
        <f t="shared" si="11"/>
        <v>0</v>
      </c>
      <c r="AN13" s="437">
        <f t="shared" si="11"/>
        <v>0</v>
      </c>
      <c r="AO13" s="437">
        <f t="shared" si="11"/>
        <v>0</v>
      </c>
      <c r="AP13" s="437">
        <f t="shared" si="11"/>
        <v>0</v>
      </c>
      <c r="AQ13" s="437">
        <f t="shared" si="11"/>
        <v>1</v>
      </c>
      <c r="AR13" s="437">
        <f t="shared" si="11"/>
        <v>0</v>
      </c>
      <c r="AS13" s="437">
        <f t="shared" si="11"/>
        <v>0</v>
      </c>
      <c r="AT13" s="437">
        <f t="shared" si="11"/>
        <v>0</v>
      </c>
      <c r="AU13" s="437">
        <f t="shared" si="11"/>
        <v>0</v>
      </c>
      <c r="AV13" s="437">
        <f t="shared" si="11"/>
        <v>0</v>
      </c>
      <c r="AW13" s="437">
        <f t="shared" si="11"/>
        <v>0</v>
      </c>
      <c r="AX13" s="437">
        <f t="shared" si="11"/>
        <v>0</v>
      </c>
      <c r="AY13" s="437">
        <f t="shared" si="11"/>
        <v>1</v>
      </c>
      <c r="AZ13" s="437">
        <f t="shared" si="11"/>
        <v>1</v>
      </c>
      <c r="BA13" s="437">
        <f t="shared" si="11"/>
        <v>0</v>
      </c>
      <c r="BB13" s="437">
        <f t="shared" si="11"/>
        <v>0.4</v>
      </c>
      <c r="BC13" s="437">
        <f t="shared" si="11"/>
        <v>0</v>
      </c>
      <c r="BD13" s="437">
        <f t="shared" si="11"/>
        <v>0</v>
      </c>
      <c r="BE13" s="437">
        <f t="shared" si="11"/>
        <v>0</v>
      </c>
      <c r="BF13" s="437">
        <f t="shared" si="11"/>
        <v>0</v>
      </c>
      <c r="BG13" s="437">
        <f t="shared" si="11"/>
        <v>0</v>
      </c>
      <c r="BH13" s="437">
        <f t="shared" si="11"/>
        <v>0</v>
      </c>
      <c r="BI13" s="437">
        <f t="shared" si="11"/>
        <v>0</v>
      </c>
      <c r="BJ13" s="437">
        <f t="shared" ref="BJ13:CJ13" si="12">IF(BJ11=0,IF(BJ12=0,0,1),BJ12/BJ11)</f>
        <v>0</v>
      </c>
      <c r="BK13" s="437">
        <f t="shared" si="12"/>
        <v>0</v>
      </c>
      <c r="BL13" s="437">
        <f t="shared" si="12"/>
        <v>0</v>
      </c>
      <c r="BM13" s="437">
        <f t="shared" si="12"/>
        <v>0</v>
      </c>
      <c r="BN13" s="437">
        <f t="shared" si="12"/>
        <v>0.66666666666666663</v>
      </c>
      <c r="BO13" s="437">
        <f t="shared" si="12"/>
        <v>0</v>
      </c>
      <c r="BP13" s="437">
        <f t="shared" si="12"/>
        <v>0.66666666666666663</v>
      </c>
      <c r="BQ13" s="437">
        <f t="shared" si="12"/>
        <v>0</v>
      </c>
      <c r="BR13" s="437">
        <f t="shared" si="12"/>
        <v>0</v>
      </c>
      <c r="BS13" s="437">
        <f t="shared" si="12"/>
        <v>0</v>
      </c>
      <c r="BT13" s="437">
        <f t="shared" si="12"/>
        <v>0</v>
      </c>
      <c r="BU13" s="437">
        <f t="shared" si="12"/>
        <v>0</v>
      </c>
      <c r="BV13" s="437">
        <f t="shared" si="12"/>
        <v>0</v>
      </c>
      <c r="BW13" s="437">
        <f t="shared" si="12"/>
        <v>0</v>
      </c>
      <c r="BX13" s="437">
        <f t="shared" si="12"/>
        <v>0</v>
      </c>
      <c r="BY13" s="437">
        <f t="shared" si="12"/>
        <v>0</v>
      </c>
      <c r="BZ13" s="437">
        <f t="shared" si="12"/>
        <v>0</v>
      </c>
      <c r="CA13" s="437">
        <f t="shared" si="12"/>
        <v>0</v>
      </c>
      <c r="CB13" s="437">
        <f t="shared" si="12"/>
        <v>0</v>
      </c>
      <c r="CC13" s="437">
        <f t="shared" si="12"/>
        <v>0</v>
      </c>
      <c r="CD13" s="437">
        <f t="shared" si="12"/>
        <v>0</v>
      </c>
      <c r="CE13" s="437">
        <f t="shared" si="12"/>
        <v>0</v>
      </c>
      <c r="CF13" s="437">
        <f t="shared" si="12"/>
        <v>0</v>
      </c>
      <c r="CG13" s="437">
        <f t="shared" si="12"/>
        <v>0</v>
      </c>
      <c r="CH13" s="437">
        <f t="shared" si="12"/>
        <v>0</v>
      </c>
      <c r="CI13" s="437">
        <f t="shared" si="12"/>
        <v>0</v>
      </c>
      <c r="CJ13" s="437">
        <f t="shared" si="12"/>
        <v>0</v>
      </c>
      <c r="CK13" s="437">
        <f t="shared" ref="CK13:CT13" si="13">IF(CK11=0,IF(CK12=0,0,1),CK12/CK11)</f>
        <v>0</v>
      </c>
      <c r="CL13" s="437">
        <f t="shared" si="13"/>
        <v>0</v>
      </c>
      <c r="CM13" s="437">
        <f t="shared" si="13"/>
        <v>0</v>
      </c>
      <c r="CN13" s="437">
        <f t="shared" si="13"/>
        <v>0</v>
      </c>
      <c r="CO13" s="437">
        <f t="shared" si="13"/>
        <v>0</v>
      </c>
      <c r="CP13" s="437">
        <f t="shared" si="13"/>
        <v>0</v>
      </c>
      <c r="CQ13" s="437">
        <f t="shared" si="13"/>
        <v>0</v>
      </c>
      <c r="CR13" s="437">
        <f t="shared" si="13"/>
        <v>0</v>
      </c>
      <c r="CS13" s="437">
        <f t="shared" si="13"/>
        <v>0</v>
      </c>
      <c r="CT13" s="437">
        <f t="shared" si="13"/>
        <v>0</v>
      </c>
      <c r="CU13" s="430">
        <f>IF(CU11=0,"-",CU12/CU11)</f>
        <v>0.81865284974093266</v>
      </c>
    </row>
    <row r="14" spans="1:99" ht="3.75" customHeight="1">
      <c r="BJ14" s="423"/>
    </row>
    <row r="15" spans="1:99" ht="21.75" customHeight="1">
      <c r="A15" s="938" t="s">
        <v>309</v>
      </c>
      <c r="B15" s="939"/>
      <c r="C15" s="939"/>
      <c r="D15" s="939"/>
      <c r="E15" s="939"/>
      <c r="F15" s="939"/>
      <c r="G15" s="939"/>
      <c r="H15" s="939"/>
      <c r="I15" s="939"/>
      <c r="J15" s="939"/>
      <c r="K15" s="939"/>
      <c r="L15" s="939"/>
      <c r="M15" s="939"/>
      <c r="N15" s="939"/>
      <c r="O15" s="939"/>
      <c r="P15" s="939"/>
      <c r="Q15" s="939"/>
      <c r="R15" s="939"/>
      <c r="S15" s="939"/>
      <c r="T15" s="939"/>
      <c r="U15" s="939"/>
      <c r="V15" s="939"/>
      <c r="W15" s="939"/>
      <c r="X15" s="939"/>
      <c r="Y15" s="939"/>
      <c r="Z15" s="939"/>
      <c r="AA15" s="939"/>
      <c r="AB15" s="939"/>
      <c r="AC15" s="939"/>
      <c r="AD15" s="939"/>
      <c r="AE15" s="939"/>
      <c r="AF15" s="939"/>
      <c r="AG15" s="939"/>
      <c r="AH15" s="939"/>
      <c r="AI15" s="939"/>
      <c r="AJ15" s="939"/>
      <c r="AK15" s="939"/>
      <c r="AL15" s="93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39"/>
      <c r="BO15" s="939"/>
      <c r="BP15" s="939"/>
      <c r="BQ15" s="939"/>
      <c r="BR15" s="939"/>
      <c r="BS15" s="939"/>
      <c r="BT15" s="939"/>
      <c r="BU15" s="939"/>
      <c r="BV15" s="939"/>
      <c r="BW15" s="939"/>
      <c r="BX15" s="939"/>
      <c r="BY15" s="939"/>
      <c r="BZ15" s="939"/>
      <c r="CA15" s="939"/>
      <c r="CB15" s="939"/>
      <c r="CC15" s="939"/>
      <c r="CD15" s="939"/>
      <c r="CE15" s="939"/>
      <c r="CF15" s="939"/>
      <c r="CG15" s="939"/>
      <c r="CH15" s="939"/>
      <c r="CI15" s="939"/>
      <c r="CJ15" s="939"/>
      <c r="CK15" s="939"/>
      <c r="CL15" s="939"/>
      <c r="CM15" s="939"/>
      <c r="CN15" s="939"/>
      <c r="CO15" s="939"/>
      <c r="CP15" s="939"/>
      <c r="CQ15" s="939"/>
      <c r="CR15" s="939"/>
      <c r="CS15" s="939"/>
      <c r="CT15" s="939"/>
      <c r="CU15" s="939"/>
    </row>
    <row r="16" spans="1:99" ht="19.5" customHeight="1">
      <c r="A16" s="431" t="s">
        <v>306</v>
      </c>
      <c r="B16" s="432">
        <f t="shared" ref="B16:BI16" si="14">B7</f>
        <v>35</v>
      </c>
      <c r="C16" s="432">
        <f t="shared" si="14"/>
        <v>0</v>
      </c>
      <c r="D16" s="432">
        <f t="shared" si="14"/>
        <v>0</v>
      </c>
      <c r="E16" s="432">
        <f t="shared" si="14"/>
        <v>0</v>
      </c>
      <c r="F16" s="432">
        <f t="shared" si="14"/>
        <v>0</v>
      </c>
      <c r="G16" s="432">
        <f t="shared" si="14"/>
        <v>0</v>
      </c>
      <c r="H16" s="432">
        <f t="shared" si="14"/>
        <v>0</v>
      </c>
      <c r="I16" s="432">
        <f t="shared" si="14"/>
        <v>0</v>
      </c>
      <c r="J16" s="432">
        <f t="shared" si="14"/>
        <v>10</v>
      </c>
      <c r="K16" s="432">
        <f t="shared" si="14"/>
        <v>0</v>
      </c>
      <c r="L16" s="432">
        <f t="shared" si="14"/>
        <v>0</v>
      </c>
      <c r="M16" s="432">
        <f t="shared" si="14"/>
        <v>0</v>
      </c>
      <c r="N16" s="432">
        <f t="shared" si="14"/>
        <v>0</v>
      </c>
      <c r="O16" s="432">
        <f t="shared" si="14"/>
        <v>0</v>
      </c>
      <c r="P16" s="432">
        <f t="shared" si="14"/>
        <v>0</v>
      </c>
      <c r="Q16" s="432">
        <f t="shared" si="14"/>
        <v>5</v>
      </c>
      <c r="R16" s="432">
        <f t="shared" si="14"/>
        <v>0</v>
      </c>
      <c r="S16" s="432">
        <f t="shared" si="14"/>
        <v>4</v>
      </c>
      <c r="T16" s="432">
        <f t="shared" si="14"/>
        <v>0</v>
      </c>
      <c r="U16" s="432">
        <f t="shared" si="14"/>
        <v>0</v>
      </c>
      <c r="V16" s="432">
        <f t="shared" si="14"/>
        <v>15</v>
      </c>
      <c r="W16" s="432">
        <f t="shared" si="14"/>
        <v>0</v>
      </c>
      <c r="X16" s="432">
        <f t="shared" si="14"/>
        <v>20</v>
      </c>
      <c r="Y16" s="432">
        <f t="shared" si="14"/>
        <v>0</v>
      </c>
      <c r="Z16" s="432">
        <f t="shared" si="14"/>
        <v>17</v>
      </c>
      <c r="AA16" s="432">
        <f t="shared" si="14"/>
        <v>0</v>
      </c>
      <c r="AB16" s="432">
        <f t="shared" si="14"/>
        <v>0</v>
      </c>
      <c r="AC16" s="432">
        <f t="shared" si="14"/>
        <v>14</v>
      </c>
      <c r="AD16" s="432">
        <f t="shared" si="14"/>
        <v>0</v>
      </c>
      <c r="AE16" s="432">
        <f t="shared" si="14"/>
        <v>0</v>
      </c>
      <c r="AF16" s="432">
        <f t="shared" si="14"/>
        <v>0</v>
      </c>
      <c r="AG16" s="432">
        <f t="shared" si="14"/>
        <v>0</v>
      </c>
      <c r="AH16" s="432">
        <f t="shared" si="14"/>
        <v>0</v>
      </c>
      <c r="AI16" s="432">
        <f t="shared" si="14"/>
        <v>0</v>
      </c>
      <c r="AJ16" s="432">
        <f t="shared" si="14"/>
        <v>10</v>
      </c>
      <c r="AK16" s="432">
        <f t="shared" si="14"/>
        <v>0</v>
      </c>
      <c r="AL16" s="432">
        <f t="shared" si="14"/>
        <v>8</v>
      </c>
      <c r="AM16" s="432">
        <f t="shared" si="14"/>
        <v>0</v>
      </c>
      <c r="AN16" s="432">
        <f t="shared" si="14"/>
        <v>0</v>
      </c>
      <c r="AO16" s="432">
        <f t="shared" si="14"/>
        <v>0</v>
      </c>
      <c r="AP16" s="432">
        <f t="shared" si="14"/>
        <v>0</v>
      </c>
      <c r="AQ16" s="432">
        <f t="shared" si="14"/>
        <v>11</v>
      </c>
      <c r="AR16" s="432">
        <f t="shared" si="14"/>
        <v>0</v>
      </c>
      <c r="AS16" s="432">
        <f t="shared" si="14"/>
        <v>0</v>
      </c>
      <c r="AT16" s="432">
        <f t="shared" si="14"/>
        <v>0</v>
      </c>
      <c r="AU16" s="432">
        <f t="shared" si="14"/>
        <v>0</v>
      </c>
      <c r="AV16" s="432">
        <f t="shared" si="14"/>
        <v>0</v>
      </c>
      <c r="AW16" s="432">
        <f t="shared" si="14"/>
        <v>0</v>
      </c>
      <c r="AX16" s="432">
        <f t="shared" si="14"/>
        <v>0</v>
      </c>
      <c r="AY16" s="432">
        <f t="shared" si="14"/>
        <v>7</v>
      </c>
      <c r="AZ16" s="432">
        <f t="shared" si="14"/>
        <v>2</v>
      </c>
      <c r="BA16" s="432">
        <f t="shared" si="14"/>
        <v>0</v>
      </c>
      <c r="BB16" s="432">
        <f t="shared" si="14"/>
        <v>5</v>
      </c>
      <c r="BC16" s="432">
        <f t="shared" si="14"/>
        <v>0</v>
      </c>
      <c r="BD16" s="432">
        <f t="shared" si="14"/>
        <v>0</v>
      </c>
      <c r="BE16" s="432">
        <f t="shared" si="14"/>
        <v>0</v>
      </c>
      <c r="BF16" s="432">
        <f t="shared" si="14"/>
        <v>0</v>
      </c>
      <c r="BG16" s="432">
        <f t="shared" si="14"/>
        <v>12</v>
      </c>
      <c r="BH16" s="432">
        <f t="shared" si="14"/>
        <v>0</v>
      </c>
      <c r="BI16" s="432">
        <f t="shared" si="14"/>
        <v>2</v>
      </c>
      <c r="BJ16" s="432">
        <f t="shared" ref="BJ16:CJ16" si="15">BJ7</f>
        <v>0</v>
      </c>
      <c r="BK16" s="432">
        <f t="shared" si="15"/>
        <v>0</v>
      </c>
      <c r="BL16" s="432">
        <f t="shared" si="15"/>
        <v>4</v>
      </c>
      <c r="BM16" s="432">
        <f t="shared" si="15"/>
        <v>3</v>
      </c>
      <c r="BN16" s="432">
        <f t="shared" si="15"/>
        <v>3</v>
      </c>
      <c r="BO16" s="432">
        <f t="shared" si="15"/>
        <v>0</v>
      </c>
      <c r="BP16" s="432">
        <f t="shared" si="15"/>
        <v>6</v>
      </c>
      <c r="BQ16" s="432">
        <f t="shared" si="15"/>
        <v>0</v>
      </c>
      <c r="BR16" s="432">
        <f t="shared" si="15"/>
        <v>0</v>
      </c>
      <c r="BS16" s="432">
        <f t="shared" si="15"/>
        <v>0</v>
      </c>
      <c r="BT16" s="432">
        <f t="shared" si="15"/>
        <v>0</v>
      </c>
      <c r="BU16" s="432">
        <f t="shared" si="15"/>
        <v>0</v>
      </c>
      <c r="BV16" s="432">
        <f t="shared" si="15"/>
        <v>0</v>
      </c>
      <c r="BW16" s="432">
        <f t="shared" si="15"/>
        <v>0</v>
      </c>
      <c r="BX16" s="432">
        <f t="shared" si="15"/>
        <v>0</v>
      </c>
      <c r="BY16" s="432">
        <f t="shared" si="15"/>
        <v>0</v>
      </c>
      <c r="BZ16" s="432">
        <f t="shared" si="15"/>
        <v>0</v>
      </c>
      <c r="CA16" s="432">
        <f t="shared" si="15"/>
        <v>0</v>
      </c>
      <c r="CB16" s="432">
        <f t="shared" si="15"/>
        <v>0</v>
      </c>
      <c r="CC16" s="432">
        <f t="shared" si="15"/>
        <v>0</v>
      </c>
      <c r="CD16" s="432">
        <f t="shared" si="15"/>
        <v>0</v>
      </c>
      <c r="CE16" s="432">
        <f t="shared" si="15"/>
        <v>0</v>
      </c>
      <c r="CF16" s="432">
        <f t="shared" si="15"/>
        <v>0</v>
      </c>
      <c r="CG16" s="432">
        <f t="shared" si="15"/>
        <v>0</v>
      </c>
      <c r="CH16" s="432">
        <f t="shared" si="15"/>
        <v>0</v>
      </c>
      <c r="CI16" s="432">
        <f t="shared" si="15"/>
        <v>0</v>
      </c>
      <c r="CJ16" s="432">
        <f t="shared" si="15"/>
        <v>0</v>
      </c>
      <c r="CK16" s="432">
        <f t="shared" ref="CK16:CT16" si="16">CK7</f>
        <v>0</v>
      </c>
      <c r="CL16" s="432">
        <f t="shared" si="16"/>
        <v>0</v>
      </c>
      <c r="CM16" s="432">
        <f t="shared" si="16"/>
        <v>0</v>
      </c>
      <c r="CN16" s="432">
        <f t="shared" si="16"/>
        <v>0</v>
      </c>
      <c r="CO16" s="432">
        <f t="shared" si="16"/>
        <v>0</v>
      </c>
      <c r="CP16" s="432">
        <f t="shared" si="16"/>
        <v>0</v>
      </c>
      <c r="CQ16" s="432">
        <f t="shared" si="16"/>
        <v>0</v>
      </c>
      <c r="CR16" s="432">
        <f t="shared" si="16"/>
        <v>0</v>
      </c>
      <c r="CS16" s="432">
        <f t="shared" si="16"/>
        <v>0</v>
      </c>
      <c r="CT16" s="432">
        <f t="shared" si="16"/>
        <v>0</v>
      </c>
      <c r="CU16" s="433">
        <f>CU7</f>
        <v>193</v>
      </c>
    </row>
    <row r="17" spans="1:99" ht="19.5" customHeight="1">
      <c r="A17" s="434" t="s">
        <v>307</v>
      </c>
      <c r="B17" s="435" cm="1">
        <f t="array" ref="B17">SUMPRODUCT((HQ!$T$3:$T$89=B42)*(ISNUMBER(HQ!$O$3:$O$89))*(HQ!$O$3:$O$89))</f>
        <v>27</v>
      </c>
      <c r="C17" s="435" cm="1">
        <f t="array" ref="C17">SUMPRODUCT((HQ!$T$3:$T$89=C42)*(ISNUMBER(HQ!$O$3:$O$89))*(HQ!$O$3:$O$89))</f>
        <v>0</v>
      </c>
      <c r="D17" s="435" cm="1">
        <f t="array" ref="D17">SUMPRODUCT((HQ!$T$3:$T$89=D42)*(ISNUMBER(HQ!$O$3:$O$89))*(HQ!$O$3:$O$89))</f>
        <v>0</v>
      </c>
      <c r="E17" s="435" cm="1">
        <f t="array" ref="E17">SUMPRODUCT((HQ!$T$3:$T$89=E42)*(ISNUMBER(HQ!$O$3:$O$89))*(HQ!$O$3:$O$89))</f>
        <v>0</v>
      </c>
      <c r="F17" s="435" cm="1">
        <f t="array" ref="F17">SUMPRODUCT((HQ!$T$3:$T$89=F42)*(ISNUMBER(HQ!$O$3:$O$89))*(HQ!$O$3:$O$89))</f>
        <v>0</v>
      </c>
      <c r="G17" s="435" cm="1">
        <f t="array" ref="G17">SUMPRODUCT((HQ!$T$3:$T$89=G42)*(ISNUMBER(HQ!$O$3:$O$89))*(HQ!$O$3:$O$89))</f>
        <v>0</v>
      </c>
      <c r="H17" s="435" cm="1">
        <f t="array" ref="H17">SUMPRODUCT((HQ!$T$3:$T$89=H42)*(ISNUMBER(HQ!$O$3:$O$89))*(HQ!$O$3:$O$89))</f>
        <v>0</v>
      </c>
      <c r="I17" s="435" cm="1">
        <f t="array" ref="I17">SUMPRODUCT((HQ!$T$3:$T$89=I42)*(ISNUMBER(HQ!$O$3:$O$89))*(HQ!$O$3:$O$89))</f>
        <v>0</v>
      </c>
      <c r="J17" s="435" cm="1">
        <f t="array" ref="J17">SUMPRODUCT((HQ!$T$3:$T$89=J42)*(ISNUMBER(HQ!$O$3:$O$89))*(HQ!$O$3:$O$89))</f>
        <v>10</v>
      </c>
      <c r="K17" s="435" cm="1">
        <f t="array" ref="K17">SUMPRODUCT((HQ!$T$3:$T$89=K42)*(ISNUMBER(HQ!$O$3:$O$89))*(HQ!$O$3:$O$89))</f>
        <v>0</v>
      </c>
      <c r="L17" s="435" cm="1">
        <f t="array" ref="L17">SUMPRODUCT((HQ!$T$3:$T$89=L42)*(ISNUMBER(HQ!$O$3:$O$89))*(HQ!$O$3:$O$89))</f>
        <v>0</v>
      </c>
      <c r="M17" s="435" cm="1">
        <f t="array" ref="M17">SUMPRODUCT((HQ!$T$3:$T$89=M42)*(ISNUMBER(HQ!$O$3:$O$89))*(HQ!$O$3:$O$89))</f>
        <v>0</v>
      </c>
      <c r="N17" s="435" cm="1">
        <f t="array" ref="N17">SUMPRODUCT((HQ!$T$3:$T$89=N42)*(ISNUMBER(HQ!$O$3:$O$89))*(HQ!$O$3:$O$89))</f>
        <v>0</v>
      </c>
      <c r="O17" s="435" cm="1">
        <f t="array" ref="O17">SUMPRODUCT((HQ!$T$3:$T$89=O42)*(ISNUMBER(HQ!$O$3:$O$89))*(HQ!$O$3:$O$89))</f>
        <v>0</v>
      </c>
      <c r="P17" s="435" cm="1">
        <f t="array" ref="P17">SUMPRODUCT((HQ!$T$3:$T$89=P42)*(ISNUMBER(HQ!$O$3:$O$89))*(HQ!$O$3:$O$89))</f>
        <v>0</v>
      </c>
      <c r="Q17" s="435" cm="1">
        <f t="array" ref="Q17">SUMPRODUCT((HQ!$T$3:$T$89=Q42)*(ISNUMBER(HQ!$O$3:$O$89))*(HQ!$O$3:$O$89))</f>
        <v>5</v>
      </c>
      <c r="R17" s="435" cm="1">
        <f t="array" ref="R17">SUMPRODUCT((HQ!$T$3:$T$89=R42)*(ISNUMBER(HQ!$O$3:$O$89))*(HQ!$O$3:$O$89))</f>
        <v>0</v>
      </c>
      <c r="S17" s="435" cm="1">
        <f t="array" ref="S17">SUMPRODUCT((HQ!$T$3:$T$89=S42)*(ISNUMBER(HQ!$O$3:$O$89))*(HQ!$O$3:$O$89))</f>
        <v>4</v>
      </c>
      <c r="T17" s="435" cm="1">
        <f t="array" ref="T17">SUMPRODUCT((HQ!$T$3:$T$89=T42)*(ISNUMBER(HQ!$O$3:$O$89))*(HQ!$O$3:$O$89))</f>
        <v>0</v>
      </c>
      <c r="U17" s="435" cm="1">
        <f t="array" ref="U17">SUMPRODUCT((HQ!$T$3:$T$89=U42)*(ISNUMBER(HQ!$O$3:$O$89))*(HQ!$O$3:$O$89))</f>
        <v>0</v>
      </c>
      <c r="V17" s="435" cm="1">
        <f t="array" ref="V17">SUMPRODUCT((HQ!$T$3:$T$89=V42)*(ISNUMBER(HQ!$O$3:$O$89))*(HQ!$O$3:$O$89))</f>
        <v>15</v>
      </c>
      <c r="W17" s="435" cm="1">
        <f t="array" ref="W17">SUMPRODUCT((HQ!$T$3:$T$89=W42)*(ISNUMBER(HQ!$O$3:$O$89))*(HQ!$O$3:$O$89))</f>
        <v>0</v>
      </c>
      <c r="X17" s="435" cm="1">
        <f t="array" ref="X17">SUMPRODUCT((HQ!$T$3:$T$89=X42)*(ISNUMBER(HQ!$O$3:$O$89))*(HQ!$O$3:$O$89))</f>
        <v>20</v>
      </c>
      <c r="Y17" s="435" cm="1">
        <f t="array" ref="Y17">SUMPRODUCT((HQ!$T$3:$T$89=Y42)*(ISNUMBER(HQ!$O$3:$O$89))*(HQ!$O$3:$O$89))</f>
        <v>0</v>
      </c>
      <c r="Z17" s="435" cm="1">
        <f t="array" ref="Z17">SUMPRODUCT((HQ!$T$3:$T$89=Z42)*(ISNUMBER(HQ!$O$3:$O$89))*(HQ!$O$3:$O$89))</f>
        <v>17</v>
      </c>
      <c r="AA17" s="435" cm="1">
        <f t="array" ref="AA17">SUMPRODUCT((HQ!$T$3:$T$89=AA42)*(ISNUMBER(HQ!$O$3:$O$89))*(HQ!$O$3:$O$89))</f>
        <v>0</v>
      </c>
      <c r="AB17" s="435" cm="1">
        <f t="array" ref="AB17">SUMPRODUCT((HQ!$T$3:$T$89=AB42)*(ISNUMBER(HQ!$O$3:$O$89))*(HQ!$O$3:$O$89))</f>
        <v>0</v>
      </c>
      <c r="AC17" s="435" cm="1">
        <f t="array" ref="AC17">SUMPRODUCT((HQ!$T$3:$T$89=AC42)*(ISNUMBER(HQ!$O$3:$O$89))*(HQ!$O$3:$O$89))</f>
        <v>14</v>
      </c>
      <c r="AD17" s="435" cm="1">
        <f t="array" ref="AD17">SUMPRODUCT((HQ!$T$3:$T$89=AD42)*(ISNUMBER(HQ!$O$3:$O$89))*(HQ!$O$3:$O$89))</f>
        <v>0</v>
      </c>
      <c r="AE17" s="435" cm="1">
        <f t="array" ref="AE17">SUMPRODUCT((HQ!$T$3:$T$89=AE42)*(ISNUMBER(HQ!$O$3:$O$89))*(HQ!$O$3:$O$89))</f>
        <v>0</v>
      </c>
      <c r="AF17" s="435" cm="1">
        <f t="array" ref="AF17">SUMPRODUCT((HQ!$T$3:$T$89=AF42)*(ISNUMBER(HQ!$O$3:$O$89))*(HQ!$O$3:$O$89))</f>
        <v>0</v>
      </c>
      <c r="AG17" s="435" cm="1">
        <f t="array" ref="AG17">SUMPRODUCT((HQ!$T$3:$T$89=AG42)*(ISNUMBER(HQ!$O$3:$O$89))*(HQ!$O$3:$O$89))</f>
        <v>0</v>
      </c>
      <c r="AH17" s="435" cm="1">
        <f t="array" ref="AH17">SUMPRODUCT((HQ!$T$3:$T$89=AH42)*(ISNUMBER(HQ!$O$3:$O$89))*(HQ!$O$3:$O$89))</f>
        <v>0</v>
      </c>
      <c r="AI17" s="435" cm="1">
        <f t="array" ref="AI17">SUMPRODUCT((HQ!$T$3:$T$89=AI42)*(ISNUMBER(HQ!$O$3:$O$89))*(HQ!$O$3:$O$89))</f>
        <v>0</v>
      </c>
      <c r="AJ17" s="435" cm="1">
        <f t="array" ref="AJ17">SUMPRODUCT((HQ!$T$3:$T$89=AJ42)*(ISNUMBER(HQ!$O$3:$O$89))*(HQ!$O$3:$O$89))</f>
        <v>10</v>
      </c>
      <c r="AK17" s="435" cm="1">
        <f t="array" ref="AK17">SUMPRODUCT((HQ!$T$3:$T$89=AK42)*(ISNUMBER(HQ!$O$3:$O$89))*(HQ!$O$3:$O$89))</f>
        <v>0</v>
      </c>
      <c r="AL17" s="435" cm="1">
        <f t="array" ref="AL17">SUMPRODUCT((HQ!$T$3:$T$89=AL42)*(ISNUMBER(HQ!$O$3:$O$89))*(HQ!$O$3:$O$89))</f>
        <v>8</v>
      </c>
      <c r="AM17" s="435" cm="1">
        <f t="array" ref="AM17">SUMPRODUCT((HQ!$T$3:$T$89=AM42)*(ISNUMBER(HQ!$O$3:$O$89))*(HQ!$O$3:$O$89))</f>
        <v>0</v>
      </c>
      <c r="AN17" s="435" cm="1">
        <f t="array" ref="AN17">SUMPRODUCT((HQ!$T$3:$T$89=AN42)*(ISNUMBER(HQ!$O$3:$O$89))*(HQ!$O$3:$O$89))</f>
        <v>0</v>
      </c>
      <c r="AO17" s="435" cm="1">
        <f t="array" ref="AO17">SUMPRODUCT((HQ!$T$3:$T$89=AO42)*(ISNUMBER(HQ!$O$3:$O$89))*(HQ!$O$3:$O$89))</f>
        <v>0</v>
      </c>
      <c r="AP17" s="435" cm="1">
        <f t="array" ref="AP17">SUMPRODUCT((HQ!$T$3:$T$89=AP42)*(ISNUMBER(HQ!$O$3:$O$89))*(HQ!$O$3:$O$89))</f>
        <v>0</v>
      </c>
      <c r="AQ17" s="435" cm="1">
        <f t="array" ref="AQ17">SUMPRODUCT((HQ!$T$3:$T$89=AQ42)*(ISNUMBER(HQ!$O$3:$O$89))*(HQ!$O$3:$O$89))</f>
        <v>11</v>
      </c>
      <c r="AR17" s="435" cm="1">
        <f t="array" ref="AR17">SUMPRODUCT((HQ!$T$3:$T$89=AR42)*(ISNUMBER(HQ!$O$3:$O$89))*(HQ!$O$3:$O$89))</f>
        <v>0</v>
      </c>
      <c r="AS17" s="435" cm="1">
        <f t="array" ref="AS17">SUMPRODUCT((HQ!$T$3:$T$89=AS42)*(ISNUMBER(HQ!$O$3:$O$89))*(HQ!$O$3:$O$89))</f>
        <v>0</v>
      </c>
      <c r="AT17" s="435" cm="1">
        <f t="array" ref="AT17">SUMPRODUCT((HQ!$T$3:$T$89=AT42)*(ISNUMBER(HQ!$O$3:$O$89))*(HQ!$O$3:$O$89))</f>
        <v>0</v>
      </c>
      <c r="AU17" s="435" cm="1">
        <f t="array" ref="AU17">SUMPRODUCT((HQ!$T$3:$T$89=AU42)*(ISNUMBER(HQ!$O$3:$O$89))*(HQ!$O$3:$O$89))</f>
        <v>0</v>
      </c>
      <c r="AV17" s="435" cm="1">
        <f t="array" ref="AV17">SUMPRODUCT((HQ!$T$3:$T$89=AV42)*(ISNUMBER(HQ!$O$3:$O$89))*(HQ!$O$3:$O$89))</f>
        <v>0</v>
      </c>
      <c r="AW17" s="435" cm="1">
        <f t="array" ref="AW17">SUMPRODUCT((HQ!$T$3:$T$89=AW42)*(ISNUMBER(HQ!$O$3:$O$89))*(HQ!$O$3:$O$89))</f>
        <v>0</v>
      </c>
      <c r="AX17" s="435" cm="1">
        <f t="array" ref="AX17">SUMPRODUCT((HQ!$T$3:$T$89=AX42)*(ISNUMBER(HQ!$O$3:$O$89))*(HQ!$O$3:$O$89))</f>
        <v>0</v>
      </c>
      <c r="AY17" s="435" cm="1">
        <f t="array" ref="AY17">SUMPRODUCT((HQ!$T$3:$T$89=AY42)*(ISNUMBER(HQ!$O$3:$O$89))*(HQ!$O$3:$O$89))</f>
        <v>7</v>
      </c>
      <c r="AZ17" s="435" cm="1">
        <f t="array" ref="AZ17">SUMPRODUCT((HQ!$T$3:$T$89=AZ42)*(ISNUMBER(HQ!$O$3:$O$89))*(HQ!$O$3:$O$89))</f>
        <v>2</v>
      </c>
      <c r="BA17" s="435" cm="1">
        <f t="array" ref="BA17">SUMPRODUCT((HQ!$T$3:$T$89=BA42)*(ISNUMBER(HQ!$O$3:$O$89))*(HQ!$O$3:$O$89))</f>
        <v>0</v>
      </c>
      <c r="BB17" s="435" cm="1">
        <f t="array" ref="BB17">SUMPRODUCT((HQ!$T$3:$T$89=BB42)*(ISNUMBER(HQ!$O$3:$O$89))*(HQ!$O$3:$O$89))</f>
        <v>2</v>
      </c>
      <c r="BC17" s="435" cm="1">
        <f t="array" ref="BC17">SUMPRODUCT((HQ!$T$3:$T$89=BC42)*(ISNUMBER(HQ!$O$3:$O$89))*(HQ!$O$3:$O$89))</f>
        <v>0</v>
      </c>
      <c r="BD17" s="435" cm="1">
        <f t="array" ref="BD17">SUMPRODUCT((HQ!$T$3:$T$89=BD42)*(ISNUMBER(HQ!$O$3:$O$89))*(HQ!$O$3:$O$89))</f>
        <v>0</v>
      </c>
      <c r="BE17" s="435" cm="1">
        <f t="array" ref="BE17">SUMPRODUCT((HQ!$T$3:$T$89=BE42)*(ISNUMBER(HQ!$O$3:$O$89))*(HQ!$O$3:$O$89))</f>
        <v>0</v>
      </c>
      <c r="BF17" s="435" cm="1">
        <f t="array" ref="BF17">SUMPRODUCT((HQ!$T$3:$T$89=BF42)*(ISNUMBER(HQ!$O$3:$O$89))*(HQ!$O$3:$O$89))</f>
        <v>0</v>
      </c>
      <c r="BG17" s="435" cm="1">
        <f t="array" ref="BG17">SUMPRODUCT((HQ!$T$3:$T$89=BG42)*(ISNUMBER(HQ!$O$3:$O$89))*(HQ!$O$3:$O$89))</f>
        <v>0</v>
      </c>
      <c r="BH17" s="435" cm="1">
        <f t="array" ref="BH17">SUMPRODUCT((HQ!$T$3:$T$89=BH42)*(ISNUMBER(HQ!$O$3:$O$89))*(HQ!$O$3:$O$89))</f>
        <v>0</v>
      </c>
      <c r="BI17" s="435" cm="1">
        <f t="array" ref="BI17">SUMPRODUCT((HQ!$T$3:$T$89=BI42)*(ISNUMBER(HQ!$O$3:$O$89))*(HQ!$O$3:$O$89))</f>
        <v>0</v>
      </c>
      <c r="BJ17" s="435" cm="1">
        <f t="array" ref="BJ17">SUMPRODUCT((HQ!$T$3:$T$89=BJ42)*(ISNUMBER(HQ!$O$3:$O$89))*(HQ!$O$3:$O$89))</f>
        <v>0</v>
      </c>
      <c r="BK17" s="435" cm="1">
        <f t="array" ref="BK17">SUMPRODUCT((HQ!$T$3:$T$89=BK42)*(ISNUMBER(HQ!$O$3:$O$89))*(HQ!$O$3:$O$89))</f>
        <v>0</v>
      </c>
      <c r="BL17" s="435" cm="1">
        <f t="array" ref="BL17">SUMPRODUCT((HQ!$T$3:$T$89=BL42)*(ISNUMBER(HQ!$O$3:$O$89))*(HQ!$O$3:$O$89))</f>
        <v>0</v>
      </c>
      <c r="BM17" s="435" cm="1">
        <f t="array" ref="BM17">SUMPRODUCT((HQ!$T$3:$T$89=BM42)*(ISNUMBER(HQ!$O$3:$O$89))*(HQ!$O$3:$O$89))</f>
        <v>0</v>
      </c>
      <c r="BN17" s="435" cm="1">
        <f t="array" ref="BN17">SUMPRODUCT((HQ!$T$3:$T$89=BN42)*(ISNUMBER(HQ!$O$3:$O$89))*(HQ!$O$3:$O$89))</f>
        <v>2</v>
      </c>
      <c r="BO17" s="435" cm="1">
        <f t="array" ref="BO17">SUMPRODUCT((HQ!$T$3:$T$89=BO42)*(ISNUMBER(HQ!$O$3:$O$89))*(HQ!$O$3:$O$89))</f>
        <v>0</v>
      </c>
      <c r="BP17" s="435" cm="1">
        <f t="array" ref="BP17">SUMPRODUCT((HQ!$T$3:$T$89=BP42)*(ISNUMBER(HQ!$O$3:$O$89))*(HQ!$O$3:$O$89))</f>
        <v>4</v>
      </c>
      <c r="BQ17" s="435" cm="1">
        <f t="array" ref="BQ17">SUMPRODUCT((HQ!$T$3:$T$89=BQ42)*(ISNUMBER(HQ!$O$3:$O$89))*(HQ!$O$3:$O$89))</f>
        <v>0</v>
      </c>
      <c r="BR17" s="435" cm="1">
        <f t="array" ref="BR17">SUMPRODUCT((HQ!$T$3:$T$89=BR42)*(ISNUMBER(HQ!$O$3:$O$89))*(HQ!$O$3:$O$89))</f>
        <v>0</v>
      </c>
      <c r="BS17" s="435" cm="1">
        <f t="array" ref="BS17">SUMPRODUCT((HQ!$T$3:$T$89=BS42)*(ISNUMBER(HQ!$O$3:$O$89))*(HQ!$O$3:$O$89))</f>
        <v>0</v>
      </c>
      <c r="BT17" s="435" cm="1">
        <f t="array" ref="BT17">SUMPRODUCT((HQ!$T$3:$T$89=BT42)*(ISNUMBER(HQ!$O$3:$O$89))*(HQ!$O$3:$O$89))</f>
        <v>0</v>
      </c>
      <c r="BU17" s="435" cm="1">
        <f t="array" ref="BU17">SUMPRODUCT((HQ!$T$3:$T$89=BU42)*(ISNUMBER(HQ!$O$3:$O$89))*(HQ!$O$3:$O$89))</f>
        <v>0</v>
      </c>
      <c r="BV17" s="435" cm="1">
        <f t="array" ref="BV17">SUMPRODUCT((HQ!$T$3:$T$89=BV42)*(ISNUMBER(HQ!$O$3:$O$89))*(HQ!$O$3:$O$89))</f>
        <v>0</v>
      </c>
      <c r="BW17" s="435" cm="1">
        <f t="array" ref="BW17">SUMPRODUCT((HQ!$T$3:$T$89=BW42)*(ISNUMBER(HQ!$O$3:$O$89))*(HQ!$O$3:$O$89))</f>
        <v>0</v>
      </c>
      <c r="BX17" s="435" cm="1">
        <f t="array" ref="BX17">SUMPRODUCT((HQ!$T$3:$T$89=BX42)*(ISNUMBER(HQ!$O$3:$O$89))*(HQ!$O$3:$O$89))</f>
        <v>0</v>
      </c>
      <c r="BY17" s="435" cm="1">
        <f t="array" ref="BY17">SUMPRODUCT((HQ!$T$3:$T$89=BY42)*(ISNUMBER(HQ!$O$3:$O$89))*(HQ!$O$3:$O$89))</f>
        <v>0</v>
      </c>
      <c r="BZ17" s="435" cm="1">
        <f t="array" ref="BZ17">SUMPRODUCT((HQ!$T$3:$T$89=BZ42)*(ISNUMBER(HQ!$O$3:$O$89))*(HQ!$O$3:$O$89))</f>
        <v>0</v>
      </c>
      <c r="CA17" s="435" cm="1">
        <f t="array" ref="CA17">SUMPRODUCT((HQ!$T$3:$T$89=CA42)*(ISNUMBER(HQ!$O$3:$O$89))*(HQ!$O$3:$O$89))</f>
        <v>0</v>
      </c>
      <c r="CB17" s="435" cm="1">
        <f t="array" ref="CB17">SUMPRODUCT((HQ!$T$3:$T$89=CB42)*(ISNUMBER(HQ!$O$3:$O$89))*(HQ!$O$3:$O$89))</f>
        <v>0</v>
      </c>
      <c r="CC17" s="435" cm="1">
        <f t="array" ref="CC17">SUMPRODUCT((HQ!$T$3:$T$89=CC42)*(ISNUMBER(HQ!$O$3:$O$89))*(HQ!$O$3:$O$89))</f>
        <v>0</v>
      </c>
      <c r="CD17" s="435" cm="1">
        <f t="array" ref="CD17">SUMPRODUCT((HQ!$T$3:$T$89=CD42)*(ISNUMBER(HQ!$O$3:$O$89))*(HQ!$O$3:$O$89))</f>
        <v>0</v>
      </c>
      <c r="CE17" s="435" cm="1">
        <f t="array" ref="CE17">SUMPRODUCT((HQ!$T$3:$T$89=CE42)*(ISNUMBER(HQ!$O$3:$O$89))*(HQ!$O$3:$O$89))</f>
        <v>0</v>
      </c>
      <c r="CF17" s="435" cm="1">
        <f t="array" ref="CF17">SUMPRODUCT((HQ!$T$3:$T$89=CF42)*(ISNUMBER(HQ!$O$3:$O$89))*(HQ!$O$3:$O$89))</f>
        <v>0</v>
      </c>
      <c r="CG17" s="435" cm="1">
        <f t="array" ref="CG17">SUMPRODUCT((HQ!$T$3:$T$89=CG42)*(ISNUMBER(HQ!$O$3:$O$89))*(HQ!$O$3:$O$89))</f>
        <v>0</v>
      </c>
      <c r="CH17" s="435" cm="1">
        <f t="array" ref="CH17">SUMPRODUCT((HQ!$T$3:$T$89=CH42)*(ISNUMBER(HQ!$O$3:$O$89))*(HQ!$O$3:$O$89))</f>
        <v>0</v>
      </c>
      <c r="CI17" s="435" cm="1">
        <f t="array" ref="CI17">SUMPRODUCT((HQ!$T$3:$T$89=CI42)*(ISNUMBER(HQ!$O$3:$O$89))*(HQ!$O$3:$O$89))</f>
        <v>0</v>
      </c>
      <c r="CJ17" s="435" cm="1">
        <f t="array" ref="CJ17">SUMPRODUCT((HQ!$T$3:$T$89=CJ42)*(ISNUMBER(HQ!$O$3:$O$89))*(HQ!$O$3:$O$89))</f>
        <v>0</v>
      </c>
      <c r="CK17" s="435" cm="1">
        <f t="array" ref="CK17">SUMPRODUCT((HQ!$T$3:$T$89=CK42)*(ISNUMBER(HQ!$O$3:$O$89))*(HQ!$O$3:$O$89))</f>
        <v>0</v>
      </c>
      <c r="CL17" s="435" cm="1">
        <f t="array" ref="CL17">SUMPRODUCT((HQ!$T$3:$T$89=CL42)*(ISNUMBER(HQ!$O$3:$O$89))*(HQ!$O$3:$O$89))</f>
        <v>0</v>
      </c>
      <c r="CM17" s="435" cm="1">
        <f t="array" ref="CM17">SUMPRODUCT((HQ!$T$3:$T$89=CM42)*(ISNUMBER(HQ!$O$3:$O$89))*(HQ!$O$3:$O$89))</f>
        <v>0</v>
      </c>
      <c r="CN17" s="435" cm="1">
        <f t="array" ref="CN17">SUMPRODUCT((HQ!$T$3:$T$89=CN42)*(ISNUMBER(HQ!$O$3:$O$89))*(HQ!$O$3:$O$89))</f>
        <v>0</v>
      </c>
      <c r="CO17" s="435" cm="1">
        <f t="array" ref="CO17">SUMPRODUCT((HQ!$T$3:$T$89=CO42)*(ISNUMBER(HQ!$O$3:$O$89))*(HQ!$O$3:$O$89))</f>
        <v>0</v>
      </c>
      <c r="CP17" s="435" cm="1">
        <f t="array" ref="CP17">SUMPRODUCT((HQ!$T$3:$T$89=CP42)*(ISNUMBER(HQ!$O$3:$O$89))*(HQ!$O$3:$O$89))</f>
        <v>0</v>
      </c>
      <c r="CQ17" s="435" cm="1">
        <f t="array" ref="CQ17">SUMPRODUCT((HQ!$T$3:$T$89=CQ42)*(ISNUMBER(HQ!$O$3:$O$89))*(HQ!$O$3:$O$89))</f>
        <v>0</v>
      </c>
      <c r="CR17" s="435" cm="1">
        <f t="array" ref="CR17">SUMPRODUCT((HQ!$T$3:$T$89=CR42)*(ISNUMBER(HQ!$O$3:$O$89))*(HQ!$O$3:$O$89))</f>
        <v>0</v>
      </c>
      <c r="CS17" s="435" cm="1">
        <f t="array" ref="CS17">SUMPRODUCT((HQ!$T$3:$T$89=CS42)*(ISNUMBER(HQ!$O$3:$O$89))*(HQ!$O$3:$O$89))</f>
        <v>0</v>
      </c>
      <c r="CT17" s="435" cm="1">
        <f t="array" ref="CT17">SUMPRODUCT((HQ!$T$3:$T$89=CT42)*(ISNUMBER(HQ!$O$3:$O$89))*(HQ!$O$3:$O$89))</f>
        <v>0</v>
      </c>
      <c r="CU17" s="433">
        <f>SUM(B17:CT17)</f>
        <v>158</v>
      </c>
    </row>
    <row r="18" spans="1:99" ht="19.5" customHeight="1">
      <c r="A18" s="436" t="s">
        <v>310</v>
      </c>
      <c r="B18" s="437">
        <f>IF(B16=0,IF(B17=0,0,1),B17/B16)</f>
        <v>0.77142857142857146</v>
      </c>
      <c r="C18" s="437">
        <f t="shared" ref="C18:BI18" si="17">IF(C16=0,IF(C17=0,0,1),C17/C16)</f>
        <v>0</v>
      </c>
      <c r="D18" s="437">
        <f t="shared" si="17"/>
        <v>0</v>
      </c>
      <c r="E18" s="437">
        <f t="shared" si="17"/>
        <v>0</v>
      </c>
      <c r="F18" s="437">
        <f t="shared" si="17"/>
        <v>0</v>
      </c>
      <c r="G18" s="437">
        <f t="shared" si="17"/>
        <v>0</v>
      </c>
      <c r="H18" s="437">
        <f t="shared" si="17"/>
        <v>0</v>
      </c>
      <c r="I18" s="437">
        <f t="shared" si="17"/>
        <v>0</v>
      </c>
      <c r="J18" s="437">
        <f t="shared" si="17"/>
        <v>1</v>
      </c>
      <c r="K18" s="437">
        <f t="shared" si="17"/>
        <v>0</v>
      </c>
      <c r="L18" s="437">
        <f t="shared" si="17"/>
        <v>0</v>
      </c>
      <c r="M18" s="437">
        <f t="shared" si="17"/>
        <v>0</v>
      </c>
      <c r="N18" s="437">
        <f t="shared" si="17"/>
        <v>0</v>
      </c>
      <c r="O18" s="437">
        <f t="shared" si="17"/>
        <v>0</v>
      </c>
      <c r="P18" s="437">
        <f t="shared" si="17"/>
        <v>0</v>
      </c>
      <c r="Q18" s="437">
        <f t="shared" si="17"/>
        <v>1</v>
      </c>
      <c r="R18" s="437">
        <f t="shared" si="17"/>
        <v>0</v>
      </c>
      <c r="S18" s="437">
        <f t="shared" si="17"/>
        <v>1</v>
      </c>
      <c r="T18" s="437">
        <f t="shared" si="17"/>
        <v>0</v>
      </c>
      <c r="U18" s="437">
        <f t="shared" si="17"/>
        <v>0</v>
      </c>
      <c r="V18" s="437">
        <f t="shared" si="17"/>
        <v>1</v>
      </c>
      <c r="W18" s="437">
        <f t="shared" si="17"/>
        <v>0</v>
      </c>
      <c r="X18" s="437">
        <f t="shared" si="17"/>
        <v>1</v>
      </c>
      <c r="Y18" s="437">
        <f t="shared" si="17"/>
        <v>0</v>
      </c>
      <c r="Z18" s="437">
        <f t="shared" si="17"/>
        <v>1</v>
      </c>
      <c r="AA18" s="437">
        <f t="shared" si="17"/>
        <v>0</v>
      </c>
      <c r="AB18" s="437">
        <f t="shared" si="17"/>
        <v>0</v>
      </c>
      <c r="AC18" s="437">
        <f t="shared" si="17"/>
        <v>1</v>
      </c>
      <c r="AD18" s="437">
        <f t="shared" si="17"/>
        <v>0</v>
      </c>
      <c r="AE18" s="437">
        <f t="shared" si="17"/>
        <v>0</v>
      </c>
      <c r="AF18" s="437">
        <f t="shared" si="17"/>
        <v>0</v>
      </c>
      <c r="AG18" s="437">
        <f t="shared" si="17"/>
        <v>0</v>
      </c>
      <c r="AH18" s="437">
        <f t="shared" si="17"/>
        <v>0</v>
      </c>
      <c r="AI18" s="437">
        <f t="shared" si="17"/>
        <v>0</v>
      </c>
      <c r="AJ18" s="437">
        <f t="shared" si="17"/>
        <v>1</v>
      </c>
      <c r="AK18" s="437">
        <f t="shared" si="17"/>
        <v>0</v>
      </c>
      <c r="AL18" s="437">
        <f t="shared" si="17"/>
        <v>1</v>
      </c>
      <c r="AM18" s="437">
        <f t="shared" si="17"/>
        <v>0</v>
      </c>
      <c r="AN18" s="437">
        <f t="shared" si="17"/>
        <v>0</v>
      </c>
      <c r="AO18" s="437">
        <f t="shared" si="17"/>
        <v>0</v>
      </c>
      <c r="AP18" s="437">
        <f t="shared" si="17"/>
        <v>0</v>
      </c>
      <c r="AQ18" s="437">
        <f t="shared" si="17"/>
        <v>1</v>
      </c>
      <c r="AR18" s="437">
        <f t="shared" si="17"/>
        <v>0</v>
      </c>
      <c r="AS18" s="437">
        <f t="shared" si="17"/>
        <v>0</v>
      </c>
      <c r="AT18" s="437">
        <f t="shared" si="17"/>
        <v>0</v>
      </c>
      <c r="AU18" s="437">
        <f t="shared" si="17"/>
        <v>0</v>
      </c>
      <c r="AV18" s="437">
        <f t="shared" si="17"/>
        <v>0</v>
      </c>
      <c r="AW18" s="437">
        <f t="shared" si="17"/>
        <v>0</v>
      </c>
      <c r="AX18" s="437">
        <f t="shared" si="17"/>
        <v>0</v>
      </c>
      <c r="AY18" s="437">
        <f t="shared" si="17"/>
        <v>1</v>
      </c>
      <c r="AZ18" s="437">
        <f t="shared" si="17"/>
        <v>1</v>
      </c>
      <c r="BA18" s="437">
        <f t="shared" si="17"/>
        <v>0</v>
      </c>
      <c r="BB18" s="437">
        <f t="shared" si="17"/>
        <v>0.4</v>
      </c>
      <c r="BC18" s="437">
        <f t="shared" si="17"/>
        <v>0</v>
      </c>
      <c r="BD18" s="437">
        <f t="shared" si="17"/>
        <v>0</v>
      </c>
      <c r="BE18" s="437">
        <f t="shared" si="17"/>
        <v>0</v>
      </c>
      <c r="BF18" s="437">
        <f t="shared" si="17"/>
        <v>0</v>
      </c>
      <c r="BG18" s="437">
        <f t="shared" si="17"/>
        <v>0</v>
      </c>
      <c r="BH18" s="437">
        <f t="shared" si="17"/>
        <v>0</v>
      </c>
      <c r="BI18" s="437">
        <f t="shared" si="17"/>
        <v>0</v>
      </c>
      <c r="BJ18" s="437">
        <f t="shared" ref="BJ18:CJ18" si="18">IF(BJ16=0,IF(BJ17=0,0,1),BJ17/BJ16)</f>
        <v>0</v>
      </c>
      <c r="BK18" s="437">
        <f t="shared" si="18"/>
        <v>0</v>
      </c>
      <c r="BL18" s="437">
        <f t="shared" si="18"/>
        <v>0</v>
      </c>
      <c r="BM18" s="437">
        <f t="shared" si="18"/>
        <v>0</v>
      </c>
      <c r="BN18" s="437">
        <f t="shared" si="18"/>
        <v>0.66666666666666663</v>
      </c>
      <c r="BO18" s="437">
        <f t="shared" si="18"/>
        <v>0</v>
      </c>
      <c r="BP18" s="437">
        <f t="shared" si="18"/>
        <v>0.66666666666666663</v>
      </c>
      <c r="BQ18" s="437">
        <f t="shared" si="18"/>
        <v>0</v>
      </c>
      <c r="BR18" s="437">
        <f t="shared" si="18"/>
        <v>0</v>
      </c>
      <c r="BS18" s="437">
        <f t="shared" si="18"/>
        <v>0</v>
      </c>
      <c r="BT18" s="437">
        <f t="shared" si="18"/>
        <v>0</v>
      </c>
      <c r="BU18" s="437">
        <f t="shared" si="18"/>
        <v>0</v>
      </c>
      <c r="BV18" s="437">
        <f t="shared" si="18"/>
        <v>0</v>
      </c>
      <c r="BW18" s="437">
        <f t="shared" si="18"/>
        <v>0</v>
      </c>
      <c r="BX18" s="437">
        <f t="shared" si="18"/>
        <v>0</v>
      </c>
      <c r="BY18" s="437">
        <f t="shared" si="18"/>
        <v>0</v>
      </c>
      <c r="BZ18" s="437">
        <f t="shared" si="18"/>
        <v>0</v>
      </c>
      <c r="CA18" s="437">
        <f t="shared" si="18"/>
        <v>0</v>
      </c>
      <c r="CB18" s="437">
        <f t="shared" si="18"/>
        <v>0</v>
      </c>
      <c r="CC18" s="437">
        <f t="shared" si="18"/>
        <v>0</v>
      </c>
      <c r="CD18" s="437">
        <f t="shared" si="18"/>
        <v>0</v>
      </c>
      <c r="CE18" s="437">
        <f t="shared" si="18"/>
        <v>0</v>
      </c>
      <c r="CF18" s="437">
        <f t="shared" si="18"/>
        <v>0</v>
      </c>
      <c r="CG18" s="437">
        <f t="shared" si="18"/>
        <v>0</v>
      </c>
      <c r="CH18" s="437">
        <f t="shared" si="18"/>
        <v>0</v>
      </c>
      <c r="CI18" s="437">
        <f t="shared" si="18"/>
        <v>0</v>
      </c>
      <c r="CJ18" s="437">
        <f t="shared" si="18"/>
        <v>0</v>
      </c>
      <c r="CK18" s="437">
        <f t="shared" ref="CK18:CT18" si="19">IF(CK16=0,IF(CK17=0,0,1),CK17/CK16)</f>
        <v>0</v>
      </c>
      <c r="CL18" s="437">
        <f t="shared" si="19"/>
        <v>0</v>
      </c>
      <c r="CM18" s="437">
        <f t="shared" si="19"/>
        <v>0</v>
      </c>
      <c r="CN18" s="437">
        <f t="shared" si="19"/>
        <v>0</v>
      </c>
      <c r="CO18" s="437">
        <f t="shared" si="19"/>
        <v>0</v>
      </c>
      <c r="CP18" s="437">
        <f t="shared" si="19"/>
        <v>0</v>
      </c>
      <c r="CQ18" s="437">
        <f t="shared" si="19"/>
        <v>0</v>
      </c>
      <c r="CR18" s="437">
        <f t="shared" si="19"/>
        <v>0</v>
      </c>
      <c r="CS18" s="437">
        <f t="shared" si="19"/>
        <v>0</v>
      </c>
      <c r="CT18" s="437">
        <f t="shared" si="19"/>
        <v>0</v>
      </c>
      <c r="CU18" s="430">
        <f>IF(CU16=0,"-",CU17/CU16)</f>
        <v>0.81865284974093266</v>
      </c>
    </row>
    <row r="19" spans="1:99" ht="3.75" customHeight="1">
      <c r="BJ19" s="423"/>
    </row>
    <row r="20" spans="1:99" ht="21.75" customHeight="1">
      <c r="A20" s="940" t="s">
        <v>311</v>
      </c>
      <c r="B20" s="941"/>
      <c r="C20" s="941"/>
      <c r="D20" s="941"/>
      <c r="E20" s="941"/>
      <c r="F20" s="941"/>
      <c r="G20" s="941"/>
      <c r="H20" s="941"/>
      <c r="I20" s="941"/>
      <c r="J20" s="941"/>
      <c r="K20" s="941"/>
      <c r="L20" s="941"/>
      <c r="M20" s="941"/>
      <c r="N20" s="941"/>
      <c r="O20" s="941"/>
      <c r="P20" s="941"/>
      <c r="Q20" s="941"/>
      <c r="R20" s="941"/>
      <c r="S20" s="941"/>
      <c r="T20" s="941"/>
      <c r="U20" s="941"/>
      <c r="V20" s="941"/>
      <c r="W20" s="941"/>
      <c r="X20" s="941"/>
      <c r="Y20" s="941"/>
      <c r="Z20" s="941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941"/>
      <c r="AO20" s="941"/>
      <c r="AP20" s="941"/>
      <c r="AQ20" s="941"/>
      <c r="AR20" s="941"/>
      <c r="AS20" s="941"/>
      <c r="AT20" s="941"/>
      <c r="AU20" s="941"/>
      <c r="AV20" s="941"/>
      <c r="AW20" s="941"/>
      <c r="AX20" s="941"/>
      <c r="AY20" s="941"/>
      <c r="AZ20" s="941"/>
      <c r="BA20" s="941"/>
      <c r="BB20" s="941"/>
      <c r="BC20" s="941"/>
      <c r="BD20" s="941"/>
      <c r="BE20" s="941"/>
      <c r="BF20" s="941"/>
      <c r="BG20" s="941"/>
      <c r="BH20" s="941"/>
      <c r="BI20" s="941"/>
      <c r="BJ20" s="941"/>
      <c r="BK20" s="941"/>
      <c r="BL20" s="941"/>
      <c r="BM20" s="941"/>
      <c r="BN20" s="941"/>
      <c r="BO20" s="941"/>
      <c r="BP20" s="941"/>
      <c r="BQ20" s="941"/>
      <c r="BR20" s="941"/>
      <c r="BS20" s="941"/>
      <c r="BT20" s="941"/>
      <c r="BU20" s="941"/>
      <c r="BV20" s="941"/>
      <c r="BW20" s="941"/>
      <c r="BX20" s="941"/>
      <c r="BY20" s="941"/>
      <c r="BZ20" s="941"/>
      <c r="CA20" s="941"/>
      <c r="CB20" s="941"/>
      <c r="CC20" s="941"/>
      <c r="CD20" s="941"/>
      <c r="CE20" s="941"/>
      <c r="CF20" s="941"/>
      <c r="CG20" s="941"/>
      <c r="CH20" s="941"/>
      <c r="CI20" s="941"/>
      <c r="CJ20" s="941"/>
      <c r="CK20" s="941"/>
      <c r="CL20" s="941"/>
      <c r="CM20" s="941"/>
      <c r="CN20" s="941"/>
      <c r="CO20" s="941"/>
      <c r="CP20" s="941"/>
      <c r="CQ20" s="941"/>
      <c r="CR20" s="941"/>
      <c r="CS20" s="941"/>
      <c r="CT20" s="941"/>
      <c r="CU20" s="941"/>
    </row>
    <row r="21" spans="1:99" ht="19.5" customHeight="1">
      <c r="A21" s="431" t="s">
        <v>306</v>
      </c>
      <c r="B21" s="432">
        <f t="shared" ref="B21" si="20">B7</f>
        <v>35</v>
      </c>
      <c r="C21" s="432">
        <f t="shared" ref="C21:BI21" si="21">C7</f>
        <v>0</v>
      </c>
      <c r="D21" s="432">
        <f t="shared" si="21"/>
        <v>0</v>
      </c>
      <c r="E21" s="432">
        <f t="shared" si="21"/>
        <v>0</v>
      </c>
      <c r="F21" s="432">
        <f t="shared" si="21"/>
        <v>0</v>
      </c>
      <c r="G21" s="432">
        <f t="shared" si="21"/>
        <v>0</v>
      </c>
      <c r="H21" s="432">
        <f t="shared" si="21"/>
        <v>0</v>
      </c>
      <c r="I21" s="432">
        <f t="shared" si="21"/>
        <v>0</v>
      </c>
      <c r="J21" s="432">
        <f t="shared" si="21"/>
        <v>10</v>
      </c>
      <c r="K21" s="432">
        <f t="shared" si="21"/>
        <v>0</v>
      </c>
      <c r="L21" s="432">
        <f t="shared" si="21"/>
        <v>0</v>
      </c>
      <c r="M21" s="432">
        <f t="shared" si="21"/>
        <v>0</v>
      </c>
      <c r="N21" s="432">
        <f t="shared" si="21"/>
        <v>0</v>
      </c>
      <c r="O21" s="432">
        <f t="shared" si="21"/>
        <v>0</v>
      </c>
      <c r="P21" s="432">
        <f t="shared" si="21"/>
        <v>0</v>
      </c>
      <c r="Q21" s="432">
        <f t="shared" si="21"/>
        <v>5</v>
      </c>
      <c r="R21" s="432">
        <f t="shared" si="21"/>
        <v>0</v>
      </c>
      <c r="S21" s="432">
        <f t="shared" si="21"/>
        <v>4</v>
      </c>
      <c r="T21" s="432">
        <f t="shared" si="21"/>
        <v>0</v>
      </c>
      <c r="U21" s="432">
        <f t="shared" si="21"/>
        <v>0</v>
      </c>
      <c r="V21" s="432">
        <f t="shared" si="21"/>
        <v>15</v>
      </c>
      <c r="W21" s="432">
        <f t="shared" si="21"/>
        <v>0</v>
      </c>
      <c r="X21" s="432">
        <f t="shared" si="21"/>
        <v>20</v>
      </c>
      <c r="Y21" s="432">
        <f t="shared" si="21"/>
        <v>0</v>
      </c>
      <c r="Z21" s="432">
        <f t="shared" si="21"/>
        <v>17</v>
      </c>
      <c r="AA21" s="432">
        <f t="shared" si="21"/>
        <v>0</v>
      </c>
      <c r="AB21" s="432">
        <f t="shared" si="21"/>
        <v>0</v>
      </c>
      <c r="AC21" s="432">
        <f t="shared" si="21"/>
        <v>14</v>
      </c>
      <c r="AD21" s="432">
        <f t="shared" si="21"/>
        <v>0</v>
      </c>
      <c r="AE21" s="432">
        <f t="shared" si="21"/>
        <v>0</v>
      </c>
      <c r="AF21" s="432">
        <f t="shared" si="21"/>
        <v>0</v>
      </c>
      <c r="AG21" s="432">
        <f t="shared" si="21"/>
        <v>0</v>
      </c>
      <c r="AH21" s="432">
        <f t="shared" si="21"/>
        <v>0</v>
      </c>
      <c r="AI21" s="432">
        <f t="shared" si="21"/>
        <v>0</v>
      </c>
      <c r="AJ21" s="432">
        <f t="shared" si="21"/>
        <v>10</v>
      </c>
      <c r="AK21" s="432">
        <f t="shared" si="21"/>
        <v>0</v>
      </c>
      <c r="AL21" s="432">
        <f t="shared" si="21"/>
        <v>8</v>
      </c>
      <c r="AM21" s="432">
        <f t="shared" si="21"/>
        <v>0</v>
      </c>
      <c r="AN21" s="432">
        <f t="shared" si="21"/>
        <v>0</v>
      </c>
      <c r="AO21" s="432">
        <f t="shared" si="21"/>
        <v>0</v>
      </c>
      <c r="AP21" s="432">
        <f t="shared" si="21"/>
        <v>0</v>
      </c>
      <c r="AQ21" s="432">
        <f t="shared" si="21"/>
        <v>11</v>
      </c>
      <c r="AR21" s="432">
        <f t="shared" si="21"/>
        <v>0</v>
      </c>
      <c r="AS21" s="432">
        <f t="shared" si="21"/>
        <v>0</v>
      </c>
      <c r="AT21" s="432">
        <f t="shared" si="21"/>
        <v>0</v>
      </c>
      <c r="AU21" s="432">
        <f t="shared" si="21"/>
        <v>0</v>
      </c>
      <c r="AV21" s="432">
        <f t="shared" si="21"/>
        <v>0</v>
      </c>
      <c r="AW21" s="432">
        <f t="shared" si="21"/>
        <v>0</v>
      </c>
      <c r="AX21" s="432">
        <f t="shared" si="21"/>
        <v>0</v>
      </c>
      <c r="AY21" s="432">
        <f t="shared" si="21"/>
        <v>7</v>
      </c>
      <c r="AZ21" s="432">
        <f t="shared" si="21"/>
        <v>2</v>
      </c>
      <c r="BA21" s="432">
        <f t="shared" si="21"/>
        <v>0</v>
      </c>
      <c r="BB21" s="432">
        <f t="shared" si="21"/>
        <v>5</v>
      </c>
      <c r="BC21" s="432">
        <f t="shared" si="21"/>
        <v>0</v>
      </c>
      <c r="BD21" s="432">
        <f t="shared" si="21"/>
        <v>0</v>
      </c>
      <c r="BE21" s="432">
        <f t="shared" si="21"/>
        <v>0</v>
      </c>
      <c r="BF21" s="432">
        <f t="shared" si="21"/>
        <v>0</v>
      </c>
      <c r="BG21" s="432">
        <f t="shared" si="21"/>
        <v>12</v>
      </c>
      <c r="BH21" s="432">
        <f t="shared" si="21"/>
        <v>0</v>
      </c>
      <c r="BI21" s="432">
        <f t="shared" si="21"/>
        <v>2</v>
      </c>
      <c r="BJ21" s="432">
        <f t="shared" ref="BJ21:CJ21" si="22">BJ7</f>
        <v>0</v>
      </c>
      <c r="BK21" s="432">
        <f t="shared" si="22"/>
        <v>0</v>
      </c>
      <c r="BL21" s="432">
        <f t="shared" si="22"/>
        <v>4</v>
      </c>
      <c r="BM21" s="432">
        <f t="shared" si="22"/>
        <v>3</v>
      </c>
      <c r="BN21" s="432">
        <f t="shared" si="22"/>
        <v>3</v>
      </c>
      <c r="BO21" s="432">
        <f t="shared" si="22"/>
        <v>0</v>
      </c>
      <c r="BP21" s="432">
        <f t="shared" si="22"/>
        <v>6</v>
      </c>
      <c r="BQ21" s="432">
        <f t="shared" si="22"/>
        <v>0</v>
      </c>
      <c r="BR21" s="432">
        <f t="shared" si="22"/>
        <v>0</v>
      </c>
      <c r="BS21" s="432">
        <f t="shared" si="22"/>
        <v>0</v>
      </c>
      <c r="BT21" s="432">
        <f t="shared" si="22"/>
        <v>0</v>
      </c>
      <c r="BU21" s="432">
        <f t="shared" si="22"/>
        <v>0</v>
      </c>
      <c r="BV21" s="432">
        <f t="shared" si="22"/>
        <v>0</v>
      </c>
      <c r="BW21" s="432">
        <f t="shared" si="22"/>
        <v>0</v>
      </c>
      <c r="BX21" s="432">
        <f t="shared" si="22"/>
        <v>0</v>
      </c>
      <c r="BY21" s="432">
        <f t="shared" si="22"/>
        <v>0</v>
      </c>
      <c r="BZ21" s="432">
        <f t="shared" si="22"/>
        <v>0</v>
      </c>
      <c r="CA21" s="432">
        <f t="shared" si="22"/>
        <v>0</v>
      </c>
      <c r="CB21" s="432">
        <f t="shared" si="22"/>
        <v>0</v>
      </c>
      <c r="CC21" s="432">
        <f t="shared" si="22"/>
        <v>0</v>
      </c>
      <c r="CD21" s="432">
        <f t="shared" si="22"/>
        <v>0</v>
      </c>
      <c r="CE21" s="432">
        <f t="shared" si="22"/>
        <v>0</v>
      </c>
      <c r="CF21" s="432">
        <f t="shared" si="22"/>
        <v>0</v>
      </c>
      <c r="CG21" s="432">
        <f t="shared" si="22"/>
        <v>0</v>
      </c>
      <c r="CH21" s="432">
        <f t="shared" si="22"/>
        <v>0</v>
      </c>
      <c r="CI21" s="432">
        <f t="shared" si="22"/>
        <v>0</v>
      </c>
      <c r="CJ21" s="432">
        <f t="shared" si="22"/>
        <v>0</v>
      </c>
      <c r="CK21" s="432">
        <f t="shared" ref="CK21:CT21" si="23">CK7</f>
        <v>0</v>
      </c>
      <c r="CL21" s="432">
        <f t="shared" si="23"/>
        <v>0</v>
      </c>
      <c r="CM21" s="432">
        <f t="shared" si="23"/>
        <v>0</v>
      </c>
      <c r="CN21" s="432">
        <f t="shared" si="23"/>
        <v>0</v>
      </c>
      <c r="CO21" s="432">
        <f t="shared" si="23"/>
        <v>0</v>
      </c>
      <c r="CP21" s="432">
        <f t="shared" si="23"/>
        <v>0</v>
      </c>
      <c r="CQ21" s="432">
        <f t="shared" si="23"/>
        <v>0</v>
      </c>
      <c r="CR21" s="432">
        <f t="shared" si="23"/>
        <v>0</v>
      </c>
      <c r="CS21" s="432">
        <f t="shared" si="23"/>
        <v>0</v>
      </c>
      <c r="CT21" s="432">
        <f t="shared" si="23"/>
        <v>0</v>
      </c>
      <c r="CU21" s="433">
        <f>CU7</f>
        <v>193</v>
      </c>
    </row>
    <row r="22" spans="1:99" ht="19.5" customHeight="1">
      <c r="A22" s="434" t="s">
        <v>307</v>
      </c>
      <c r="B22" s="435" cm="1">
        <f t="array" ref="B22">SUMPRODUCT((HQ!$T$3:$T$89=B42)*(ISNUMBER(HQ!$P$3:$P$89))*(HQ!$P$3:$P$89))</f>
        <v>22</v>
      </c>
      <c r="C22" s="435" cm="1">
        <f t="array" ref="C22">SUMPRODUCT((HQ!$T$3:$T$89=C42)*(ISNUMBER(HQ!$P$3:$P$89))*(HQ!$P$3:$P$89))</f>
        <v>0</v>
      </c>
      <c r="D22" s="435" cm="1">
        <f t="array" ref="D22">SUMPRODUCT((HQ!$T$3:$T$89=D42)*(ISNUMBER(HQ!$P$3:$P$89))*(HQ!$P$3:$P$89))</f>
        <v>0</v>
      </c>
      <c r="E22" s="435" cm="1">
        <f t="array" ref="E22">SUMPRODUCT((HQ!$T$3:$T$89=E42)*(ISNUMBER(HQ!$P$3:$P$89))*(HQ!$P$3:$P$89))</f>
        <v>0</v>
      </c>
      <c r="F22" s="435" cm="1">
        <f t="array" ref="F22">SUMPRODUCT((HQ!$T$3:$T$89=F42)*(ISNUMBER(HQ!$P$3:$P$89))*(HQ!$P$3:$P$89))</f>
        <v>0</v>
      </c>
      <c r="G22" s="435" cm="1">
        <f t="array" ref="G22">SUMPRODUCT((HQ!$T$3:$T$89=G42)*(ISNUMBER(HQ!$P$3:$P$89))*(HQ!$P$3:$P$89))</f>
        <v>0</v>
      </c>
      <c r="H22" s="435" cm="1">
        <f t="array" ref="H22">SUMPRODUCT((HQ!$T$3:$T$89=H42)*(ISNUMBER(HQ!$P$3:$P$89))*(HQ!$P$3:$P$89))</f>
        <v>0</v>
      </c>
      <c r="I22" s="435" cm="1">
        <f t="array" ref="I22">SUMPRODUCT((HQ!$T$3:$T$89=I42)*(ISNUMBER(HQ!$P$3:$P$89))*(HQ!$P$3:$P$89))</f>
        <v>0</v>
      </c>
      <c r="J22" s="435" cm="1">
        <f t="array" ref="J22">SUMPRODUCT((HQ!$T$3:$T$89=J42)*(ISNUMBER(HQ!$P$3:$P$89))*(HQ!$P$3:$P$89))</f>
        <v>10</v>
      </c>
      <c r="K22" s="435" cm="1">
        <f t="array" ref="K22">SUMPRODUCT((HQ!$T$3:$T$89=K42)*(ISNUMBER(HQ!$P$3:$P$89))*(HQ!$P$3:$P$89))</f>
        <v>0</v>
      </c>
      <c r="L22" s="435" cm="1">
        <f t="array" ref="L22">SUMPRODUCT((HQ!$T$3:$T$89=L42)*(ISNUMBER(HQ!$P$3:$P$89))*(HQ!$P$3:$P$89))</f>
        <v>0</v>
      </c>
      <c r="M22" s="435" cm="1">
        <f t="array" ref="M22">SUMPRODUCT((HQ!$T$3:$T$89=M42)*(ISNUMBER(HQ!$P$3:$P$89))*(HQ!$P$3:$P$89))</f>
        <v>0</v>
      </c>
      <c r="N22" s="435" cm="1">
        <f t="array" ref="N22">SUMPRODUCT((HQ!$T$3:$T$89=N42)*(ISNUMBER(HQ!$P$3:$P$89))*(HQ!$P$3:$P$89))</f>
        <v>0</v>
      </c>
      <c r="O22" s="435" cm="1">
        <f t="array" ref="O22">SUMPRODUCT((HQ!$T$3:$T$89=O42)*(ISNUMBER(HQ!$P$3:$P$89))*(HQ!$P$3:$P$89))</f>
        <v>0</v>
      </c>
      <c r="P22" s="435" cm="1">
        <f t="array" ref="P22">SUMPRODUCT((HQ!$T$3:$T$89=P42)*(ISNUMBER(HQ!$P$3:$P$89))*(HQ!$P$3:$P$89))</f>
        <v>0</v>
      </c>
      <c r="Q22" s="435" cm="1">
        <f t="array" ref="Q22">SUMPRODUCT((HQ!$T$3:$T$89=Q42)*(ISNUMBER(HQ!$P$3:$P$89))*(HQ!$P$3:$P$89))</f>
        <v>5</v>
      </c>
      <c r="R22" s="435" cm="1">
        <f t="array" ref="R22">SUMPRODUCT((HQ!$T$3:$T$89=R42)*(ISNUMBER(HQ!$P$3:$P$89))*(HQ!$P$3:$P$89))</f>
        <v>0</v>
      </c>
      <c r="S22" s="435" cm="1">
        <f t="array" ref="S22">SUMPRODUCT((HQ!$T$3:$T$89=S42)*(ISNUMBER(HQ!$P$3:$P$89))*(HQ!$P$3:$P$89))</f>
        <v>4</v>
      </c>
      <c r="T22" s="435" cm="1">
        <f t="array" ref="T22">SUMPRODUCT((HQ!$T$3:$T$89=T42)*(ISNUMBER(HQ!$P$3:$P$89))*(HQ!$P$3:$P$89))</f>
        <v>0</v>
      </c>
      <c r="U22" s="435" cm="1">
        <f t="array" ref="U22">SUMPRODUCT((HQ!$T$3:$T$89=U42)*(ISNUMBER(HQ!$P$3:$P$89))*(HQ!$P$3:$P$89))</f>
        <v>0</v>
      </c>
      <c r="V22" s="435" cm="1">
        <f t="array" ref="V22">SUMPRODUCT((HQ!$T$3:$T$89=V42)*(ISNUMBER(HQ!$P$3:$P$89))*(HQ!$P$3:$P$89))</f>
        <v>15</v>
      </c>
      <c r="W22" s="435" cm="1">
        <f t="array" ref="W22">SUMPRODUCT((HQ!$T$3:$T$89=W42)*(ISNUMBER(HQ!$P$3:$P$89))*(HQ!$P$3:$P$89))</f>
        <v>0</v>
      </c>
      <c r="X22" s="435" cm="1">
        <f t="array" ref="X22">SUMPRODUCT((HQ!$T$3:$T$89=X42)*(ISNUMBER(HQ!$P$3:$P$89))*(HQ!$P$3:$P$89))</f>
        <v>20</v>
      </c>
      <c r="Y22" s="435" cm="1">
        <f t="array" ref="Y22">SUMPRODUCT((HQ!$T$3:$T$89=Y42)*(ISNUMBER(HQ!$P$3:$P$89))*(HQ!$P$3:$P$89))</f>
        <v>0</v>
      </c>
      <c r="Z22" s="435" cm="1">
        <f t="array" ref="Z22">SUMPRODUCT((HQ!$T$3:$T$89=Z42)*(ISNUMBER(HQ!$P$3:$P$89))*(HQ!$P$3:$P$89))</f>
        <v>17</v>
      </c>
      <c r="AA22" s="435" cm="1">
        <f t="array" ref="AA22">SUMPRODUCT((HQ!$T$3:$T$89=AA42)*(ISNUMBER(HQ!$P$3:$P$89))*(HQ!$P$3:$P$89))</f>
        <v>0</v>
      </c>
      <c r="AB22" s="435" cm="1">
        <f t="array" ref="AB22">SUMPRODUCT((HQ!$T$3:$T$89=AB42)*(ISNUMBER(HQ!$P$3:$P$89))*(HQ!$P$3:$P$89))</f>
        <v>0</v>
      </c>
      <c r="AC22" s="435" cm="1">
        <f t="array" ref="AC22">SUMPRODUCT((HQ!$T$3:$T$89=AC42)*(ISNUMBER(HQ!$P$3:$P$89))*(HQ!$P$3:$P$89))</f>
        <v>14</v>
      </c>
      <c r="AD22" s="435" cm="1">
        <f t="array" ref="AD22">SUMPRODUCT((HQ!$T$3:$T$89=AD42)*(ISNUMBER(HQ!$P$3:$P$89))*(HQ!$P$3:$P$89))</f>
        <v>0</v>
      </c>
      <c r="AE22" s="435" cm="1">
        <f t="array" ref="AE22">SUMPRODUCT((HQ!$T$3:$T$89=AE42)*(ISNUMBER(HQ!$P$3:$P$89))*(HQ!$P$3:$P$89))</f>
        <v>0</v>
      </c>
      <c r="AF22" s="435" cm="1">
        <f t="array" ref="AF22">SUMPRODUCT((HQ!$T$3:$T$89=AF42)*(ISNUMBER(HQ!$P$3:$P$89))*(HQ!$P$3:$P$89))</f>
        <v>0</v>
      </c>
      <c r="AG22" s="435" cm="1">
        <f t="array" ref="AG22">SUMPRODUCT((HQ!$T$3:$T$89=AG42)*(ISNUMBER(HQ!$P$3:$P$89))*(HQ!$P$3:$P$89))</f>
        <v>0</v>
      </c>
      <c r="AH22" s="435" cm="1">
        <f t="array" ref="AH22">SUMPRODUCT((HQ!$T$3:$T$89=AH42)*(ISNUMBER(HQ!$P$3:$P$89))*(HQ!$P$3:$P$89))</f>
        <v>0</v>
      </c>
      <c r="AI22" s="435" cm="1">
        <f t="array" ref="AI22">SUMPRODUCT((HQ!$T$3:$T$89=AI42)*(ISNUMBER(HQ!$P$3:$P$89))*(HQ!$P$3:$P$89))</f>
        <v>0</v>
      </c>
      <c r="AJ22" s="435" cm="1">
        <f t="array" ref="AJ22">SUMPRODUCT((HQ!$T$3:$T$89=AJ42)*(ISNUMBER(HQ!$P$3:$P$89))*(HQ!$P$3:$P$89))</f>
        <v>10</v>
      </c>
      <c r="AK22" s="435" cm="1">
        <f t="array" ref="AK22">SUMPRODUCT((HQ!$T$3:$T$89=AK42)*(ISNUMBER(HQ!$P$3:$P$89))*(HQ!$P$3:$P$89))</f>
        <v>0</v>
      </c>
      <c r="AL22" s="435" cm="1">
        <f t="array" ref="AL22">SUMPRODUCT((HQ!$T$3:$T$89=AL42)*(ISNUMBER(HQ!$P$3:$P$89))*(HQ!$P$3:$P$89))</f>
        <v>8</v>
      </c>
      <c r="AM22" s="435" cm="1">
        <f t="array" ref="AM22">SUMPRODUCT((HQ!$T$3:$T$89=AM42)*(ISNUMBER(HQ!$P$3:$P$89))*(HQ!$P$3:$P$89))</f>
        <v>0</v>
      </c>
      <c r="AN22" s="435" cm="1">
        <f t="array" ref="AN22">SUMPRODUCT((HQ!$T$3:$T$89=AN42)*(ISNUMBER(HQ!$P$3:$P$89))*(HQ!$P$3:$P$89))</f>
        <v>0</v>
      </c>
      <c r="AO22" s="435" cm="1">
        <f t="array" ref="AO22">SUMPRODUCT((HQ!$T$3:$T$89=AO42)*(ISNUMBER(HQ!$P$3:$P$89))*(HQ!$P$3:$P$89))</f>
        <v>0</v>
      </c>
      <c r="AP22" s="435" cm="1">
        <f t="array" ref="AP22">SUMPRODUCT((HQ!$T$3:$T$89=AP42)*(ISNUMBER(HQ!$P$3:$P$89))*(HQ!$P$3:$P$89))</f>
        <v>0</v>
      </c>
      <c r="AQ22" s="435" cm="1">
        <f t="array" ref="AQ22">SUMPRODUCT((HQ!$T$3:$T$89=AQ42)*(ISNUMBER(HQ!$P$3:$P$89))*(HQ!$P$3:$P$89))</f>
        <v>11</v>
      </c>
      <c r="AR22" s="435" cm="1">
        <f t="array" ref="AR22">SUMPRODUCT((HQ!$T$3:$T$89=AR42)*(ISNUMBER(HQ!$P$3:$P$89))*(HQ!$P$3:$P$89))</f>
        <v>0</v>
      </c>
      <c r="AS22" s="435" cm="1">
        <f t="array" ref="AS22">SUMPRODUCT((HQ!$T$3:$T$89=AS42)*(ISNUMBER(HQ!$P$3:$P$89))*(HQ!$P$3:$P$89))</f>
        <v>0</v>
      </c>
      <c r="AT22" s="435" cm="1">
        <f t="array" ref="AT22">SUMPRODUCT((HQ!$T$3:$T$89=AT42)*(ISNUMBER(HQ!$P$3:$P$89))*(HQ!$P$3:$P$89))</f>
        <v>0</v>
      </c>
      <c r="AU22" s="435" cm="1">
        <f t="array" ref="AU22">SUMPRODUCT((HQ!$T$3:$T$89=AU42)*(ISNUMBER(HQ!$P$3:$P$89))*(HQ!$P$3:$P$89))</f>
        <v>0</v>
      </c>
      <c r="AV22" s="435" cm="1">
        <f t="array" ref="AV22">SUMPRODUCT((HQ!$T$3:$T$89=AV42)*(ISNUMBER(HQ!$P$3:$P$89))*(HQ!$P$3:$P$89))</f>
        <v>0</v>
      </c>
      <c r="AW22" s="435" cm="1">
        <f t="array" ref="AW22">SUMPRODUCT((HQ!$T$3:$T$89=AW42)*(ISNUMBER(HQ!$P$3:$P$89))*(HQ!$P$3:$P$89))</f>
        <v>0</v>
      </c>
      <c r="AX22" s="435" cm="1">
        <f t="array" ref="AX22">SUMPRODUCT((HQ!$T$3:$T$89=AX42)*(ISNUMBER(HQ!$P$3:$P$89))*(HQ!$P$3:$P$89))</f>
        <v>0</v>
      </c>
      <c r="AY22" s="435" cm="1">
        <f t="array" ref="AY22">SUMPRODUCT((HQ!$T$3:$T$89=AY42)*(ISNUMBER(HQ!$P$3:$P$89))*(HQ!$P$3:$P$89))</f>
        <v>7</v>
      </c>
      <c r="AZ22" s="435" cm="1">
        <f t="array" ref="AZ22">SUMPRODUCT((HQ!$T$3:$T$89=AZ42)*(ISNUMBER(HQ!$P$3:$P$89))*(HQ!$P$3:$P$89))</f>
        <v>2</v>
      </c>
      <c r="BA22" s="435" cm="1">
        <f t="array" ref="BA22">SUMPRODUCT((HQ!$T$3:$T$89=BA42)*(ISNUMBER(HQ!$P$3:$P$89))*(HQ!$P$3:$P$89))</f>
        <v>0</v>
      </c>
      <c r="BB22" s="435" cm="1">
        <f t="array" ref="BB22">SUMPRODUCT((HQ!$T$3:$T$89=BB42)*(ISNUMBER(HQ!$P$3:$P$89))*(HQ!$P$3:$P$89))</f>
        <v>2</v>
      </c>
      <c r="BC22" s="435" cm="1">
        <f t="array" ref="BC22">SUMPRODUCT((HQ!$T$3:$T$89=BC42)*(ISNUMBER(HQ!$P$3:$P$89))*(HQ!$P$3:$P$89))</f>
        <v>0</v>
      </c>
      <c r="BD22" s="435" cm="1">
        <f t="array" ref="BD22">SUMPRODUCT((HQ!$T$3:$T$89=BD42)*(ISNUMBER(HQ!$P$3:$P$89))*(HQ!$P$3:$P$89))</f>
        <v>0</v>
      </c>
      <c r="BE22" s="435" cm="1">
        <f t="array" ref="BE22">SUMPRODUCT((HQ!$T$3:$T$89=BE42)*(ISNUMBER(HQ!$P$3:$P$89))*(HQ!$P$3:$P$89))</f>
        <v>0</v>
      </c>
      <c r="BF22" s="435" cm="1">
        <f t="array" ref="BF22">SUMPRODUCT((HQ!$T$3:$T$89=BF42)*(ISNUMBER(HQ!$P$3:$P$89))*(HQ!$P$3:$P$89))</f>
        <v>0</v>
      </c>
      <c r="BG22" s="435" cm="1">
        <f t="array" ref="BG22">SUMPRODUCT((HQ!$T$3:$T$89=BG42)*(ISNUMBER(HQ!$P$3:$P$89))*(HQ!$P$3:$P$89))</f>
        <v>0</v>
      </c>
      <c r="BH22" s="435" cm="1">
        <f t="array" ref="BH22">SUMPRODUCT((HQ!$T$3:$T$89=BH42)*(ISNUMBER(HQ!$P$3:$P$89))*(HQ!$P$3:$P$89))</f>
        <v>0</v>
      </c>
      <c r="BI22" s="435" cm="1">
        <f t="array" ref="BI22">SUMPRODUCT((HQ!$T$3:$T$89=BI42)*(ISNUMBER(HQ!$P$3:$P$89))*(HQ!$P$3:$P$89))</f>
        <v>0</v>
      </c>
      <c r="BJ22" s="435" cm="1">
        <f t="array" ref="BJ22">SUMPRODUCT((HQ!$T$3:$T$89=BJ42)*(ISNUMBER(HQ!$P$3:$P$89))*(HQ!$P$3:$P$89))</f>
        <v>0</v>
      </c>
      <c r="BK22" s="435" cm="1">
        <f t="array" ref="BK22">SUMPRODUCT((HQ!$T$3:$T$89=BK42)*(ISNUMBER(HQ!$P$3:$P$89))*(HQ!$P$3:$P$89))</f>
        <v>0</v>
      </c>
      <c r="BL22" s="435" cm="1">
        <f t="array" ref="BL22">SUMPRODUCT((HQ!$T$3:$T$89=BL42)*(ISNUMBER(HQ!$P$3:$P$89))*(HQ!$P$3:$P$89))</f>
        <v>0</v>
      </c>
      <c r="BM22" s="435" cm="1">
        <f t="array" ref="BM22">SUMPRODUCT((HQ!$T$3:$T$89=BM42)*(ISNUMBER(HQ!$P$3:$P$89))*(HQ!$P$3:$P$89))</f>
        <v>0</v>
      </c>
      <c r="BN22" s="435" cm="1">
        <f t="array" ref="BN22">SUMPRODUCT((HQ!$T$3:$T$89=BN42)*(ISNUMBER(HQ!$P$3:$P$89))*(HQ!$P$3:$P$89))</f>
        <v>2</v>
      </c>
      <c r="BO22" s="435" cm="1">
        <f t="array" ref="BO22">SUMPRODUCT((HQ!$T$3:$T$89=BO42)*(ISNUMBER(HQ!$P$3:$P$89))*(HQ!$P$3:$P$89))</f>
        <v>0</v>
      </c>
      <c r="BP22" s="435" cm="1">
        <f t="array" ref="BP22">SUMPRODUCT((HQ!$T$3:$T$89=BP42)*(ISNUMBER(HQ!$P$3:$P$89))*(HQ!$P$3:$P$89))</f>
        <v>4</v>
      </c>
      <c r="BQ22" s="435" cm="1">
        <f t="array" ref="BQ22">SUMPRODUCT((HQ!$T$3:$T$89=BQ42)*(ISNUMBER(HQ!$P$3:$P$89))*(HQ!$P$3:$P$89))</f>
        <v>0</v>
      </c>
      <c r="BR22" s="435" cm="1">
        <f t="array" ref="BR22">SUMPRODUCT((HQ!$T$3:$T$89=BR42)*(ISNUMBER(HQ!$P$3:$P$89))*(HQ!$P$3:$P$89))</f>
        <v>0</v>
      </c>
      <c r="BS22" s="435" cm="1">
        <f t="array" ref="BS22">SUMPRODUCT((HQ!$T$3:$T$89=BS42)*(ISNUMBER(HQ!$P$3:$P$89))*(HQ!$P$3:$P$89))</f>
        <v>0</v>
      </c>
      <c r="BT22" s="435" cm="1">
        <f t="array" ref="BT22">SUMPRODUCT((HQ!$T$3:$T$89=BT42)*(ISNUMBER(HQ!$P$3:$P$89))*(HQ!$P$3:$P$89))</f>
        <v>0</v>
      </c>
      <c r="BU22" s="435" cm="1">
        <f t="array" ref="BU22">SUMPRODUCT((HQ!$T$3:$T$89=BU42)*(ISNUMBER(HQ!$P$3:$P$89))*(HQ!$P$3:$P$89))</f>
        <v>0</v>
      </c>
      <c r="BV22" s="435" cm="1">
        <f t="array" ref="BV22">SUMPRODUCT((HQ!$T$3:$T$89=BV42)*(ISNUMBER(HQ!$P$3:$P$89))*(HQ!$P$3:$P$89))</f>
        <v>0</v>
      </c>
      <c r="BW22" s="435" cm="1">
        <f t="array" ref="BW22">SUMPRODUCT((HQ!$T$3:$T$89=BW42)*(ISNUMBER(HQ!$P$3:$P$89))*(HQ!$P$3:$P$89))</f>
        <v>0</v>
      </c>
      <c r="BX22" s="435" cm="1">
        <f t="array" ref="BX22">SUMPRODUCT((HQ!$T$3:$T$89=BX42)*(ISNUMBER(HQ!$P$3:$P$89))*(HQ!$P$3:$P$89))</f>
        <v>0</v>
      </c>
      <c r="BY22" s="435" cm="1">
        <f t="array" ref="BY22">SUMPRODUCT((HQ!$T$3:$T$89=BY42)*(ISNUMBER(HQ!$P$3:$P$89))*(HQ!$P$3:$P$89))</f>
        <v>0</v>
      </c>
      <c r="BZ22" s="435" cm="1">
        <f t="array" ref="BZ22">SUMPRODUCT((HQ!$T$3:$T$89=BZ42)*(ISNUMBER(HQ!$P$3:$P$89))*(HQ!$P$3:$P$89))</f>
        <v>0</v>
      </c>
      <c r="CA22" s="435" cm="1">
        <f t="array" ref="CA22">SUMPRODUCT((HQ!$T$3:$T$89=CA42)*(ISNUMBER(HQ!$P$3:$P$89))*(HQ!$P$3:$P$89))</f>
        <v>0</v>
      </c>
      <c r="CB22" s="435" cm="1">
        <f t="array" ref="CB22">SUMPRODUCT((HQ!$T$3:$T$89=CB42)*(ISNUMBER(HQ!$P$3:$P$89))*(HQ!$P$3:$P$89))</f>
        <v>0</v>
      </c>
      <c r="CC22" s="435" cm="1">
        <f t="array" ref="CC22">SUMPRODUCT((HQ!$T$3:$T$89=CC42)*(ISNUMBER(HQ!$P$3:$P$89))*(HQ!$P$3:$P$89))</f>
        <v>0</v>
      </c>
      <c r="CD22" s="435" cm="1">
        <f t="array" ref="CD22">SUMPRODUCT((HQ!$T$3:$T$89=CD42)*(ISNUMBER(HQ!$P$3:$P$89))*(HQ!$P$3:$P$89))</f>
        <v>0</v>
      </c>
      <c r="CE22" s="435" cm="1">
        <f t="array" ref="CE22">SUMPRODUCT((HQ!$T$3:$T$89=CE42)*(ISNUMBER(HQ!$P$3:$P$89))*(HQ!$P$3:$P$89))</f>
        <v>0</v>
      </c>
      <c r="CF22" s="435" cm="1">
        <f t="array" ref="CF22">SUMPRODUCT((HQ!$T$3:$T$89=CF42)*(ISNUMBER(HQ!$P$3:$P$89))*(HQ!$P$3:$P$89))</f>
        <v>0</v>
      </c>
      <c r="CG22" s="435" cm="1">
        <f t="array" ref="CG22">SUMPRODUCT((HQ!$T$3:$T$89=CG42)*(ISNUMBER(HQ!$P$3:$P$89))*(HQ!$P$3:$P$89))</f>
        <v>0</v>
      </c>
      <c r="CH22" s="435" cm="1">
        <f t="array" ref="CH22">SUMPRODUCT((HQ!$T$3:$T$89=CH42)*(ISNUMBER(HQ!$P$3:$P$89))*(HQ!$P$3:$P$89))</f>
        <v>0</v>
      </c>
      <c r="CI22" s="435" cm="1">
        <f t="array" ref="CI22">SUMPRODUCT((HQ!$T$3:$T$89=CI42)*(ISNUMBER(HQ!$P$3:$P$89))*(HQ!$P$3:$P$89))</f>
        <v>0</v>
      </c>
      <c r="CJ22" s="435" cm="1">
        <f t="array" ref="CJ22">SUMPRODUCT((HQ!$T$3:$T$89=CJ42)*(ISNUMBER(HQ!$P$3:$P$89))*(HQ!$P$3:$P$89))</f>
        <v>0</v>
      </c>
      <c r="CK22" s="435" cm="1">
        <f t="array" ref="CK22">SUMPRODUCT((HQ!$T$3:$T$89=CK42)*(ISNUMBER(HQ!$P$3:$P$89))*(HQ!$P$3:$P$89))</f>
        <v>0</v>
      </c>
      <c r="CL22" s="435" cm="1">
        <f t="array" ref="CL22">SUMPRODUCT((HQ!$T$3:$T$89=CL42)*(ISNUMBER(HQ!$P$3:$P$89))*(HQ!$P$3:$P$89))</f>
        <v>0</v>
      </c>
      <c r="CM22" s="435" cm="1">
        <f t="array" ref="CM22">SUMPRODUCT((HQ!$T$3:$T$89=CM42)*(ISNUMBER(HQ!$P$3:$P$89))*(HQ!$P$3:$P$89))</f>
        <v>0</v>
      </c>
      <c r="CN22" s="435" cm="1">
        <f t="array" ref="CN22">SUMPRODUCT((HQ!$T$3:$T$89=CN42)*(ISNUMBER(HQ!$P$3:$P$89))*(HQ!$P$3:$P$89))</f>
        <v>0</v>
      </c>
      <c r="CO22" s="435" cm="1">
        <f t="array" ref="CO22">SUMPRODUCT((HQ!$T$3:$T$89=CO42)*(ISNUMBER(HQ!$P$3:$P$89))*(HQ!$P$3:$P$89))</f>
        <v>0</v>
      </c>
      <c r="CP22" s="435" cm="1">
        <f t="array" ref="CP22">SUMPRODUCT((HQ!$T$3:$T$89=CP42)*(ISNUMBER(HQ!$P$3:$P$89))*(HQ!$P$3:$P$89))</f>
        <v>0</v>
      </c>
      <c r="CQ22" s="435" cm="1">
        <f t="array" ref="CQ22">SUMPRODUCT((HQ!$T$3:$T$89=CQ42)*(ISNUMBER(HQ!$P$3:$P$89))*(HQ!$P$3:$P$89))</f>
        <v>0</v>
      </c>
      <c r="CR22" s="435" cm="1">
        <f t="array" ref="CR22">SUMPRODUCT((HQ!$T$3:$T$89=CR42)*(ISNUMBER(HQ!$P$3:$P$89))*(HQ!$P$3:$P$89))</f>
        <v>0</v>
      </c>
      <c r="CS22" s="435" cm="1">
        <f t="array" ref="CS22">SUMPRODUCT((HQ!$T$3:$T$89=CS42)*(ISNUMBER(HQ!$P$3:$P$89))*(HQ!$P$3:$P$89))</f>
        <v>0</v>
      </c>
      <c r="CT22" s="435" cm="1">
        <f t="array" ref="CT22">SUMPRODUCT((HQ!$T$3:$T$89=CT42)*(ISNUMBER(HQ!$P$3:$P$89))*(HQ!$P$3:$P$89))</f>
        <v>0</v>
      </c>
      <c r="CU22" s="433">
        <f>SUM(B22:CT22)</f>
        <v>153</v>
      </c>
    </row>
    <row r="23" spans="1:99" ht="19.5" customHeight="1">
      <c r="A23" s="440" t="s">
        <v>312</v>
      </c>
      <c r="B23" s="441">
        <f>MAX(B22-B21,0)</f>
        <v>0</v>
      </c>
      <c r="C23" s="441">
        <f t="shared" ref="C23:BI23" si="24">MAX(C22-C21,0)</f>
        <v>0</v>
      </c>
      <c r="D23" s="441">
        <f t="shared" si="24"/>
        <v>0</v>
      </c>
      <c r="E23" s="441">
        <f t="shared" si="24"/>
        <v>0</v>
      </c>
      <c r="F23" s="441">
        <f t="shared" si="24"/>
        <v>0</v>
      </c>
      <c r="G23" s="441">
        <f t="shared" si="24"/>
        <v>0</v>
      </c>
      <c r="H23" s="441">
        <f t="shared" si="24"/>
        <v>0</v>
      </c>
      <c r="I23" s="441">
        <f t="shared" si="24"/>
        <v>0</v>
      </c>
      <c r="J23" s="441">
        <f t="shared" si="24"/>
        <v>0</v>
      </c>
      <c r="K23" s="441">
        <f t="shared" si="24"/>
        <v>0</v>
      </c>
      <c r="L23" s="441">
        <f t="shared" si="24"/>
        <v>0</v>
      </c>
      <c r="M23" s="441">
        <f t="shared" si="24"/>
        <v>0</v>
      </c>
      <c r="N23" s="441">
        <f t="shared" si="24"/>
        <v>0</v>
      </c>
      <c r="O23" s="441">
        <f t="shared" si="24"/>
        <v>0</v>
      </c>
      <c r="P23" s="441">
        <f t="shared" si="24"/>
        <v>0</v>
      </c>
      <c r="Q23" s="441">
        <f t="shared" si="24"/>
        <v>0</v>
      </c>
      <c r="R23" s="441">
        <f t="shared" si="24"/>
        <v>0</v>
      </c>
      <c r="S23" s="441">
        <f t="shared" si="24"/>
        <v>0</v>
      </c>
      <c r="T23" s="441">
        <f t="shared" si="24"/>
        <v>0</v>
      </c>
      <c r="U23" s="441">
        <f t="shared" si="24"/>
        <v>0</v>
      </c>
      <c r="V23" s="441">
        <f t="shared" si="24"/>
        <v>0</v>
      </c>
      <c r="W23" s="441">
        <f t="shared" si="24"/>
        <v>0</v>
      </c>
      <c r="X23" s="441">
        <f t="shared" si="24"/>
        <v>0</v>
      </c>
      <c r="Y23" s="441">
        <f t="shared" si="24"/>
        <v>0</v>
      </c>
      <c r="Z23" s="441">
        <f t="shared" si="24"/>
        <v>0</v>
      </c>
      <c r="AA23" s="441">
        <f t="shared" si="24"/>
        <v>0</v>
      </c>
      <c r="AB23" s="441">
        <f t="shared" si="24"/>
        <v>0</v>
      </c>
      <c r="AC23" s="441">
        <f t="shared" si="24"/>
        <v>0</v>
      </c>
      <c r="AD23" s="441">
        <f t="shared" si="24"/>
        <v>0</v>
      </c>
      <c r="AE23" s="441">
        <f t="shared" si="24"/>
        <v>0</v>
      </c>
      <c r="AF23" s="441">
        <f t="shared" si="24"/>
        <v>0</v>
      </c>
      <c r="AG23" s="441">
        <f t="shared" si="24"/>
        <v>0</v>
      </c>
      <c r="AH23" s="441">
        <f t="shared" si="24"/>
        <v>0</v>
      </c>
      <c r="AI23" s="441">
        <f t="shared" si="24"/>
        <v>0</v>
      </c>
      <c r="AJ23" s="441">
        <f t="shared" si="24"/>
        <v>0</v>
      </c>
      <c r="AK23" s="441">
        <f t="shared" si="24"/>
        <v>0</v>
      </c>
      <c r="AL23" s="441">
        <f t="shared" si="24"/>
        <v>0</v>
      </c>
      <c r="AM23" s="441">
        <f t="shared" si="24"/>
        <v>0</v>
      </c>
      <c r="AN23" s="441">
        <f t="shared" si="24"/>
        <v>0</v>
      </c>
      <c r="AO23" s="441">
        <f t="shared" si="24"/>
        <v>0</v>
      </c>
      <c r="AP23" s="441">
        <f t="shared" si="24"/>
        <v>0</v>
      </c>
      <c r="AQ23" s="441">
        <f t="shared" si="24"/>
        <v>0</v>
      </c>
      <c r="AR23" s="441">
        <f t="shared" si="24"/>
        <v>0</v>
      </c>
      <c r="AS23" s="441">
        <f t="shared" si="24"/>
        <v>0</v>
      </c>
      <c r="AT23" s="441">
        <f t="shared" si="24"/>
        <v>0</v>
      </c>
      <c r="AU23" s="441">
        <f t="shared" si="24"/>
        <v>0</v>
      </c>
      <c r="AV23" s="441">
        <f t="shared" si="24"/>
        <v>0</v>
      </c>
      <c r="AW23" s="441">
        <f t="shared" si="24"/>
        <v>0</v>
      </c>
      <c r="AX23" s="441">
        <f t="shared" si="24"/>
        <v>0</v>
      </c>
      <c r="AY23" s="441">
        <f t="shared" si="24"/>
        <v>0</v>
      </c>
      <c r="AZ23" s="441">
        <f t="shared" si="24"/>
        <v>0</v>
      </c>
      <c r="BA23" s="441">
        <f t="shared" si="24"/>
        <v>0</v>
      </c>
      <c r="BB23" s="441">
        <f t="shared" si="24"/>
        <v>0</v>
      </c>
      <c r="BC23" s="441">
        <f t="shared" si="24"/>
        <v>0</v>
      </c>
      <c r="BD23" s="441">
        <f t="shared" si="24"/>
        <v>0</v>
      </c>
      <c r="BE23" s="441">
        <f t="shared" si="24"/>
        <v>0</v>
      </c>
      <c r="BF23" s="441">
        <f t="shared" si="24"/>
        <v>0</v>
      </c>
      <c r="BG23" s="441">
        <f t="shared" si="24"/>
        <v>0</v>
      </c>
      <c r="BH23" s="441">
        <f t="shared" si="24"/>
        <v>0</v>
      </c>
      <c r="BI23" s="441">
        <f t="shared" si="24"/>
        <v>0</v>
      </c>
      <c r="BJ23" s="441">
        <f t="shared" ref="BJ23:CJ23" si="25">MAX(BJ22-BJ21,0)</f>
        <v>0</v>
      </c>
      <c r="BK23" s="441">
        <f t="shared" si="25"/>
        <v>0</v>
      </c>
      <c r="BL23" s="441">
        <f t="shared" si="25"/>
        <v>0</v>
      </c>
      <c r="BM23" s="441">
        <f t="shared" si="25"/>
        <v>0</v>
      </c>
      <c r="BN23" s="441">
        <f t="shared" si="25"/>
        <v>0</v>
      </c>
      <c r="BO23" s="441">
        <f t="shared" si="25"/>
        <v>0</v>
      </c>
      <c r="BP23" s="441">
        <f t="shared" si="25"/>
        <v>0</v>
      </c>
      <c r="BQ23" s="441">
        <f t="shared" si="25"/>
        <v>0</v>
      </c>
      <c r="BR23" s="441">
        <f t="shared" si="25"/>
        <v>0</v>
      </c>
      <c r="BS23" s="441">
        <f t="shared" si="25"/>
        <v>0</v>
      </c>
      <c r="BT23" s="441">
        <f t="shared" si="25"/>
        <v>0</v>
      </c>
      <c r="BU23" s="441">
        <f t="shared" si="25"/>
        <v>0</v>
      </c>
      <c r="BV23" s="441">
        <f t="shared" si="25"/>
        <v>0</v>
      </c>
      <c r="BW23" s="441">
        <f t="shared" si="25"/>
        <v>0</v>
      </c>
      <c r="BX23" s="441">
        <f t="shared" si="25"/>
        <v>0</v>
      </c>
      <c r="BY23" s="441">
        <f t="shared" si="25"/>
        <v>0</v>
      </c>
      <c r="BZ23" s="441">
        <f t="shared" si="25"/>
        <v>0</v>
      </c>
      <c r="CA23" s="441">
        <f t="shared" si="25"/>
        <v>0</v>
      </c>
      <c r="CB23" s="441">
        <f t="shared" si="25"/>
        <v>0</v>
      </c>
      <c r="CC23" s="441">
        <f t="shared" si="25"/>
        <v>0</v>
      </c>
      <c r="CD23" s="441">
        <f t="shared" si="25"/>
        <v>0</v>
      </c>
      <c r="CE23" s="441">
        <f t="shared" si="25"/>
        <v>0</v>
      </c>
      <c r="CF23" s="441">
        <f t="shared" si="25"/>
        <v>0</v>
      </c>
      <c r="CG23" s="441">
        <f t="shared" si="25"/>
        <v>0</v>
      </c>
      <c r="CH23" s="441">
        <f t="shared" si="25"/>
        <v>0</v>
      </c>
      <c r="CI23" s="441">
        <f t="shared" si="25"/>
        <v>0</v>
      </c>
      <c r="CJ23" s="441">
        <f t="shared" si="25"/>
        <v>0</v>
      </c>
      <c r="CK23" s="441">
        <f t="shared" ref="CK23:CT23" si="26">MAX(CK22-CK21,0)</f>
        <v>0</v>
      </c>
      <c r="CL23" s="441">
        <f t="shared" si="26"/>
        <v>0</v>
      </c>
      <c r="CM23" s="441">
        <f t="shared" si="26"/>
        <v>0</v>
      </c>
      <c r="CN23" s="441">
        <f t="shared" si="26"/>
        <v>0</v>
      </c>
      <c r="CO23" s="441">
        <f t="shared" si="26"/>
        <v>0</v>
      </c>
      <c r="CP23" s="441">
        <f t="shared" si="26"/>
        <v>0</v>
      </c>
      <c r="CQ23" s="441">
        <f t="shared" si="26"/>
        <v>0</v>
      </c>
      <c r="CR23" s="441">
        <f t="shared" si="26"/>
        <v>0</v>
      </c>
      <c r="CS23" s="441">
        <f t="shared" si="26"/>
        <v>0</v>
      </c>
      <c r="CT23" s="441">
        <f t="shared" si="26"/>
        <v>0</v>
      </c>
      <c r="CU23" s="433">
        <f>MAX(CU22-CU21,0)</f>
        <v>0</v>
      </c>
    </row>
    <row r="24" spans="1:99" ht="19.5" customHeight="1">
      <c r="A24" s="440" t="s">
        <v>313</v>
      </c>
      <c r="B24" s="441">
        <f>MAX(B21-B22,0)</f>
        <v>13</v>
      </c>
      <c r="C24" s="441">
        <f t="shared" ref="C24:BI24" si="27">MAX(C21-C22,0)</f>
        <v>0</v>
      </c>
      <c r="D24" s="441">
        <f t="shared" si="27"/>
        <v>0</v>
      </c>
      <c r="E24" s="441">
        <f t="shared" si="27"/>
        <v>0</v>
      </c>
      <c r="F24" s="441">
        <f t="shared" si="27"/>
        <v>0</v>
      </c>
      <c r="G24" s="441">
        <f t="shared" si="27"/>
        <v>0</v>
      </c>
      <c r="H24" s="441">
        <f t="shared" si="27"/>
        <v>0</v>
      </c>
      <c r="I24" s="441">
        <f t="shared" si="27"/>
        <v>0</v>
      </c>
      <c r="J24" s="441">
        <f t="shared" si="27"/>
        <v>0</v>
      </c>
      <c r="K24" s="441">
        <f t="shared" si="27"/>
        <v>0</v>
      </c>
      <c r="L24" s="441">
        <f t="shared" si="27"/>
        <v>0</v>
      </c>
      <c r="M24" s="441">
        <f t="shared" si="27"/>
        <v>0</v>
      </c>
      <c r="N24" s="441">
        <f t="shared" si="27"/>
        <v>0</v>
      </c>
      <c r="O24" s="441">
        <f t="shared" si="27"/>
        <v>0</v>
      </c>
      <c r="P24" s="441">
        <f t="shared" si="27"/>
        <v>0</v>
      </c>
      <c r="Q24" s="441">
        <f t="shared" si="27"/>
        <v>0</v>
      </c>
      <c r="R24" s="441">
        <f t="shared" si="27"/>
        <v>0</v>
      </c>
      <c r="S24" s="441">
        <f t="shared" si="27"/>
        <v>0</v>
      </c>
      <c r="T24" s="441">
        <f t="shared" si="27"/>
        <v>0</v>
      </c>
      <c r="U24" s="441">
        <f t="shared" si="27"/>
        <v>0</v>
      </c>
      <c r="V24" s="441">
        <f t="shared" si="27"/>
        <v>0</v>
      </c>
      <c r="W24" s="441">
        <f t="shared" si="27"/>
        <v>0</v>
      </c>
      <c r="X24" s="441">
        <f t="shared" si="27"/>
        <v>0</v>
      </c>
      <c r="Y24" s="441">
        <f t="shared" si="27"/>
        <v>0</v>
      </c>
      <c r="Z24" s="441">
        <f t="shared" si="27"/>
        <v>0</v>
      </c>
      <c r="AA24" s="441">
        <f t="shared" si="27"/>
        <v>0</v>
      </c>
      <c r="AB24" s="441">
        <f t="shared" si="27"/>
        <v>0</v>
      </c>
      <c r="AC24" s="441">
        <f t="shared" si="27"/>
        <v>0</v>
      </c>
      <c r="AD24" s="441">
        <f t="shared" si="27"/>
        <v>0</v>
      </c>
      <c r="AE24" s="441">
        <f t="shared" si="27"/>
        <v>0</v>
      </c>
      <c r="AF24" s="441">
        <f t="shared" si="27"/>
        <v>0</v>
      </c>
      <c r="AG24" s="441">
        <f t="shared" si="27"/>
        <v>0</v>
      </c>
      <c r="AH24" s="441">
        <f t="shared" si="27"/>
        <v>0</v>
      </c>
      <c r="AI24" s="441">
        <f t="shared" si="27"/>
        <v>0</v>
      </c>
      <c r="AJ24" s="441">
        <f t="shared" si="27"/>
        <v>0</v>
      </c>
      <c r="AK24" s="441">
        <f t="shared" si="27"/>
        <v>0</v>
      </c>
      <c r="AL24" s="441">
        <f t="shared" si="27"/>
        <v>0</v>
      </c>
      <c r="AM24" s="441">
        <f t="shared" si="27"/>
        <v>0</v>
      </c>
      <c r="AN24" s="441">
        <f t="shared" si="27"/>
        <v>0</v>
      </c>
      <c r="AO24" s="441">
        <f t="shared" si="27"/>
        <v>0</v>
      </c>
      <c r="AP24" s="441">
        <f t="shared" si="27"/>
        <v>0</v>
      </c>
      <c r="AQ24" s="441">
        <f t="shared" si="27"/>
        <v>0</v>
      </c>
      <c r="AR24" s="441">
        <f t="shared" si="27"/>
        <v>0</v>
      </c>
      <c r="AS24" s="441">
        <f t="shared" si="27"/>
        <v>0</v>
      </c>
      <c r="AT24" s="441">
        <f t="shared" si="27"/>
        <v>0</v>
      </c>
      <c r="AU24" s="441">
        <f t="shared" si="27"/>
        <v>0</v>
      </c>
      <c r="AV24" s="441">
        <f t="shared" si="27"/>
        <v>0</v>
      </c>
      <c r="AW24" s="441">
        <f t="shared" si="27"/>
        <v>0</v>
      </c>
      <c r="AX24" s="441">
        <f t="shared" si="27"/>
        <v>0</v>
      </c>
      <c r="AY24" s="441">
        <f t="shared" si="27"/>
        <v>0</v>
      </c>
      <c r="AZ24" s="441">
        <f t="shared" si="27"/>
        <v>0</v>
      </c>
      <c r="BA24" s="441">
        <f t="shared" si="27"/>
        <v>0</v>
      </c>
      <c r="BB24" s="441">
        <f t="shared" si="27"/>
        <v>3</v>
      </c>
      <c r="BC24" s="441">
        <f t="shared" si="27"/>
        <v>0</v>
      </c>
      <c r="BD24" s="441">
        <f t="shared" si="27"/>
        <v>0</v>
      </c>
      <c r="BE24" s="441">
        <f t="shared" si="27"/>
        <v>0</v>
      </c>
      <c r="BF24" s="441">
        <f t="shared" si="27"/>
        <v>0</v>
      </c>
      <c r="BG24" s="441">
        <f t="shared" si="27"/>
        <v>12</v>
      </c>
      <c r="BH24" s="441">
        <f t="shared" si="27"/>
        <v>0</v>
      </c>
      <c r="BI24" s="441">
        <f t="shared" si="27"/>
        <v>2</v>
      </c>
      <c r="BJ24" s="441">
        <f t="shared" ref="BJ24:CJ24" si="28">MAX(BJ21-BJ22,0)</f>
        <v>0</v>
      </c>
      <c r="BK24" s="441">
        <f t="shared" si="28"/>
        <v>0</v>
      </c>
      <c r="BL24" s="441">
        <f t="shared" si="28"/>
        <v>4</v>
      </c>
      <c r="BM24" s="441">
        <f t="shared" si="28"/>
        <v>3</v>
      </c>
      <c r="BN24" s="441">
        <f t="shared" si="28"/>
        <v>1</v>
      </c>
      <c r="BO24" s="441">
        <f t="shared" si="28"/>
        <v>0</v>
      </c>
      <c r="BP24" s="441">
        <f t="shared" si="28"/>
        <v>2</v>
      </c>
      <c r="BQ24" s="441">
        <f t="shared" si="28"/>
        <v>0</v>
      </c>
      <c r="BR24" s="441">
        <f t="shared" si="28"/>
        <v>0</v>
      </c>
      <c r="BS24" s="441">
        <f t="shared" si="28"/>
        <v>0</v>
      </c>
      <c r="BT24" s="441">
        <f t="shared" si="28"/>
        <v>0</v>
      </c>
      <c r="BU24" s="441">
        <f t="shared" si="28"/>
        <v>0</v>
      </c>
      <c r="BV24" s="441">
        <f t="shared" si="28"/>
        <v>0</v>
      </c>
      <c r="BW24" s="441">
        <f t="shared" si="28"/>
        <v>0</v>
      </c>
      <c r="BX24" s="441">
        <f t="shared" si="28"/>
        <v>0</v>
      </c>
      <c r="BY24" s="441">
        <f t="shared" si="28"/>
        <v>0</v>
      </c>
      <c r="BZ24" s="441">
        <f t="shared" si="28"/>
        <v>0</v>
      </c>
      <c r="CA24" s="441">
        <f t="shared" si="28"/>
        <v>0</v>
      </c>
      <c r="CB24" s="441">
        <f t="shared" si="28"/>
        <v>0</v>
      </c>
      <c r="CC24" s="441">
        <f t="shared" si="28"/>
        <v>0</v>
      </c>
      <c r="CD24" s="441">
        <f t="shared" si="28"/>
        <v>0</v>
      </c>
      <c r="CE24" s="441">
        <f t="shared" si="28"/>
        <v>0</v>
      </c>
      <c r="CF24" s="441">
        <f t="shared" si="28"/>
        <v>0</v>
      </c>
      <c r="CG24" s="441">
        <f t="shared" si="28"/>
        <v>0</v>
      </c>
      <c r="CH24" s="441">
        <f t="shared" si="28"/>
        <v>0</v>
      </c>
      <c r="CI24" s="441">
        <f t="shared" si="28"/>
        <v>0</v>
      </c>
      <c r="CJ24" s="441">
        <f t="shared" si="28"/>
        <v>0</v>
      </c>
      <c r="CK24" s="441">
        <f t="shared" ref="CK24:CT24" si="29">MAX(CK21-CK22,0)</f>
        <v>0</v>
      </c>
      <c r="CL24" s="441">
        <f t="shared" si="29"/>
        <v>0</v>
      </c>
      <c r="CM24" s="441">
        <f t="shared" si="29"/>
        <v>0</v>
      </c>
      <c r="CN24" s="441">
        <f t="shared" si="29"/>
        <v>0</v>
      </c>
      <c r="CO24" s="441">
        <f t="shared" si="29"/>
        <v>0</v>
      </c>
      <c r="CP24" s="441">
        <f t="shared" si="29"/>
        <v>0</v>
      </c>
      <c r="CQ24" s="441">
        <f t="shared" si="29"/>
        <v>0</v>
      </c>
      <c r="CR24" s="441">
        <f t="shared" si="29"/>
        <v>0</v>
      </c>
      <c r="CS24" s="441">
        <f t="shared" si="29"/>
        <v>0</v>
      </c>
      <c r="CT24" s="441">
        <f t="shared" si="29"/>
        <v>0</v>
      </c>
      <c r="CU24" s="433">
        <f>MAX(CU21-CU22,0)</f>
        <v>40</v>
      </c>
    </row>
    <row r="25" spans="1:99" ht="19.5" customHeight="1">
      <c r="A25" s="436" t="s">
        <v>314</v>
      </c>
      <c r="B25" s="437">
        <f t="shared" ref="B25" si="30">IF(B21=0,IF(B22=0,0,1),B22/B21)</f>
        <v>0.62857142857142856</v>
      </c>
      <c r="C25" s="437">
        <f t="shared" ref="C25:BI25" si="31">IF(C21=0,IF(C22=0,0,1),C22/C21)</f>
        <v>0</v>
      </c>
      <c r="D25" s="437">
        <f t="shared" si="31"/>
        <v>0</v>
      </c>
      <c r="E25" s="437">
        <f t="shared" si="31"/>
        <v>0</v>
      </c>
      <c r="F25" s="437">
        <f t="shared" si="31"/>
        <v>0</v>
      </c>
      <c r="G25" s="437">
        <f t="shared" si="31"/>
        <v>0</v>
      </c>
      <c r="H25" s="437">
        <f t="shared" si="31"/>
        <v>0</v>
      </c>
      <c r="I25" s="437">
        <f t="shared" si="31"/>
        <v>0</v>
      </c>
      <c r="J25" s="437">
        <f t="shared" si="31"/>
        <v>1</v>
      </c>
      <c r="K25" s="437">
        <f t="shared" si="31"/>
        <v>0</v>
      </c>
      <c r="L25" s="437">
        <f t="shared" si="31"/>
        <v>0</v>
      </c>
      <c r="M25" s="437">
        <f t="shared" si="31"/>
        <v>0</v>
      </c>
      <c r="N25" s="437">
        <f t="shared" si="31"/>
        <v>0</v>
      </c>
      <c r="O25" s="437">
        <f t="shared" si="31"/>
        <v>0</v>
      </c>
      <c r="P25" s="437">
        <f t="shared" si="31"/>
        <v>0</v>
      </c>
      <c r="Q25" s="437">
        <f t="shared" si="31"/>
        <v>1</v>
      </c>
      <c r="R25" s="437">
        <f t="shared" si="31"/>
        <v>0</v>
      </c>
      <c r="S25" s="437">
        <f t="shared" si="31"/>
        <v>1</v>
      </c>
      <c r="T25" s="437">
        <f t="shared" si="31"/>
        <v>0</v>
      </c>
      <c r="U25" s="437">
        <f t="shared" si="31"/>
        <v>0</v>
      </c>
      <c r="V25" s="437">
        <f t="shared" si="31"/>
        <v>1</v>
      </c>
      <c r="W25" s="437">
        <f t="shared" si="31"/>
        <v>0</v>
      </c>
      <c r="X25" s="437">
        <f t="shared" si="31"/>
        <v>1</v>
      </c>
      <c r="Y25" s="437">
        <f t="shared" si="31"/>
        <v>0</v>
      </c>
      <c r="Z25" s="437">
        <f t="shared" si="31"/>
        <v>1</v>
      </c>
      <c r="AA25" s="437">
        <f t="shared" si="31"/>
        <v>0</v>
      </c>
      <c r="AB25" s="437">
        <f t="shared" si="31"/>
        <v>0</v>
      </c>
      <c r="AC25" s="437">
        <f t="shared" si="31"/>
        <v>1</v>
      </c>
      <c r="AD25" s="437">
        <f t="shared" si="31"/>
        <v>0</v>
      </c>
      <c r="AE25" s="437">
        <f t="shared" si="31"/>
        <v>0</v>
      </c>
      <c r="AF25" s="437">
        <f t="shared" si="31"/>
        <v>0</v>
      </c>
      <c r="AG25" s="437">
        <f t="shared" si="31"/>
        <v>0</v>
      </c>
      <c r="AH25" s="437">
        <f t="shared" si="31"/>
        <v>0</v>
      </c>
      <c r="AI25" s="437">
        <f t="shared" si="31"/>
        <v>0</v>
      </c>
      <c r="AJ25" s="437">
        <f t="shared" si="31"/>
        <v>1</v>
      </c>
      <c r="AK25" s="437">
        <f t="shared" si="31"/>
        <v>0</v>
      </c>
      <c r="AL25" s="437">
        <f t="shared" si="31"/>
        <v>1</v>
      </c>
      <c r="AM25" s="437">
        <f t="shared" si="31"/>
        <v>0</v>
      </c>
      <c r="AN25" s="437">
        <f t="shared" si="31"/>
        <v>0</v>
      </c>
      <c r="AO25" s="437">
        <f t="shared" si="31"/>
        <v>0</v>
      </c>
      <c r="AP25" s="437">
        <f t="shared" si="31"/>
        <v>0</v>
      </c>
      <c r="AQ25" s="437">
        <f t="shared" si="31"/>
        <v>1</v>
      </c>
      <c r="AR25" s="437">
        <f t="shared" si="31"/>
        <v>0</v>
      </c>
      <c r="AS25" s="437">
        <f t="shared" si="31"/>
        <v>0</v>
      </c>
      <c r="AT25" s="437">
        <f t="shared" si="31"/>
        <v>0</v>
      </c>
      <c r="AU25" s="437">
        <f t="shared" si="31"/>
        <v>0</v>
      </c>
      <c r="AV25" s="437">
        <f t="shared" si="31"/>
        <v>0</v>
      </c>
      <c r="AW25" s="437">
        <f t="shared" si="31"/>
        <v>0</v>
      </c>
      <c r="AX25" s="437">
        <f t="shared" si="31"/>
        <v>0</v>
      </c>
      <c r="AY25" s="437">
        <f t="shared" si="31"/>
        <v>1</v>
      </c>
      <c r="AZ25" s="437">
        <f t="shared" si="31"/>
        <v>1</v>
      </c>
      <c r="BA25" s="437">
        <f t="shared" si="31"/>
        <v>0</v>
      </c>
      <c r="BB25" s="437">
        <f t="shared" si="31"/>
        <v>0.4</v>
      </c>
      <c r="BC25" s="437">
        <f t="shared" si="31"/>
        <v>0</v>
      </c>
      <c r="BD25" s="437">
        <f t="shared" si="31"/>
        <v>0</v>
      </c>
      <c r="BE25" s="437">
        <f t="shared" si="31"/>
        <v>0</v>
      </c>
      <c r="BF25" s="437">
        <f t="shared" si="31"/>
        <v>0</v>
      </c>
      <c r="BG25" s="437">
        <f t="shared" si="31"/>
        <v>0</v>
      </c>
      <c r="BH25" s="437">
        <f t="shared" si="31"/>
        <v>0</v>
      </c>
      <c r="BI25" s="437">
        <f t="shared" si="31"/>
        <v>0</v>
      </c>
      <c r="BJ25" s="437">
        <f t="shared" ref="BJ25:CJ25" si="32">IF(BJ21=0,IF(BJ22=0,0,1),BJ22/BJ21)</f>
        <v>0</v>
      </c>
      <c r="BK25" s="437">
        <f t="shared" si="32"/>
        <v>0</v>
      </c>
      <c r="BL25" s="437">
        <f t="shared" si="32"/>
        <v>0</v>
      </c>
      <c r="BM25" s="437">
        <f t="shared" si="32"/>
        <v>0</v>
      </c>
      <c r="BN25" s="437">
        <f t="shared" si="32"/>
        <v>0.66666666666666663</v>
      </c>
      <c r="BO25" s="437">
        <f t="shared" si="32"/>
        <v>0</v>
      </c>
      <c r="BP25" s="437">
        <f t="shared" si="32"/>
        <v>0.66666666666666663</v>
      </c>
      <c r="BQ25" s="437">
        <f t="shared" si="32"/>
        <v>0</v>
      </c>
      <c r="BR25" s="437">
        <f t="shared" si="32"/>
        <v>0</v>
      </c>
      <c r="BS25" s="437">
        <f t="shared" si="32"/>
        <v>0</v>
      </c>
      <c r="BT25" s="437">
        <f t="shared" si="32"/>
        <v>0</v>
      </c>
      <c r="BU25" s="437">
        <f t="shared" si="32"/>
        <v>0</v>
      </c>
      <c r="BV25" s="437">
        <f t="shared" si="32"/>
        <v>0</v>
      </c>
      <c r="BW25" s="437">
        <f t="shared" si="32"/>
        <v>0</v>
      </c>
      <c r="BX25" s="437">
        <f t="shared" si="32"/>
        <v>0</v>
      </c>
      <c r="BY25" s="437">
        <f t="shared" si="32"/>
        <v>0</v>
      </c>
      <c r="BZ25" s="437">
        <f t="shared" si="32"/>
        <v>0</v>
      </c>
      <c r="CA25" s="437">
        <f t="shared" si="32"/>
        <v>0</v>
      </c>
      <c r="CB25" s="437">
        <f t="shared" si="32"/>
        <v>0</v>
      </c>
      <c r="CC25" s="437">
        <f t="shared" si="32"/>
        <v>0</v>
      </c>
      <c r="CD25" s="437">
        <f t="shared" si="32"/>
        <v>0</v>
      </c>
      <c r="CE25" s="437">
        <f t="shared" si="32"/>
        <v>0</v>
      </c>
      <c r="CF25" s="437">
        <f t="shared" si="32"/>
        <v>0</v>
      </c>
      <c r="CG25" s="437">
        <f t="shared" si="32"/>
        <v>0</v>
      </c>
      <c r="CH25" s="437">
        <f t="shared" si="32"/>
        <v>0</v>
      </c>
      <c r="CI25" s="437">
        <f t="shared" si="32"/>
        <v>0</v>
      </c>
      <c r="CJ25" s="437">
        <f t="shared" si="32"/>
        <v>0</v>
      </c>
      <c r="CK25" s="437">
        <f t="shared" ref="CK25:CT25" si="33">IF(CK21=0,IF(CK22=0,0,1),CK22/CK21)</f>
        <v>0</v>
      </c>
      <c r="CL25" s="437">
        <f t="shared" si="33"/>
        <v>0</v>
      </c>
      <c r="CM25" s="437">
        <f t="shared" si="33"/>
        <v>0</v>
      </c>
      <c r="CN25" s="437">
        <f t="shared" si="33"/>
        <v>0</v>
      </c>
      <c r="CO25" s="437">
        <f t="shared" si="33"/>
        <v>0</v>
      </c>
      <c r="CP25" s="437">
        <f t="shared" si="33"/>
        <v>0</v>
      </c>
      <c r="CQ25" s="437">
        <f t="shared" si="33"/>
        <v>0</v>
      </c>
      <c r="CR25" s="437">
        <f t="shared" si="33"/>
        <v>0</v>
      </c>
      <c r="CS25" s="437">
        <f t="shared" si="33"/>
        <v>0</v>
      </c>
      <c r="CT25" s="437">
        <f t="shared" si="33"/>
        <v>0</v>
      </c>
      <c r="CU25" s="430">
        <f>IF(CU21=0,"-",CU22/CU21)</f>
        <v>0.79274611398963735</v>
      </c>
    </row>
    <row r="26" spans="1:99" ht="3" customHeight="1">
      <c r="BJ26" s="423"/>
    </row>
    <row r="27" spans="1:99" ht="21.75" customHeight="1">
      <c r="A27" s="786" t="s">
        <v>315</v>
      </c>
      <c r="B27" s="787"/>
      <c r="C27" s="787"/>
      <c r="D27" s="787"/>
      <c r="E27" s="787"/>
      <c r="F27" s="787"/>
      <c r="G27" s="787"/>
      <c r="H27" s="787"/>
      <c r="I27" s="787"/>
      <c r="J27" s="787"/>
      <c r="K27" s="787"/>
      <c r="L27" s="787"/>
      <c r="M27" s="787"/>
      <c r="N27" s="787"/>
      <c r="O27" s="787"/>
      <c r="P27" s="787"/>
      <c r="Q27" s="787"/>
      <c r="R27" s="787"/>
      <c r="S27" s="787"/>
      <c r="T27" s="787"/>
      <c r="U27" s="787"/>
      <c r="V27" s="787"/>
      <c r="W27" s="787"/>
      <c r="X27" s="787"/>
      <c r="Y27" s="787"/>
      <c r="Z27" s="787"/>
      <c r="AA27" s="787"/>
      <c r="AB27" s="787"/>
      <c r="AC27" s="787"/>
      <c r="AD27" s="787"/>
      <c r="AE27" s="787"/>
      <c r="AF27" s="787"/>
      <c r="AG27" s="787"/>
      <c r="AH27" s="787"/>
      <c r="AI27" s="787"/>
      <c r="AJ27" s="787"/>
      <c r="AK27" s="787"/>
      <c r="AL27" s="787"/>
      <c r="AM27" s="787"/>
      <c r="AN27" s="787"/>
      <c r="AO27" s="787"/>
      <c r="AP27" s="787"/>
      <c r="AQ27" s="787"/>
      <c r="AR27" s="787"/>
      <c r="AS27" s="787"/>
      <c r="AT27" s="787"/>
      <c r="AU27" s="787"/>
      <c r="AV27" s="787"/>
      <c r="AW27" s="787"/>
      <c r="AX27" s="787"/>
      <c r="AY27" s="787"/>
      <c r="AZ27" s="787"/>
      <c r="BA27" s="787"/>
      <c r="BB27" s="787"/>
      <c r="BC27" s="787"/>
      <c r="BD27" s="787"/>
      <c r="BE27" s="787"/>
      <c r="BF27" s="787"/>
      <c r="BG27" s="787"/>
      <c r="BH27" s="787"/>
      <c r="BI27" s="787"/>
      <c r="BJ27" s="787"/>
      <c r="BK27" s="787"/>
      <c r="BL27" s="787"/>
      <c r="BM27" s="787"/>
      <c r="BN27" s="787"/>
      <c r="BO27" s="787"/>
      <c r="BP27" s="787"/>
      <c r="BQ27" s="787"/>
      <c r="BR27" s="787"/>
      <c r="BS27" s="787"/>
      <c r="BT27" s="787"/>
      <c r="BU27" s="787"/>
      <c r="BV27" s="787"/>
      <c r="BW27" s="787"/>
      <c r="BX27" s="787"/>
      <c r="BY27" s="787"/>
      <c r="BZ27" s="787"/>
      <c r="CA27" s="787"/>
      <c r="CB27" s="787"/>
      <c r="CC27" s="787"/>
      <c r="CD27" s="787"/>
      <c r="CE27" s="787"/>
      <c r="CF27" s="787"/>
      <c r="CG27" s="787"/>
      <c r="CH27" s="787"/>
      <c r="CI27" s="787"/>
      <c r="CJ27" s="787"/>
      <c r="CK27" s="787"/>
      <c r="CL27" s="787"/>
      <c r="CM27" s="787"/>
      <c r="CN27" s="787"/>
      <c r="CO27" s="787"/>
      <c r="CP27" s="787"/>
      <c r="CQ27" s="787"/>
      <c r="CR27" s="787"/>
      <c r="CS27" s="787"/>
      <c r="CT27" s="787"/>
      <c r="CU27" s="787"/>
    </row>
    <row r="28" spans="1:99" ht="19.5" customHeight="1">
      <c r="A28" s="515" t="s">
        <v>325</v>
      </c>
      <c r="B28" s="516">
        <f>IF(B7=0,0,(B12+B17+B22)/(B7*3))</f>
        <v>0.72380952380952379</v>
      </c>
      <c r="C28" s="516">
        <f t="shared" ref="C28:BI28" si="34">IF(C7=0,0,(C12+C17+C22)/(C7*3))</f>
        <v>0</v>
      </c>
      <c r="D28" s="516">
        <f t="shared" si="34"/>
        <v>0</v>
      </c>
      <c r="E28" s="516">
        <f t="shared" si="34"/>
        <v>0</v>
      </c>
      <c r="F28" s="516">
        <f t="shared" si="34"/>
        <v>0</v>
      </c>
      <c r="G28" s="516">
        <f t="shared" si="34"/>
        <v>0</v>
      </c>
      <c r="H28" s="516">
        <f t="shared" si="34"/>
        <v>0</v>
      </c>
      <c r="I28" s="516">
        <f t="shared" si="34"/>
        <v>0</v>
      </c>
      <c r="J28" s="516">
        <f t="shared" si="34"/>
        <v>1</v>
      </c>
      <c r="K28" s="516">
        <f t="shared" si="34"/>
        <v>0</v>
      </c>
      <c r="L28" s="516">
        <f t="shared" si="34"/>
        <v>0</v>
      </c>
      <c r="M28" s="516">
        <f t="shared" si="34"/>
        <v>0</v>
      </c>
      <c r="N28" s="516">
        <f t="shared" si="34"/>
        <v>0</v>
      </c>
      <c r="O28" s="516">
        <f t="shared" si="34"/>
        <v>0</v>
      </c>
      <c r="P28" s="516">
        <f t="shared" si="34"/>
        <v>0</v>
      </c>
      <c r="Q28" s="516">
        <f t="shared" si="34"/>
        <v>1</v>
      </c>
      <c r="R28" s="516">
        <f t="shared" si="34"/>
        <v>0</v>
      </c>
      <c r="S28" s="516">
        <f t="shared" si="34"/>
        <v>1</v>
      </c>
      <c r="T28" s="516">
        <f t="shared" si="34"/>
        <v>0</v>
      </c>
      <c r="U28" s="516">
        <f t="shared" si="34"/>
        <v>0</v>
      </c>
      <c r="V28" s="516">
        <f t="shared" si="34"/>
        <v>1</v>
      </c>
      <c r="W28" s="516">
        <f t="shared" si="34"/>
        <v>0</v>
      </c>
      <c r="X28" s="516">
        <f t="shared" si="34"/>
        <v>1</v>
      </c>
      <c r="Y28" s="516">
        <f t="shared" si="34"/>
        <v>0</v>
      </c>
      <c r="Z28" s="516">
        <f t="shared" si="34"/>
        <v>1</v>
      </c>
      <c r="AA28" s="516">
        <f t="shared" si="34"/>
        <v>0</v>
      </c>
      <c r="AB28" s="516">
        <f t="shared" si="34"/>
        <v>0</v>
      </c>
      <c r="AC28" s="516">
        <f t="shared" si="34"/>
        <v>1</v>
      </c>
      <c r="AD28" s="516">
        <f t="shared" si="34"/>
        <v>0</v>
      </c>
      <c r="AE28" s="516">
        <f t="shared" si="34"/>
        <v>0</v>
      </c>
      <c r="AF28" s="516">
        <f t="shared" si="34"/>
        <v>0</v>
      </c>
      <c r="AG28" s="516">
        <f t="shared" si="34"/>
        <v>0</v>
      </c>
      <c r="AH28" s="516">
        <f t="shared" si="34"/>
        <v>0</v>
      </c>
      <c r="AI28" s="516">
        <f t="shared" si="34"/>
        <v>0</v>
      </c>
      <c r="AJ28" s="516">
        <f t="shared" si="34"/>
        <v>1</v>
      </c>
      <c r="AK28" s="516">
        <f t="shared" si="34"/>
        <v>0</v>
      </c>
      <c r="AL28" s="516">
        <f t="shared" si="34"/>
        <v>1</v>
      </c>
      <c r="AM28" s="516">
        <f t="shared" si="34"/>
        <v>0</v>
      </c>
      <c r="AN28" s="516">
        <f t="shared" si="34"/>
        <v>0</v>
      </c>
      <c r="AO28" s="516">
        <f t="shared" si="34"/>
        <v>0</v>
      </c>
      <c r="AP28" s="516">
        <f t="shared" si="34"/>
        <v>0</v>
      </c>
      <c r="AQ28" s="516">
        <f t="shared" si="34"/>
        <v>1</v>
      </c>
      <c r="AR28" s="516">
        <f t="shared" si="34"/>
        <v>0</v>
      </c>
      <c r="AS28" s="516">
        <f t="shared" si="34"/>
        <v>0</v>
      </c>
      <c r="AT28" s="516">
        <f t="shared" si="34"/>
        <v>0</v>
      </c>
      <c r="AU28" s="516">
        <f t="shared" si="34"/>
        <v>0</v>
      </c>
      <c r="AV28" s="516">
        <f t="shared" si="34"/>
        <v>0</v>
      </c>
      <c r="AW28" s="516">
        <f t="shared" si="34"/>
        <v>0</v>
      </c>
      <c r="AX28" s="516">
        <f t="shared" si="34"/>
        <v>0</v>
      </c>
      <c r="AY28" s="516">
        <f t="shared" si="34"/>
        <v>1</v>
      </c>
      <c r="AZ28" s="516">
        <f t="shared" si="34"/>
        <v>1</v>
      </c>
      <c r="BA28" s="516">
        <f t="shared" si="34"/>
        <v>0</v>
      </c>
      <c r="BB28" s="516">
        <f t="shared" si="34"/>
        <v>0.4</v>
      </c>
      <c r="BC28" s="516">
        <f t="shared" si="34"/>
        <v>0</v>
      </c>
      <c r="BD28" s="516">
        <f t="shared" si="34"/>
        <v>0</v>
      </c>
      <c r="BE28" s="516">
        <f t="shared" si="34"/>
        <v>0</v>
      </c>
      <c r="BF28" s="516">
        <f t="shared" si="34"/>
        <v>0</v>
      </c>
      <c r="BG28" s="516">
        <f t="shared" si="34"/>
        <v>0</v>
      </c>
      <c r="BH28" s="516">
        <f t="shared" si="34"/>
        <v>0</v>
      </c>
      <c r="BI28" s="516">
        <f t="shared" si="34"/>
        <v>0</v>
      </c>
      <c r="BJ28" s="516">
        <f t="shared" ref="BJ28:CJ28" si="35">IF(BJ7=0,0,(BJ12+BJ17+BJ22)/(BJ7*3))</f>
        <v>0</v>
      </c>
      <c r="BK28" s="516">
        <f t="shared" si="35"/>
        <v>0</v>
      </c>
      <c r="BL28" s="516">
        <f t="shared" si="35"/>
        <v>0</v>
      </c>
      <c r="BM28" s="516">
        <f t="shared" si="35"/>
        <v>0</v>
      </c>
      <c r="BN28" s="516">
        <f t="shared" si="35"/>
        <v>0.66666666666666663</v>
      </c>
      <c r="BO28" s="516">
        <f t="shared" si="35"/>
        <v>0</v>
      </c>
      <c r="BP28" s="516">
        <f t="shared" si="35"/>
        <v>0.66666666666666663</v>
      </c>
      <c r="BQ28" s="516">
        <f t="shared" si="35"/>
        <v>0</v>
      </c>
      <c r="BR28" s="516">
        <f t="shared" si="35"/>
        <v>0</v>
      </c>
      <c r="BS28" s="516">
        <f t="shared" si="35"/>
        <v>0</v>
      </c>
      <c r="BT28" s="516">
        <f t="shared" si="35"/>
        <v>0</v>
      </c>
      <c r="BU28" s="516">
        <f t="shared" si="35"/>
        <v>0</v>
      </c>
      <c r="BV28" s="516">
        <f t="shared" si="35"/>
        <v>0</v>
      </c>
      <c r="BW28" s="516">
        <f t="shared" si="35"/>
        <v>0</v>
      </c>
      <c r="BX28" s="516">
        <f t="shared" si="35"/>
        <v>0</v>
      </c>
      <c r="BY28" s="516">
        <f t="shared" si="35"/>
        <v>0</v>
      </c>
      <c r="BZ28" s="516">
        <f t="shared" si="35"/>
        <v>0</v>
      </c>
      <c r="CA28" s="516">
        <f t="shared" si="35"/>
        <v>0</v>
      </c>
      <c r="CB28" s="516">
        <f t="shared" si="35"/>
        <v>0</v>
      </c>
      <c r="CC28" s="516">
        <f t="shared" si="35"/>
        <v>0</v>
      </c>
      <c r="CD28" s="516">
        <f t="shared" si="35"/>
        <v>0</v>
      </c>
      <c r="CE28" s="516">
        <f t="shared" si="35"/>
        <v>0</v>
      </c>
      <c r="CF28" s="516">
        <f t="shared" si="35"/>
        <v>0</v>
      </c>
      <c r="CG28" s="516">
        <f t="shared" si="35"/>
        <v>0</v>
      </c>
      <c r="CH28" s="516">
        <f t="shared" si="35"/>
        <v>0</v>
      </c>
      <c r="CI28" s="516">
        <f t="shared" si="35"/>
        <v>0</v>
      </c>
      <c r="CJ28" s="516">
        <f t="shared" si="35"/>
        <v>0</v>
      </c>
      <c r="CK28" s="516">
        <f t="shared" ref="CK28:CT28" si="36">IF(CK7=0,0,(CK12+CK17+CK22)/(CK7*3))</f>
        <v>0</v>
      </c>
      <c r="CL28" s="516">
        <f t="shared" si="36"/>
        <v>0</v>
      </c>
      <c r="CM28" s="516">
        <f t="shared" si="36"/>
        <v>0</v>
      </c>
      <c r="CN28" s="516">
        <f t="shared" si="36"/>
        <v>0</v>
      </c>
      <c r="CO28" s="516">
        <f t="shared" si="36"/>
        <v>0</v>
      </c>
      <c r="CP28" s="516">
        <f t="shared" si="36"/>
        <v>0</v>
      </c>
      <c r="CQ28" s="516">
        <f t="shared" si="36"/>
        <v>0</v>
      </c>
      <c r="CR28" s="516">
        <f t="shared" si="36"/>
        <v>0</v>
      </c>
      <c r="CS28" s="516">
        <f t="shared" si="36"/>
        <v>0</v>
      </c>
      <c r="CT28" s="516">
        <f t="shared" si="36"/>
        <v>0</v>
      </c>
      <c r="CU28" s="430">
        <f>IF(CU7=0,"-",(CU12+CU17+CU22)/(CU7*3))</f>
        <v>0.81001727115716748</v>
      </c>
    </row>
    <row r="29" spans="1:99" ht="3.75" customHeight="1">
      <c r="BJ29" s="423"/>
    </row>
    <row r="30" spans="1:99" ht="19.5" customHeight="1">
      <c r="A30" s="440" t="s">
        <v>317</v>
      </c>
      <c r="B30" s="441">
        <f>SUM($B7:B7)</f>
        <v>35</v>
      </c>
      <c r="C30" s="441">
        <f>SUM($B7:C7)</f>
        <v>35</v>
      </c>
      <c r="D30" s="441">
        <f>SUM($B7:D7)</f>
        <v>35</v>
      </c>
      <c r="E30" s="441">
        <f>SUM($B7:E7)</f>
        <v>35</v>
      </c>
      <c r="F30" s="441">
        <f>SUM($B7:F7)</f>
        <v>35</v>
      </c>
      <c r="G30" s="441">
        <f>SUM($B7:G7)</f>
        <v>35</v>
      </c>
      <c r="H30" s="441">
        <f>SUM($B7:H7)</f>
        <v>35</v>
      </c>
      <c r="I30" s="441">
        <f>SUM($B7:I7)</f>
        <v>35</v>
      </c>
      <c r="J30" s="441">
        <f>SUM($B7:J7)</f>
        <v>45</v>
      </c>
      <c r="K30" s="441">
        <f>SUM($B7:K7)</f>
        <v>45</v>
      </c>
      <c r="L30" s="441">
        <f>SUM($B7:L7)</f>
        <v>45</v>
      </c>
      <c r="M30" s="441">
        <f>SUM($B7:M7)</f>
        <v>45</v>
      </c>
      <c r="N30" s="441">
        <f>SUM($B7:N7)</f>
        <v>45</v>
      </c>
      <c r="O30" s="441">
        <f>SUM($B7:O7)</f>
        <v>45</v>
      </c>
      <c r="P30" s="441">
        <f>SUM($B7:P7)</f>
        <v>45</v>
      </c>
      <c r="Q30" s="441">
        <f>SUM($B7:Q7)</f>
        <v>50</v>
      </c>
      <c r="R30" s="441">
        <f>SUM($B7:R7)</f>
        <v>50</v>
      </c>
      <c r="S30" s="441">
        <f>SUM($B7:S7)</f>
        <v>54</v>
      </c>
      <c r="T30" s="441">
        <f>SUM($B7:T7)</f>
        <v>54</v>
      </c>
      <c r="U30" s="441">
        <f>SUM($B7:U7)</f>
        <v>54</v>
      </c>
      <c r="V30" s="441">
        <f>SUM($B7:V7)</f>
        <v>69</v>
      </c>
      <c r="W30" s="441">
        <f>SUM($B7:W7)</f>
        <v>69</v>
      </c>
      <c r="X30" s="441">
        <f>SUM($B7:X7)</f>
        <v>89</v>
      </c>
      <c r="Y30" s="441">
        <f>SUM($B7:Y7)</f>
        <v>89</v>
      </c>
      <c r="Z30" s="441">
        <f>SUM($B7:Z7)</f>
        <v>106</v>
      </c>
      <c r="AA30" s="441">
        <f>SUM($B7:AA7)</f>
        <v>106</v>
      </c>
      <c r="AB30" s="441">
        <f>SUM($B7:AB7)</f>
        <v>106</v>
      </c>
      <c r="AC30" s="441">
        <f>SUM($B7:AC7)</f>
        <v>120</v>
      </c>
      <c r="AD30" s="441">
        <f>SUM($B7:AD7)</f>
        <v>120</v>
      </c>
      <c r="AE30" s="441">
        <f>SUM($B7:AE7)</f>
        <v>120</v>
      </c>
      <c r="AF30" s="441">
        <f>SUM($B7:AF7)</f>
        <v>120</v>
      </c>
      <c r="AG30" s="441">
        <f>SUM($B7:AG7)</f>
        <v>120</v>
      </c>
      <c r="AH30" s="441">
        <f>SUM($B7:AH7)</f>
        <v>120</v>
      </c>
      <c r="AI30" s="441">
        <f>SUM($B7:AI7)</f>
        <v>120</v>
      </c>
      <c r="AJ30" s="441">
        <f>SUM($B7:AJ7)</f>
        <v>130</v>
      </c>
      <c r="AK30" s="441">
        <f>SUM($B7:AK7)</f>
        <v>130</v>
      </c>
      <c r="AL30" s="441">
        <f>SUM($B7:AL7)</f>
        <v>138</v>
      </c>
      <c r="AM30" s="441">
        <f>SUM($B7:AM7)</f>
        <v>138</v>
      </c>
      <c r="AN30" s="441">
        <f>SUM($B7:AN7)</f>
        <v>138</v>
      </c>
      <c r="AO30" s="441">
        <f>SUM($B7:AO7)</f>
        <v>138</v>
      </c>
      <c r="AP30" s="441">
        <f>SUM($B7:AP7)</f>
        <v>138</v>
      </c>
      <c r="AQ30" s="441">
        <f>SUM($B7:AQ7)</f>
        <v>149</v>
      </c>
      <c r="AR30" s="441">
        <f>SUM($B7:AR7)</f>
        <v>149</v>
      </c>
      <c r="AS30" s="441">
        <f>SUM($B7:AS7)</f>
        <v>149</v>
      </c>
      <c r="AT30" s="441">
        <f>SUM($B7:AT7)</f>
        <v>149</v>
      </c>
      <c r="AU30" s="441">
        <f>SUM($B7:AU7)</f>
        <v>149</v>
      </c>
      <c r="AV30" s="441">
        <f>SUM($B7:AV7)</f>
        <v>149</v>
      </c>
      <c r="AW30" s="441">
        <f>SUM($B7:AW7)</f>
        <v>149</v>
      </c>
      <c r="AX30" s="441">
        <f>SUM($B7:AX7)</f>
        <v>149</v>
      </c>
      <c r="AY30" s="441">
        <f>SUM($B7:AY7)</f>
        <v>156</v>
      </c>
      <c r="AZ30" s="441">
        <f>SUM($B7:AZ7)</f>
        <v>158</v>
      </c>
      <c r="BA30" s="441">
        <f>SUM($B7:BA7)</f>
        <v>158</v>
      </c>
      <c r="BB30" s="441">
        <f>SUM($B7:BB7)</f>
        <v>163</v>
      </c>
      <c r="BC30" s="441">
        <f>SUM($B7:BC7)</f>
        <v>163</v>
      </c>
      <c r="BD30" s="441">
        <f>SUM($B7:BD7)</f>
        <v>163</v>
      </c>
      <c r="BE30" s="441">
        <f>SUM($B7:BE7)</f>
        <v>163</v>
      </c>
      <c r="BF30" s="441">
        <f>SUM($B7:BF7)</f>
        <v>163</v>
      </c>
      <c r="BG30" s="441">
        <f>SUM($B7:BG7)</f>
        <v>175</v>
      </c>
      <c r="BH30" s="441">
        <f>SUM($B7:BH7)</f>
        <v>175</v>
      </c>
      <c r="BI30" s="441">
        <f>SUM($B7:BI7)</f>
        <v>177</v>
      </c>
      <c r="BJ30" s="441">
        <f>SUM($B7:BJ7)</f>
        <v>177</v>
      </c>
      <c r="BK30" s="441">
        <f>SUM($B7:BK7)</f>
        <v>177</v>
      </c>
      <c r="BL30" s="441">
        <f>SUM($B7:BL7)</f>
        <v>181</v>
      </c>
      <c r="BM30" s="441">
        <f>SUM($B7:BM7)</f>
        <v>184</v>
      </c>
      <c r="BN30" s="441">
        <f>SUM($B7:BN7)</f>
        <v>187</v>
      </c>
      <c r="BO30" s="441">
        <f>SUM($B7:BO7)</f>
        <v>187</v>
      </c>
      <c r="BP30" s="441">
        <f>SUM($B7:BP7)</f>
        <v>193</v>
      </c>
      <c r="BQ30" s="441">
        <f>SUM($B7:BQ7)</f>
        <v>193</v>
      </c>
      <c r="BR30" s="441">
        <f>SUM($B7:BR7)</f>
        <v>193</v>
      </c>
      <c r="BS30" s="441">
        <f>SUM($B7:BS7)</f>
        <v>193</v>
      </c>
      <c r="BT30" s="441">
        <f>SUM($B7:BT7)</f>
        <v>193</v>
      </c>
      <c r="BU30" s="441">
        <f>SUM($B7:BU7)</f>
        <v>193</v>
      </c>
      <c r="BV30" s="441">
        <f>SUM($B7:BV7)</f>
        <v>193</v>
      </c>
      <c r="BW30" s="441">
        <f>SUM($B7:BW7)</f>
        <v>193</v>
      </c>
      <c r="BX30" s="441">
        <f>SUM($B7:BX7)</f>
        <v>193</v>
      </c>
      <c r="BY30" s="441">
        <f>SUM($B7:BY7)</f>
        <v>193</v>
      </c>
      <c r="BZ30" s="441">
        <f>SUM($B7:BZ7)</f>
        <v>193</v>
      </c>
      <c r="CA30" s="441">
        <f>SUM($B7:CA7)</f>
        <v>193</v>
      </c>
      <c r="CB30" s="441">
        <f>SUM($B7:CB7)</f>
        <v>193</v>
      </c>
      <c r="CC30" s="441">
        <f>SUM($B7:CC7)</f>
        <v>193</v>
      </c>
      <c r="CD30" s="441">
        <f>SUM($B7:CD7)</f>
        <v>193</v>
      </c>
      <c r="CE30" s="441">
        <f>SUM($B7:CE7)</f>
        <v>193</v>
      </c>
      <c r="CF30" s="441">
        <f>SUM($B7:CF7)</f>
        <v>193</v>
      </c>
      <c r="CG30" s="441">
        <f>SUM($B7:CG7)</f>
        <v>193</v>
      </c>
      <c r="CH30" s="441">
        <f>SUM($B7:CH7)</f>
        <v>193</v>
      </c>
      <c r="CI30" s="441">
        <f>SUM($B7:CI7)</f>
        <v>193</v>
      </c>
      <c r="CJ30" s="441">
        <f>SUM($B7:CJ7)</f>
        <v>193</v>
      </c>
      <c r="CK30" s="441">
        <f>SUM($B7:CK7)</f>
        <v>193</v>
      </c>
      <c r="CL30" s="441">
        <f>SUM($B7:CL7)</f>
        <v>193</v>
      </c>
      <c r="CM30" s="441">
        <f>SUM($B7:CM7)</f>
        <v>193</v>
      </c>
      <c r="CN30" s="441">
        <f>SUM($B7:CN7)</f>
        <v>193</v>
      </c>
      <c r="CO30" s="441">
        <f>SUM($B7:CO7)</f>
        <v>193</v>
      </c>
      <c r="CP30" s="441">
        <f>SUM($B7:CP7)</f>
        <v>193</v>
      </c>
      <c r="CQ30" s="441">
        <f>SUM($B7:CQ7)</f>
        <v>193</v>
      </c>
      <c r="CR30" s="441">
        <f>SUM($B7:CR7)</f>
        <v>193</v>
      </c>
      <c r="CS30" s="441">
        <f>SUM($B7:CS7)</f>
        <v>193</v>
      </c>
      <c r="CT30" s="441">
        <f>SUM($B7:CT7)</f>
        <v>193</v>
      </c>
      <c r="CU30" s="433">
        <f>CU7</f>
        <v>193</v>
      </c>
    </row>
    <row r="31" spans="1:99" ht="33" customHeight="1">
      <c r="A31" s="440" t="s">
        <v>318</v>
      </c>
      <c r="B31" s="441">
        <f>SUM($B22:B22)</f>
        <v>22</v>
      </c>
      <c r="C31" s="441">
        <f>SUM($B22:C22)</f>
        <v>22</v>
      </c>
      <c r="D31" s="441">
        <f>SUM($B22:D22)</f>
        <v>22</v>
      </c>
      <c r="E31" s="441">
        <f>SUM($B22:E22)</f>
        <v>22</v>
      </c>
      <c r="F31" s="441">
        <f>SUM($B22:F22)</f>
        <v>22</v>
      </c>
      <c r="G31" s="441">
        <f>SUM($B22:G22)</f>
        <v>22</v>
      </c>
      <c r="H31" s="441">
        <f>SUM($B22:H22)</f>
        <v>22</v>
      </c>
      <c r="I31" s="441">
        <f>SUM($B22:I22)</f>
        <v>22</v>
      </c>
      <c r="J31" s="441">
        <f>SUM($B22:J22)</f>
        <v>32</v>
      </c>
      <c r="K31" s="441">
        <f>SUM($B22:K22)</f>
        <v>32</v>
      </c>
      <c r="L31" s="441">
        <f>SUM($B22:L22)</f>
        <v>32</v>
      </c>
      <c r="M31" s="441">
        <f>SUM($B22:M22)</f>
        <v>32</v>
      </c>
      <c r="N31" s="441">
        <f>SUM($B22:N22)</f>
        <v>32</v>
      </c>
      <c r="O31" s="441">
        <f>SUM($B22:O22)</f>
        <v>32</v>
      </c>
      <c r="P31" s="441">
        <f>SUM($B22:P22)</f>
        <v>32</v>
      </c>
      <c r="Q31" s="441">
        <f>SUM($B22:Q22)</f>
        <v>37</v>
      </c>
      <c r="R31" s="441">
        <f>SUM($B22:R22)</f>
        <v>37</v>
      </c>
      <c r="S31" s="441">
        <f>SUM($B22:S22)</f>
        <v>41</v>
      </c>
      <c r="T31" s="441">
        <f>SUM($B22:T22)</f>
        <v>41</v>
      </c>
      <c r="U31" s="441">
        <f>SUM($B22:U22)</f>
        <v>41</v>
      </c>
      <c r="V31" s="441">
        <f>SUM($B22:V22)</f>
        <v>56</v>
      </c>
      <c r="W31" s="441">
        <f>SUM($B22:W22)</f>
        <v>56</v>
      </c>
      <c r="X31" s="441">
        <f>SUM($B22:X22)</f>
        <v>76</v>
      </c>
      <c r="Y31" s="441">
        <f>SUM($B22:Y22)</f>
        <v>76</v>
      </c>
      <c r="Z31" s="441">
        <f>SUM($B22:Z22)</f>
        <v>93</v>
      </c>
      <c r="AA31" s="441">
        <f>SUM($B22:AA22)</f>
        <v>93</v>
      </c>
      <c r="AB31" s="441">
        <f>SUM($B22:AB22)</f>
        <v>93</v>
      </c>
      <c r="AC31" s="441">
        <f>SUM($B22:AC22)</f>
        <v>107</v>
      </c>
      <c r="AD31" s="441">
        <f>SUM($B22:AD22)</f>
        <v>107</v>
      </c>
      <c r="AE31" s="441">
        <f>SUM($B22:AE22)</f>
        <v>107</v>
      </c>
      <c r="AF31" s="441">
        <f>SUM($B22:AF22)</f>
        <v>107</v>
      </c>
      <c r="AG31" s="441">
        <f>SUM($B22:AG22)</f>
        <v>107</v>
      </c>
      <c r="AH31" s="441">
        <f>SUM($B22:AH22)</f>
        <v>107</v>
      </c>
      <c r="AI31" s="441">
        <f>SUM($B22:AI22)</f>
        <v>107</v>
      </c>
      <c r="AJ31" s="441">
        <f>SUM($B22:AJ22)</f>
        <v>117</v>
      </c>
      <c r="AK31" s="441">
        <f>SUM($B22:AK22)</f>
        <v>117</v>
      </c>
      <c r="AL31" s="441">
        <f>SUM($B22:AL22)</f>
        <v>125</v>
      </c>
      <c r="AM31" s="441">
        <f>SUM($B22:AM22)</f>
        <v>125</v>
      </c>
      <c r="AN31" s="441">
        <f>SUM($B22:AN22)</f>
        <v>125</v>
      </c>
      <c r="AO31" s="441">
        <f>SUM($B22:AO22)</f>
        <v>125</v>
      </c>
      <c r="AP31" s="441">
        <f>SUM($B22:AP22)</f>
        <v>125</v>
      </c>
      <c r="AQ31" s="441">
        <f>SUM($B22:AQ22)</f>
        <v>136</v>
      </c>
      <c r="AR31" s="441">
        <f>SUM($B22:AR22)</f>
        <v>136</v>
      </c>
      <c r="AS31" s="441">
        <f>SUM($B22:AS22)</f>
        <v>136</v>
      </c>
      <c r="AT31" s="441">
        <f>SUM($B22:AT22)</f>
        <v>136</v>
      </c>
      <c r="AU31" s="441">
        <f>SUM($B22:AU22)</f>
        <v>136</v>
      </c>
      <c r="AV31" s="441">
        <f>SUM($B22:AV22)</f>
        <v>136</v>
      </c>
      <c r="AW31" s="441">
        <f>SUM($B22:AW22)</f>
        <v>136</v>
      </c>
      <c r="AX31" s="441">
        <f>SUM($B22:AX22)</f>
        <v>136</v>
      </c>
      <c r="AY31" s="441">
        <f>SUM($B22:AY22)</f>
        <v>143</v>
      </c>
      <c r="AZ31" s="441">
        <f>SUM($B22:AZ22)</f>
        <v>145</v>
      </c>
      <c r="BA31" s="441">
        <f>SUM($B22:BA22)</f>
        <v>145</v>
      </c>
      <c r="BB31" s="441">
        <f>SUM($B22:BB22)</f>
        <v>147</v>
      </c>
      <c r="BC31" s="441">
        <f>SUM($B22:BC22)</f>
        <v>147</v>
      </c>
      <c r="BD31" s="441">
        <f>SUM($B22:BD22)</f>
        <v>147</v>
      </c>
      <c r="BE31" s="441">
        <f>SUM($B22:BE22)</f>
        <v>147</v>
      </c>
      <c r="BF31" s="441">
        <f>SUM($B22:BF22)</f>
        <v>147</v>
      </c>
      <c r="BG31" s="441">
        <f>SUM($B22:BG22)</f>
        <v>147</v>
      </c>
      <c r="BH31" s="441">
        <f>SUM($B22:BH22)</f>
        <v>147</v>
      </c>
      <c r="BI31" s="441">
        <f>SUM($B22:BI22)</f>
        <v>147</v>
      </c>
      <c r="BJ31" s="441">
        <f>SUM($B22:BJ22)</f>
        <v>147</v>
      </c>
      <c r="BK31" s="441">
        <f>SUM($B22:BK22)</f>
        <v>147</v>
      </c>
      <c r="BL31" s="441">
        <f>SUM($B22:BL22)</f>
        <v>147</v>
      </c>
      <c r="BM31" s="441">
        <f>SUM($B22:BM22)</f>
        <v>147</v>
      </c>
      <c r="BN31" s="441">
        <f>SUM($B22:BN22)</f>
        <v>149</v>
      </c>
      <c r="BO31" s="441">
        <f>SUM($B22:BO22)</f>
        <v>149</v>
      </c>
      <c r="BP31" s="441">
        <f>SUM($B22:BP22)</f>
        <v>153</v>
      </c>
      <c r="BQ31" s="441">
        <f>SUM($B22:BQ22)</f>
        <v>153</v>
      </c>
      <c r="BR31" s="441">
        <f>SUM($B22:BR22)</f>
        <v>153</v>
      </c>
      <c r="BS31" s="441">
        <f>SUM($B22:BS22)</f>
        <v>153</v>
      </c>
      <c r="BT31" s="441">
        <f>SUM($B22:BT22)</f>
        <v>153</v>
      </c>
      <c r="BU31" s="441">
        <f>SUM($B22:BU22)</f>
        <v>153</v>
      </c>
      <c r="BV31" s="441">
        <f>SUM($B22:BV22)</f>
        <v>153</v>
      </c>
      <c r="BW31" s="441">
        <f>SUM($B22:BW22)</f>
        <v>153</v>
      </c>
      <c r="BX31" s="441">
        <f>SUM($B22:BX22)</f>
        <v>153</v>
      </c>
      <c r="BY31" s="441">
        <f>SUM($B22:BY22)</f>
        <v>153</v>
      </c>
      <c r="BZ31" s="441">
        <f>SUM($B22:BZ22)</f>
        <v>153</v>
      </c>
      <c r="CA31" s="441">
        <f>SUM($B22:CA22)</f>
        <v>153</v>
      </c>
      <c r="CB31" s="441">
        <f>SUM($B22:CB22)</f>
        <v>153</v>
      </c>
      <c r="CC31" s="441">
        <f>SUM($B22:CC22)</f>
        <v>153</v>
      </c>
      <c r="CD31" s="441">
        <f>SUM($B22:CD22)</f>
        <v>153</v>
      </c>
      <c r="CE31" s="441">
        <f>SUM($B22:CE22)</f>
        <v>153</v>
      </c>
      <c r="CF31" s="441">
        <f>SUM($B22:CF22)</f>
        <v>153</v>
      </c>
      <c r="CG31" s="441">
        <f>SUM($B22:CG22)</f>
        <v>153</v>
      </c>
      <c r="CH31" s="441">
        <f>SUM($B22:CH22)</f>
        <v>153</v>
      </c>
      <c r="CI31" s="441">
        <f>SUM($B22:CI22)</f>
        <v>153</v>
      </c>
      <c r="CJ31" s="441">
        <f>SUM($B22:CJ22)</f>
        <v>153</v>
      </c>
      <c r="CK31" s="441">
        <f>SUM($B22:CK22)</f>
        <v>153</v>
      </c>
      <c r="CL31" s="441">
        <f>SUM($B22:CL22)</f>
        <v>153</v>
      </c>
      <c r="CM31" s="441">
        <f>SUM($B22:CM22)</f>
        <v>153</v>
      </c>
      <c r="CN31" s="441">
        <f>SUM($B22:CN22)</f>
        <v>153</v>
      </c>
      <c r="CO31" s="441">
        <f>SUM($B22:CO22)</f>
        <v>153</v>
      </c>
      <c r="CP31" s="441">
        <f>SUM($B22:CP22)</f>
        <v>153</v>
      </c>
      <c r="CQ31" s="441">
        <f>SUM($B22:CQ22)</f>
        <v>153</v>
      </c>
      <c r="CR31" s="441">
        <f>SUM($B22:CR22)</f>
        <v>153</v>
      </c>
      <c r="CS31" s="441">
        <f>SUM($B22:CS22)</f>
        <v>153</v>
      </c>
      <c r="CT31" s="441">
        <f>SUM($B22:CT22)</f>
        <v>153</v>
      </c>
      <c r="CU31" s="433">
        <f>CU22</f>
        <v>153</v>
      </c>
    </row>
    <row r="32" spans="1:99" ht="19.5" customHeight="1">
      <c r="A32" s="517" t="s">
        <v>319</v>
      </c>
      <c r="B32" s="443">
        <f t="shared" ref="B32:AG32" si="37">IF($CU$7=0,0,B31/$CU$7)</f>
        <v>0.11398963730569948</v>
      </c>
      <c r="C32" s="443">
        <f t="shared" si="37"/>
        <v>0.11398963730569948</v>
      </c>
      <c r="D32" s="443">
        <f t="shared" si="37"/>
        <v>0.11398963730569948</v>
      </c>
      <c r="E32" s="443">
        <f t="shared" si="37"/>
        <v>0.11398963730569948</v>
      </c>
      <c r="F32" s="443">
        <f t="shared" si="37"/>
        <v>0.11398963730569948</v>
      </c>
      <c r="G32" s="443">
        <f t="shared" si="37"/>
        <v>0.11398963730569948</v>
      </c>
      <c r="H32" s="443">
        <f t="shared" si="37"/>
        <v>0.11398963730569948</v>
      </c>
      <c r="I32" s="443">
        <f t="shared" si="37"/>
        <v>0.11398963730569948</v>
      </c>
      <c r="J32" s="443">
        <f t="shared" si="37"/>
        <v>0.16580310880829016</v>
      </c>
      <c r="K32" s="443">
        <f t="shared" si="37"/>
        <v>0.16580310880829016</v>
      </c>
      <c r="L32" s="443">
        <f t="shared" si="37"/>
        <v>0.16580310880829016</v>
      </c>
      <c r="M32" s="443">
        <f t="shared" si="37"/>
        <v>0.16580310880829016</v>
      </c>
      <c r="N32" s="443">
        <f t="shared" si="37"/>
        <v>0.16580310880829016</v>
      </c>
      <c r="O32" s="443">
        <f t="shared" si="37"/>
        <v>0.16580310880829016</v>
      </c>
      <c r="P32" s="443">
        <f t="shared" si="37"/>
        <v>0.16580310880829016</v>
      </c>
      <c r="Q32" s="443">
        <f t="shared" si="37"/>
        <v>0.19170984455958548</v>
      </c>
      <c r="R32" s="443">
        <f t="shared" si="37"/>
        <v>0.19170984455958548</v>
      </c>
      <c r="S32" s="443">
        <f t="shared" si="37"/>
        <v>0.21243523316062177</v>
      </c>
      <c r="T32" s="443">
        <f t="shared" si="37"/>
        <v>0.21243523316062177</v>
      </c>
      <c r="U32" s="443">
        <f t="shared" si="37"/>
        <v>0.21243523316062177</v>
      </c>
      <c r="V32" s="443">
        <f t="shared" si="37"/>
        <v>0.29015544041450775</v>
      </c>
      <c r="W32" s="443">
        <f t="shared" si="37"/>
        <v>0.29015544041450775</v>
      </c>
      <c r="X32" s="443">
        <f t="shared" si="37"/>
        <v>0.39378238341968913</v>
      </c>
      <c r="Y32" s="443">
        <f t="shared" si="37"/>
        <v>0.39378238341968913</v>
      </c>
      <c r="Z32" s="443">
        <f t="shared" si="37"/>
        <v>0.48186528497409326</v>
      </c>
      <c r="AA32" s="443">
        <f t="shared" si="37"/>
        <v>0.48186528497409326</v>
      </c>
      <c r="AB32" s="443">
        <f t="shared" si="37"/>
        <v>0.48186528497409326</v>
      </c>
      <c r="AC32" s="443">
        <f t="shared" si="37"/>
        <v>0.55440414507772018</v>
      </c>
      <c r="AD32" s="443">
        <f t="shared" si="37"/>
        <v>0.55440414507772018</v>
      </c>
      <c r="AE32" s="443">
        <f t="shared" si="37"/>
        <v>0.55440414507772018</v>
      </c>
      <c r="AF32" s="443">
        <f t="shared" si="37"/>
        <v>0.55440414507772018</v>
      </c>
      <c r="AG32" s="443">
        <f t="shared" si="37"/>
        <v>0.55440414507772018</v>
      </c>
      <c r="AH32" s="443">
        <f t="shared" ref="AH32:BM32" si="38">IF($CU$7=0,0,AH31/$CU$7)</f>
        <v>0.55440414507772018</v>
      </c>
      <c r="AI32" s="443">
        <f t="shared" si="38"/>
        <v>0.55440414507772018</v>
      </c>
      <c r="AJ32" s="443">
        <f t="shared" si="38"/>
        <v>0.60621761658031093</v>
      </c>
      <c r="AK32" s="443">
        <f t="shared" si="38"/>
        <v>0.60621761658031093</v>
      </c>
      <c r="AL32" s="443">
        <f t="shared" si="38"/>
        <v>0.64766839378238339</v>
      </c>
      <c r="AM32" s="443">
        <f t="shared" si="38"/>
        <v>0.64766839378238339</v>
      </c>
      <c r="AN32" s="443">
        <f t="shared" si="38"/>
        <v>0.64766839378238339</v>
      </c>
      <c r="AO32" s="443">
        <f t="shared" si="38"/>
        <v>0.64766839378238339</v>
      </c>
      <c r="AP32" s="443">
        <f t="shared" si="38"/>
        <v>0.64766839378238339</v>
      </c>
      <c r="AQ32" s="443">
        <f t="shared" si="38"/>
        <v>0.70466321243523311</v>
      </c>
      <c r="AR32" s="443">
        <f t="shared" si="38"/>
        <v>0.70466321243523311</v>
      </c>
      <c r="AS32" s="443">
        <f t="shared" si="38"/>
        <v>0.70466321243523311</v>
      </c>
      <c r="AT32" s="443">
        <f t="shared" si="38"/>
        <v>0.70466321243523311</v>
      </c>
      <c r="AU32" s="443">
        <f t="shared" si="38"/>
        <v>0.70466321243523311</v>
      </c>
      <c r="AV32" s="443">
        <f t="shared" si="38"/>
        <v>0.70466321243523311</v>
      </c>
      <c r="AW32" s="443">
        <f t="shared" si="38"/>
        <v>0.70466321243523311</v>
      </c>
      <c r="AX32" s="443">
        <f t="shared" si="38"/>
        <v>0.70466321243523311</v>
      </c>
      <c r="AY32" s="443">
        <f t="shared" si="38"/>
        <v>0.7409326424870466</v>
      </c>
      <c r="AZ32" s="443">
        <f t="shared" si="38"/>
        <v>0.75129533678756477</v>
      </c>
      <c r="BA32" s="443">
        <f t="shared" si="38"/>
        <v>0.75129533678756477</v>
      </c>
      <c r="BB32" s="443">
        <f t="shared" si="38"/>
        <v>0.76165803108808294</v>
      </c>
      <c r="BC32" s="443">
        <f t="shared" si="38"/>
        <v>0.76165803108808294</v>
      </c>
      <c r="BD32" s="443">
        <f t="shared" si="38"/>
        <v>0.76165803108808294</v>
      </c>
      <c r="BE32" s="443">
        <f t="shared" si="38"/>
        <v>0.76165803108808294</v>
      </c>
      <c r="BF32" s="443">
        <f t="shared" si="38"/>
        <v>0.76165803108808294</v>
      </c>
      <c r="BG32" s="443">
        <f t="shared" si="38"/>
        <v>0.76165803108808294</v>
      </c>
      <c r="BH32" s="443">
        <f t="shared" si="38"/>
        <v>0.76165803108808294</v>
      </c>
      <c r="BI32" s="443">
        <f t="shared" si="38"/>
        <v>0.76165803108808294</v>
      </c>
      <c r="BJ32" s="443">
        <f t="shared" si="38"/>
        <v>0.76165803108808294</v>
      </c>
      <c r="BK32" s="443">
        <f t="shared" si="38"/>
        <v>0.76165803108808294</v>
      </c>
      <c r="BL32" s="443">
        <f t="shared" si="38"/>
        <v>0.76165803108808294</v>
      </c>
      <c r="BM32" s="443">
        <f t="shared" si="38"/>
        <v>0.76165803108808294</v>
      </c>
      <c r="BN32" s="443">
        <f t="shared" ref="BN32:CS32" si="39">IF($CU$7=0,0,BN31/$CU$7)</f>
        <v>0.772020725388601</v>
      </c>
      <c r="BO32" s="443">
        <f t="shared" si="39"/>
        <v>0.772020725388601</v>
      </c>
      <c r="BP32" s="443">
        <f t="shared" si="39"/>
        <v>0.79274611398963735</v>
      </c>
      <c r="BQ32" s="443">
        <f t="shared" si="39"/>
        <v>0.79274611398963735</v>
      </c>
      <c r="BR32" s="443">
        <f t="shared" si="39"/>
        <v>0.79274611398963735</v>
      </c>
      <c r="BS32" s="443">
        <f t="shared" si="39"/>
        <v>0.79274611398963735</v>
      </c>
      <c r="BT32" s="443">
        <f t="shared" si="39"/>
        <v>0.79274611398963735</v>
      </c>
      <c r="BU32" s="443">
        <f t="shared" si="39"/>
        <v>0.79274611398963735</v>
      </c>
      <c r="BV32" s="443">
        <f t="shared" si="39"/>
        <v>0.79274611398963735</v>
      </c>
      <c r="BW32" s="443">
        <f t="shared" si="39"/>
        <v>0.79274611398963735</v>
      </c>
      <c r="BX32" s="443">
        <f t="shared" si="39"/>
        <v>0.79274611398963735</v>
      </c>
      <c r="BY32" s="443">
        <f t="shared" si="39"/>
        <v>0.79274611398963735</v>
      </c>
      <c r="BZ32" s="443">
        <f t="shared" si="39"/>
        <v>0.79274611398963735</v>
      </c>
      <c r="CA32" s="443">
        <f t="shared" si="39"/>
        <v>0.79274611398963735</v>
      </c>
      <c r="CB32" s="443">
        <f t="shared" si="39"/>
        <v>0.79274611398963735</v>
      </c>
      <c r="CC32" s="443">
        <f t="shared" si="39"/>
        <v>0.79274611398963735</v>
      </c>
      <c r="CD32" s="443">
        <f t="shared" si="39"/>
        <v>0.79274611398963735</v>
      </c>
      <c r="CE32" s="443">
        <f t="shared" si="39"/>
        <v>0.79274611398963735</v>
      </c>
      <c r="CF32" s="443">
        <f t="shared" si="39"/>
        <v>0.79274611398963735</v>
      </c>
      <c r="CG32" s="443">
        <f t="shared" si="39"/>
        <v>0.79274611398963735</v>
      </c>
      <c r="CH32" s="443">
        <f t="shared" si="39"/>
        <v>0.79274611398963735</v>
      </c>
      <c r="CI32" s="443">
        <f t="shared" si="39"/>
        <v>0.79274611398963735</v>
      </c>
      <c r="CJ32" s="443">
        <f t="shared" si="39"/>
        <v>0.79274611398963735</v>
      </c>
      <c r="CK32" s="443">
        <f t="shared" si="39"/>
        <v>0.79274611398963735</v>
      </c>
      <c r="CL32" s="443">
        <f t="shared" si="39"/>
        <v>0.79274611398963735</v>
      </c>
      <c r="CM32" s="443">
        <f t="shared" si="39"/>
        <v>0.79274611398963735</v>
      </c>
      <c r="CN32" s="443">
        <f t="shared" si="39"/>
        <v>0.79274611398963735</v>
      </c>
      <c r="CO32" s="443">
        <f t="shared" si="39"/>
        <v>0.79274611398963735</v>
      </c>
      <c r="CP32" s="443">
        <f t="shared" si="39"/>
        <v>0.79274611398963735</v>
      </c>
      <c r="CQ32" s="443">
        <f t="shared" si="39"/>
        <v>0.79274611398963735</v>
      </c>
      <c r="CR32" s="443">
        <f t="shared" si="39"/>
        <v>0.79274611398963735</v>
      </c>
      <c r="CS32" s="443">
        <f t="shared" si="39"/>
        <v>0.79274611398963735</v>
      </c>
      <c r="CT32" s="443">
        <f t="shared" ref="CT32:DY32" si="40">IF($CU$7=0,0,CT31/$CU$7)</f>
        <v>0.79274611398963735</v>
      </c>
      <c r="CU32" s="430">
        <f>IF(CU7=0,"-",CU31/CU7)</f>
        <v>0.79274611398963735</v>
      </c>
    </row>
    <row r="33" spans="1:99" ht="19.5" customHeight="1">
      <c r="A33" s="444" t="s">
        <v>320</v>
      </c>
      <c r="B33" s="445">
        <f t="shared" ref="B33:AG33" si="41">IF($CU$7=0,0,B30/$CU$7)</f>
        <v>0.18134715025906736</v>
      </c>
      <c r="C33" s="445">
        <f t="shared" si="41"/>
        <v>0.18134715025906736</v>
      </c>
      <c r="D33" s="445">
        <f t="shared" si="41"/>
        <v>0.18134715025906736</v>
      </c>
      <c r="E33" s="445">
        <f t="shared" si="41"/>
        <v>0.18134715025906736</v>
      </c>
      <c r="F33" s="445">
        <f t="shared" si="41"/>
        <v>0.18134715025906736</v>
      </c>
      <c r="G33" s="445">
        <f t="shared" si="41"/>
        <v>0.18134715025906736</v>
      </c>
      <c r="H33" s="445">
        <f t="shared" si="41"/>
        <v>0.18134715025906736</v>
      </c>
      <c r="I33" s="445">
        <f t="shared" si="41"/>
        <v>0.18134715025906736</v>
      </c>
      <c r="J33" s="445">
        <f t="shared" si="41"/>
        <v>0.23316062176165803</v>
      </c>
      <c r="K33" s="445">
        <f t="shared" si="41"/>
        <v>0.23316062176165803</v>
      </c>
      <c r="L33" s="445">
        <f t="shared" si="41"/>
        <v>0.23316062176165803</v>
      </c>
      <c r="M33" s="445">
        <f t="shared" si="41"/>
        <v>0.23316062176165803</v>
      </c>
      <c r="N33" s="445">
        <f t="shared" si="41"/>
        <v>0.23316062176165803</v>
      </c>
      <c r="O33" s="445">
        <f t="shared" si="41"/>
        <v>0.23316062176165803</v>
      </c>
      <c r="P33" s="445">
        <f t="shared" si="41"/>
        <v>0.23316062176165803</v>
      </c>
      <c r="Q33" s="445">
        <f t="shared" si="41"/>
        <v>0.25906735751295334</v>
      </c>
      <c r="R33" s="445">
        <f t="shared" si="41"/>
        <v>0.25906735751295334</v>
      </c>
      <c r="S33" s="445">
        <f t="shared" si="41"/>
        <v>0.27979274611398963</v>
      </c>
      <c r="T33" s="445">
        <f t="shared" si="41"/>
        <v>0.27979274611398963</v>
      </c>
      <c r="U33" s="445">
        <f t="shared" si="41"/>
        <v>0.27979274611398963</v>
      </c>
      <c r="V33" s="445">
        <f t="shared" si="41"/>
        <v>0.35751295336787564</v>
      </c>
      <c r="W33" s="445">
        <f t="shared" si="41"/>
        <v>0.35751295336787564</v>
      </c>
      <c r="X33" s="445">
        <f t="shared" si="41"/>
        <v>0.46113989637305697</v>
      </c>
      <c r="Y33" s="445">
        <f t="shared" si="41"/>
        <v>0.46113989637305697</v>
      </c>
      <c r="Z33" s="445">
        <f t="shared" si="41"/>
        <v>0.54922279792746109</v>
      </c>
      <c r="AA33" s="445">
        <f t="shared" si="41"/>
        <v>0.54922279792746109</v>
      </c>
      <c r="AB33" s="445">
        <f t="shared" si="41"/>
        <v>0.54922279792746109</v>
      </c>
      <c r="AC33" s="445">
        <f t="shared" si="41"/>
        <v>0.62176165803108807</v>
      </c>
      <c r="AD33" s="445">
        <f t="shared" si="41"/>
        <v>0.62176165803108807</v>
      </c>
      <c r="AE33" s="445">
        <f t="shared" si="41"/>
        <v>0.62176165803108807</v>
      </c>
      <c r="AF33" s="445">
        <f t="shared" si="41"/>
        <v>0.62176165803108807</v>
      </c>
      <c r="AG33" s="445">
        <f t="shared" si="41"/>
        <v>0.62176165803108807</v>
      </c>
      <c r="AH33" s="445">
        <f t="shared" ref="AH33:BM33" si="42">IF($CU$7=0,0,AH30/$CU$7)</f>
        <v>0.62176165803108807</v>
      </c>
      <c r="AI33" s="445">
        <f t="shared" si="42"/>
        <v>0.62176165803108807</v>
      </c>
      <c r="AJ33" s="445">
        <f t="shared" si="42"/>
        <v>0.67357512953367871</v>
      </c>
      <c r="AK33" s="445">
        <f t="shared" si="42"/>
        <v>0.67357512953367871</v>
      </c>
      <c r="AL33" s="445">
        <f t="shared" si="42"/>
        <v>0.71502590673575128</v>
      </c>
      <c r="AM33" s="445">
        <f t="shared" si="42"/>
        <v>0.71502590673575128</v>
      </c>
      <c r="AN33" s="445">
        <f t="shared" si="42"/>
        <v>0.71502590673575128</v>
      </c>
      <c r="AO33" s="445">
        <f t="shared" si="42"/>
        <v>0.71502590673575128</v>
      </c>
      <c r="AP33" s="445">
        <f t="shared" si="42"/>
        <v>0.71502590673575128</v>
      </c>
      <c r="AQ33" s="445">
        <f t="shared" si="42"/>
        <v>0.772020725388601</v>
      </c>
      <c r="AR33" s="445">
        <f t="shared" si="42"/>
        <v>0.772020725388601</v>
      </c>
      <c r="AS33" s="445">
        <f t="shared" si="42"/>
        <v>0.772020725388601</v>
      </c>
      <c r="AT33" s="445">
        <f t="shared" si="42"/>
        <v>0.772020725388601</v>
      </c>
      <c r="AU33" s="445">
        <f t="shared" si="42"/>
        <v>0.772020725388601</v>
      </c>
      <c r="AV33" s="445">
        <f t="shared" si="42"/>
        <v>0.772020725388601</v>
      </c>
      <c r="AW33" s="445">
        <f t="shared" si="42"/>
        <v>0.772020725388601</v>
      </c>
      <c r="AX33" s="445">
        <f t="shared" si="42"/>
        <v>0.772020725388601</v>
      </c>
      <c r="AY33" s="445">
        <f t="shared" si="42"/>
        <v>0.80829015544041449</v>
      </c>
      <c r="AZ33" s="445">
        <f t="shared" si="42"/>
        <v>0.81865284974093266</v>
      </c>
      <c r="BA33" s="445">
        <f t="shared" si="42"/>
        <v>0.81865284974093266</v>
      </c>
      <c r="BB33" s="445">
        <f t="shared" si="42"/>
        <v>0.84455958549222798</v>
      </c>
      <c r="BC33" s="445">
        <f t="shared" si="42"/>
        <v>0.84455958549222798</v>
      </c>
      <c r="BD33" s="445">
        <f t="shared" si="42"/>
        <v>0.84455958549222798</v>
      </c>
      <c r="BE33" s="445">
        <f t="shared" si="42"/>
        <v>0.84455958549222798</v>
      </c>
      <c r="BF33" s="445">
        <f t="shared" si="42"/>
        <v>0.84455958549222798</v>
      </c>
      <c r="BG33" s="445">
        <f t="shared" si="42"/>
        <v>0.90673575129533679</v>
      </c>
      <c r="BH33" s="445">
        <f t="shared" si="42"/>
        <v>0.90673575129533679</v>
      </c>
      <c r="BI33" s="445">
        <f t="shared" si="42"/>
        <v>0.91709844559585496</v>
      </c>
      <c r="BJ33" s="445">
        <f t="shared" si="42"/>
        <v>0.91709844559585496</v>
      </c>
      <c r="BK33" s="445">
        <f t="shared" si="42"/>
        <v>0.91709844559585496</v>
      </c>
      <c r="BL33" s="445">
        <f t="shared" si="42"/>
        <v>0.93782383419689119</v>
      </c>
      <c r="BM33" s="445">
        <f t="shared" si="42"/>
        <v>0.95336787564766834</v>
      </c>
      <c r="BN33" s="445">
        <f t="shared" ref="BN33:CT33" si="43">IF($CU$7=0,0,BN30/$CU$7)</f>
        <v>0.9689119170984456</v>
      </c>
      <c r="BO33" s="445">
        <f t="shared" si="43"/>
        <v>0.9689119170984456</v>
      </c>
      <c r="BP33" s="445">
        <f t="shared" si="43"/>
        <v>1</v>
      </c>
      <c r="BQ33" s="445">
        <f t="shared" si="43"/>
        <v>1</v>
      </c>
      <c r="BR33" s="445">
        <f t="shared" si="43"/>
        <v>1</v>
      </c>
      <c r="BS33" s="445">
        <f t="shared" si="43"/>
        <v>1</v>
      </c>
      <c r="BT33" s="445">
        <f t="shared" si="43"/>
        <v>1</v>
      </c>
      <c r="BU33" s="445">
        <f t="shared" si="43"/>
        <v>1</v>
      </c>
      <c r="BV33" s="445">
        <f t="shared" si="43"/>
        <v>1</v>
      </c>
      <c r="BW33" s="445">
        <f t="shared" si="43"/>
        <v>1</v>
      </c>
      <c r="BX33" s="445">
        <f t="shared" si="43"/>
        <v>1</v>
      </c>
      <c r="BY33" s="445">
        <f t="shared" si="43"/>
        <v>1</v>
      </c>
      <c r="BZ33" s="445">
        <f t="shared" si="43"/>
        <v>1</v>
      </c>
      <c r="CA33" s="445">
        <f t="shared" si="43"/>
        <v>1</v>
      </c>
      <c r="CB33" s="445">
        <f t="shared" si="43"/>
        <v>1</v>
      </c>
      <c r="CC33" s="445">
        <f t="shared" si="43"/>
        <v>1</v>
      </c>
      <c r="CD33" s="445">
        <f t="shared" si="43"/>
        <v>1</v>
      </c>
      <c r="CE33" s="445">
        <f t="shared" si="43"/>
        <v>1</v>
      </c>
      <c r="CF33" s="445">
        <f t="shared" si="43"/>
        <v>1</v>
      </c>
      <c r="CG33" s="445">
        <f t="shared" si="43"/>
        <v>1</v>
      </c>
      <c r="CH33" s="445">
        <f t="shared" si="43"/>
        <v>1</v>
      </c>
      <c r="CI33" s="445">
        <f t="shared" si="43"/>
        <v>1</v>
      </c>
      <c r="CJ33" s="445">
        <f t="shared" si="43"/>
        <v>1</v>
      </c>
      <c r="CK33" s="445">
        <f t="shared" si="43"/>
        <v>1</v>
      </c>
      <c r="CL33" s="445">
        <f t="shared" si="43"/>
        <v>1</v>
      </c>
      <c r="CM33" s="445">
        <f t="shared" si="43"/>
        <v>1</v>
      </c>
      <c r="CN33" s="445">
        <f t="shared" si="43"/>
        <v>1</v>
      </c>
      <c r="CO33" s="445">
        <f t="shared" si="43"/>
        <v>1</v>
      </c>
      <c r="CP33" s="445">
        <f t="shared" si="43"/>
        <v>1</v>
      </c>
      <c r="CQ33" s="445">
        <f t="shared" si="43"/>
        <v>1</v>
      </c>
      <c r="CR33" s="445">
        <f t="shared" si="43"/>
        <v>1</v>
      </c>
      <c r="CS33" s="445">
        <f t="shared" si="43"/>
        <v>1</v>
      </c>
      <c r="CT33" s="445">
        <f t="shared" si="43"/>
        <v>1</v>
      </c>
      <c r="CU33" s="430">
        <f>IF(CU7=0,"-",CU30/CU7)</f>
        <v>1</v>
      </c>
    </row>
    <row r="34" spans="1:99">
      <c r="BJ34" s="423"/>
    </row>
    <row r="35" spans="1:99">
      <c r="A35" s="423" t="s">
        <v>326</v>
      </c>
      <c r="BJ35" s="423"/>
    </row>
    <row r="41" spans="1:99" hidden="1"/>
    <row r="42" spans="1:99" ht="15" hidden="1" customHeight="1">
      <c r="B42" s="446">
        <v>46056</v>
      </c>
      <c r="C42" s="446">
        <v>46057</v>
      </c>
      <c r="D42" s="446">
        <v>46058</v>
      </c>
      <c r="E42" s="446">
        <v>46059</v>
      </c>
      <c r="F42" s="446">
        <v>46060</v>
      </c>
      <c r="G42" s="446">
        <v>46061</v>
      </c>
      <c r="H42" s="446">
        <v>46062</v>
      </c>
      <c r="I42" s="446">
        <v>46063</v>
      </c>
      <c r="J42" s="446">
        <v>46064</v>
      </c>
      <c r="K42" s="446">
        <v>46065</v>
      </c>
      <c r="L42" s="446">
        <v>46066</v>
      </c>
      <c r="M42" s="446">
        <v>46067</v>
      </c>
      <c r="N42" s="446">
        <v>46068</v>
      </c>
      <c r="O42" s="446">
        <v>46069</v>
      </c>
      <c r="P42" s="446">
        <v>46070</v>
      </c>
      <c r="Q42" s="446">
        <v>46071</v>
      </c>
      <c r="R42" s="446">
        <v>46072</v>
      </c>
      <c r="S42" s="446">
        <v>46073</v>
      </c>
      <c r="T42" s="446">
        <v>46074</v>
      </c>
      <c r="U42" s="446">
        <v>46075</v>
      </c>
      <c r="V42" s="446">
        <v>46076</v>
      </c>
      <c r="W42" s="446">
        <v>46077</v>
      </c>
      <c r="X42" s="446">
        <v>46078</v>
      </c>
      <c r="Y42" s="446">
        <v>46079</v>
      </c>
      <c r="Z42" s="446">
        <v>46080</v>
      </c>
      <c r="AA42" s="446">
        <v>46081</v>
      </c>
      <c r="AB42" s="446">
        <v>46082</v>
      </c>
      <c r="AC42" s="446">
        <v>46083</v>
      </c>
      <c r="AD42" s="446">
        <v>46084</v>
      </c>
      <c r="AE42" s="446">
        <v>46085</v>
      </c>
      <c r="AF42" s="446">
        <v>46086</v>
      </c>
      <c r="AG42" s="446">
        <v>46087</v>
      </c>
      <c r="AH42" s="446">
        <v>46088</v>
      </c>
      <c r="AI42" s="446">
        <v>46089</v>
      </c>
      <c r="AJ42" s="446">
        <v>46090</v>
      </c>
      <c r="AK42" s="446">
        <v>46091</v>
      </c>
      <c r="AL42" s="446">
        <v>46092</v>
      </c>
      <c r="AM42" s="446">
        <v>46093</v>
      </c>
      <c r="AN42" s="446">
        <v>46094</v>
      </c>
      <c r="AO42" s="446">
        <v>46095</v>
      </c>
      <c r="AP42" s="446">
        <v>46096</v>
      </c>
      <c r="AQ42" s="446">
        <v>46097</v>
      </c>
      <c r="AR42" s="446">
        <v>46098</v>
      </c>
      <c r="AS42" s="446">
        <v>46099</v>
      </c>
      <c r="AT42" s="446">
        <v>46100</v>
      </c>
      <c r="AU42" s="446">
        <v>46101</v>
      </c>
      <c r="AV42" s="446">
        <v>46102</v>
      </c>
      <c r="AW42" s="446">
        <v>46103</v>
      </c>
      <c r="AX42" s="446">
        <v>46104</v>
      </c>
      <c r="AY42" s="446">
        <v>46105</v>
      </c>
      <c r="AZ42" s="446">
        <v>46106</v>
      </c>
      <c r="BA42" s="446">
        <v>46107</v>
      </c>
      <c r="BB42" s="446">
        <v>46108</v>
      </c>
      <c r="BC42" s="446">
        <v>46109</v>
      </c>
      <c r="BD42" s="446">
        <v>46110</v>
      </c>
      <c r="BE42" s="446">
        <v>46111</v>
      </c>
      <c r="BF42" s="446">
        <v>46112</v>
      </c>
      <c r="BG42" s="446">
        <v>46113</v>
      </c>
      <c r="BH42" s="446">
        <v>46114</v>
      </c>
      <c r="BI42" s="446">
        <v>46115</v>
      </c>
      <c r="BJ42" s="446">
        <v>46116</v>
      </c>
      <c r="BK42" s="446">
        <v>46117</v>
      </c>
      <c r="BL42" s="446">
        <v>46118</v>
      </c>
      <c r="BM42" s="446">
        <v>46119</v>
      </c>
      <c r="BN42" s="446">
        <v>46120</v>
      </c>
      <c r="BO42" s="446">
        <v>46121</v>
      </c>
      <c r="BP42" s="446">
        <v>46122</v>
      </c>
      <c r="BQ42" s="446">
        <v>46123</v>
      </c>
      <c r="BR42" s="446">
        <v>46124</v>
      </c>
      <c r="BS42" s="446">
        <v>46125</v>
      </c>
      <c r="BT42" s="446">
        <v>46126</v>
      </c>
      <c r="BU42" s="446">
        <v>46127</v>
      </c>
      <c r="BV42" s="446">
        <v>46128</v>
      </c>
      <c r="BW42" s="446">
        <v>46129</v>
      </c>
      <c r="BX42" s="446">
        <v>46130</v>
      </c>
      <c r="BY42" s="446">
        <v>46131</v>
      </c>
      <c r="BZ42" s="446">
        <v>46132</v>
      </c>
      <c r="CA42" s="446">
        <v>46133</v>
      </c>
      <c r="CB42" s="446">
        <v>46134</v>
      </c>
      <c r="CC42" s="446">
        <v>46135</v>
      </c>
      <c r="CD42" s="446">
        <v>46136</v>
      </c>
      <c r="CE42" s="446">
        <v>46137</v>
      </c>
      <c r="CF42" s="446">
        <v>46138</v>
      </c>
      <c r="CG42" s="446">
        <v>46139</v>
      </c>
      <c r="CH42" s="446">
        <v>46140</v>
      </c>
      <c r="CI42" s="446">
        <v>46141</v>
      </c>
      <c r="CJ42" s="446">
        <v>46142</v>
      </c>
      <c r="CK42" s="446">
        <v>46143</v>
      </c>
      <c r="CL42" s="446">
        <v>46144</v>
      </c>
      <c r="CM42" s="446">
        <v>46145</v>
      </c>
      <c r="CN42" s="446">
        <v>46146</v>
      </c>
      <c r="CO42" s="446">
        <v>46147</v>
      </c>
      <c r="CP42" s="446">
        <v>46148</v>
      </c>
      <c r="CQ42" s="446">
        <v>46149</v>
      </c>
      <c r="CR42" s="446">
        <v>46150</v>
      </c>
      <c r="CS42" s="446">
        <v>46151</v>
      </c>
      <c r="CT42" s="446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zoomScale="80" zoomScaleNormal="80" workbookViewId="0">
      <selection activeCell="P7" sqref="P7"/>
    </sheetView>
  </sheetViews>
  <sheetFormatPr defaultColWidth="8.6640625" defaultRowHeight="14.4"/>
  <cols>
    <col min="1" max="1" width="26" style="423" customWidth="1"/>
    <col min="2" max="5" width="12" style="423" customWidth="1"/>
    <col min="6" max="6" width="11.5546875" style="423" customWidth="1"/>
    <col min="7" max="7" width="12" style="423" customWidth="1"/>
    <col min="8" max="8" width="11.33203125" style="423" customWidth="1"/>
    <col min="9" max="9" width="10.88671875" style="423" customWidth="1"/>
    <col min="10" max="10" width="10.109375" style="423" customWidth="1"/>
    <col min="11" max="15" width="10.6640625" style="423" customWidth="1"/>
    <col min="16" max="16384" width="8.6640625" style="423"/>
  </cols>
  <sheetData>
    <row r="1" spans="1:16" ht="30" customHeight="1">
      <c r="A1" s="780" t="s">
        <v>327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780"/>
      <c r="O1" s="780"/>
      <c r="P1" s="780"/>
    </row>
    <row r="2" spans="1:16" ht="18" customHeight="1">
      <c r="A2" s="782" t="s">
        <v>328</v>
      </c>
      <c r="B2" s="782"/>
      <c r="C2" s="782"/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</row>
    <row r="4" spans="1:16" ht="31.2">
      <c r="A4" s="513"/>
      <c r="B4" s="513" t="str">
        <f>'HQ-รายสัปดาห์'!B4</f>
        <v>W.1
(2/2-8/2)</v>
      </c>
      <c r="C4" s="513" t="str">
        <f>'HQ-รายสัปดาห์'!C4</f>
        <v>W.2
(9/2-15/2)</v>
      </c>
      <c r="D4" s="513" t="str">
        <f>'HQ-รายสัปดาห์'!D4</f>
        <v>W.3
(16/2-22/2)</v>
      </c>
      <c r="E4" s="513" t="str">
        <f>'HQ-รายสัปดาห์'!E4</f>
        <v>W.4
(23/2-1/3)</v>
      </c>
      <c r="F4" s="513" t="str">
        <f>'HQ-รายสัปดาห์'!F4</f>
        <v>W.5
(2/3-8/3)</v>
      </c>
      <c r="G4" s="513" t="str">
        <f>'HQ-รายสัปดาห์'!G4</f>
        <v>W.6
(9/3-15/3)</v>
      </c>
      <c r="H4" s="513" t="str">
        <f>'HQ-รายสัปดาห์'!H4</f>
        <v>W.7
(16/3-22/3)</v>
      </c>
      <c r="I4" s="513" t="str">
        <f>'HQ-รายสัปดาห์'!I4</f>
        <v>W.8
(23/3-29/3)</v>
      </c>
      <c r="J4" s="513" t="str">
        <f>'HQ-รายสัปดาห์'!J4</f>
        <v>W.9
(30/3-5/4)</v>
      </c>
      <c r="K4" s="513" t="str">
        <f>'HQ-รายสัปดาห์'!K4</f>
        <v>W.10
(6/4-12/4)</v>
      </c>
      <c r="L4" s="513" t="str">
        <f>'HQ-รายสัปดาห์'!L4</f>
        <v>W.11
(13/4-19/4)</v>
      </c>
      <c r="M4" s="513" t="str">
        <f>'HQ-รายสัปดาห์'!M4</f>
        <v>W.12
(20/4-26/4)</v>
      </c>
      <c r="N4" s="513" t="str">
        <f>'HQ-รายสัปดาห์'!N4</f>
        <v>W.13
(27/4-3/5)</v>
      </c>
      <c r="O4" s="513" t="str">
        <f>'HQ-รายสัปดาห์'!O4</f>
        <v>W.14
(4/5-10/5)</v>
      </c>
      <c r="P4" s="513" t="s">
        <v>29</v>
      </c>
    </row>
    <row r="5" spans="1:16" ht="18" customHeight="1">
      <c r="A5" s="447" t="s">
        <v>306</v>
      </c>
      <c r="B5" s="518">
        <f>'HQ-รายสัปดาห์'!B7</f>
        <v>35</v>
      </c>
      <c r="C5" s="518">
        <f>'HQ-รายสัปดาห์'!C7</f>
        <v>10</v>
      </c>
      <c r="D5" s="518">
        <f>'HQ-รายสัปดาห์'!D7</f>
        <v>9</v>
      </c>
      <c r="E5" s="518">
        <f>'HQ-รายสัปดาห์'!E7</f>
        <v>52</v>
      </c>
      <c r="F5" s="518">
        <f>'HQ-รายสัปดาห์'!F7</f>
        <v>14</v>
      </c>
      <c r="G5" s="518">
        <f>'HQ-รายสัปดาห์'!G7</f>
        <v>18</v>
      </c>
      <c r="H5" s="518">
        <f>'HQ-รายสัปดาห์'!H7</f>
        <v>11</v>
      </c>
      <c r="I5" s="518">
        <f>'HQ-รายสัปดาห์'!I7</f>
        <v>14</v>
      </c>
      <c r="J5" s="518">
        <f>'HQ-รายสัปดาห์'!J7</f>
        <v>14</v>
      </c>
      <c r="K5" s="518">
        <f>'HQ-รายสัปดาห์'!K7</f>
        <v>16</v>
      </c>
      <c r="L5" s="518">
        <f>'HQ-รายสัปดาห์'!L7</f>
        <v>0</v>
      </c>
      <c r="M5" s="518">
        <f>'HQ-รายสัปดาห์'!M7</f>
        <v>0</v>
      </c>
      <c r="N5" s="518">
        <f>'HQ-รายสัปดาห์'!N7</f>
        <v>0</v>
      </c>
      <c r="O5" s="518">
        <f>'HQ-รายสัปดาห์'!O7</f>
        <v>0</v>
      </c>
      <c r="P5" s="518">
        <f>SUM(B5:O5)</f>
        <v>193</v>
      </c>
    </row>
    <row r="6" spans="1:16" ht="18" customHeight="1">
      <c r="A6" s="449" t="s">
        <v>329</v>
      </c>
      <c r="B6" s="519">
        <f>'HQ-รายสัปดาห์'!B12</f>
        <v>27</v>
      </c>
      <c r="C6" s="519">
        <f>'HQ-รายสัปดาห์'!C12</f>
        <v>10</v>
      </c>
      <c r="D6" s="519">
        <f>'HQ-รายสัปดาห์'!D12</f>
        <v>9</v>
      </c>
      <c r="E6" s="519">
        <f>'HQ-รายสัปดาห์'!E12</f>
        <v>52</v>
      </c>
      <c r="F6" s="519">
        <f>'HQ-รายสัปดาห์'!F12</f>
        <v>14</v>
      </c>
      <c r="G6" s="519">
        <f>'HQ-รายสัปดาห์'!G12</f>
        <v>18</v>
      </c>
      <c r="H6" s="519">
        <f>'HQ-รายสัปดาห์'!H12</f>
        <v>11</v>
      </c>
      <c r="I6" s="519">
        <f>'HQ-รายสัปดาห์'!I12</f>
        <v>11</v>
      </c>
      <c r="J6" s="519">
        <f>'HQ-รายสัปดาห์'!J12</f>
        <v>0</v>
      </c>
      <c r="K6" s="519">
        <f>'HQ-รายสัปดาห์'!K12</f>
        <v>6</v>
      </c>
      <c r="L6" s="519"/>
      <c r="M6" s="519"/>
      <c r="N6" s="519"/>
      <c r="O6" s="519"/>
      <c r="P6" s="450">
        <f>SUM(B6:O6)</f>
        <v>158</v>
      </c>
    </row>
    <row r="7" spans="1:16" ht="18" customHeight="1">
      <c r="A7" s="449" t="s">
        <v>330</v>
      </c>
      <c r="B7" s="519">
        <f>'HQ-รายสัปดาห์'!B17</f>
        <v>27</v>
      </c>
      <c r="C7" s="519">
        <f>'HQ-รายสัปดาห์'!C17</f>
        <v>10</v>
      </c>
      <c r="D7" s="519">
        <f>'HQ-รายสัปดาห์'!D17</f>
        <v>9</v>
      </c>
      <c r="E7" s="519">
        <f>'HQ-รายสัปดาห์'!E17</f>
        <v>52</v>
      </c>
      <c r="F7" s="519">
        <f>'HQ-รายสัปดาห์'!F17</f>
        <v>14</v>
      </c>
      <c r="G7" s="519">
        <f>'HQ-รายสัปดาห์'!G17</f>
        <v>18</v>
      </c>
      <c r="H7" s="519">
        <f>'HQ-รายสัปดาห์'!H17</f>
        <v>11</v>
      </c>
      <c r="I7" s="519">
        <f>'HQ-รายสัปดาห์'!I17</f>
        <v>11</v>
      </c>
      <c r="J7" s="519">
        <f>'HQ-รายสัปดาห์'!J17</f>
        <v>0</v>
      </c>
      <c r="K7" s="519">
        <f>'HQ-รายสัปดาห์'!K17</f>
        <v>6</v>
      </c>
      <c r="L7" s="519"/>
      <c r="M7" s="519"/>
      <c r="N7" s="519"/>
      <c r="O7" s="519"/>
      <c r="P7" s="450">
        <f t="shared" ref="P7:P8" si="0">SUM(B7:O7)</f>
        <v>158</v>
      </c>
    </row>
    <row r="8" spans="1:16" ht="18" customHeight="1">
      <c r="A8" s="449" t="s">
        <v>331</v>
      </c>
      <c r="B8" s="519">
        <f>'HQ-รายสัปดาห์'!B22</f>
        <v>22</v>
      </c>
      <c r="C8" s="519">
        <f>'HQ-รายสัปดาห์'!C22</f>
        <v>10</v>
      </c>
      <c r="D8" s="519">
        <f>'HQ-รายสัปดาห์'!D22</f>
        <v>9</v>
      </c>
      <c r="E8" s="519">
        <f>'HQ-รายสัปดาห์'!E22</f>
        <v>52</v>
      </c>
      <c r="F8" s="519">
        <f>'HQ-รายสัปดาห์'!F22</f>
        <v>14</v>
      </c>
      <c r="G8" s="519">
        <f>'HQ-รายสัปดาห์'!G22</f>
        <v>18</v>
      </c>
      <c r="H8" s="519">
        <f>'HQ-รายสัปดาห์'!H22</f>
        <v>11</v>
      </c>
      <c r="I8" s="519">
        <f>'HQ-รายสัปดาห์'!I22</f>
        <v>11</v>
      </c>
      <c r="J8" s="519">
        <f>'HQ-รายสัปดาห์'!J22</f>
        <v>0</v>
      </c>
      <c r="K8" s="519">
        <f>'HQ-รายสัปดาห์'!K22</f>
        <v>6</v>
      </c>
      <c r="L8" s="519"/>
      <c r="M8" s="519"/>
      <c r="N8" s="519"/>
      <c r="O8" s="519"/>
      <c r="P8" s="450">
        <f t="shared" si="0"/>
        <v>153</v>
      </c>
    </row>
    <row r="9" spans="1:16" ht="18" customHeight="1">
      <c r="A9" s="449" t="s">
        <v>332</v>
      </c>
      <c r="B9" s="450">
        <f>'HQ-รายสัปดาห์'!B31</f>
        <v>22</v>
      </c>
      <c r="C9" s="450">
        <f>'HQ-รายสัปดาห์'!C31</f>
        <v>32</v>
      </c>
      <c r="D9" s="450">
        <f>'HQ-รายสัปดาห์'!D31</f>
        <v>41</v>
      </c>
      <c r="E9" s="450">
        <f>'HQ-รายสัปดาห์'!E31</f>
        <v>93</v>
      </c>
      <c r="F9" s="450">
        <f>'HQ-รายสัปดาห์'!F31</f>
        <v>107</v>
      </c>
      <c r="G9" s="450">
        <f>'HQ-รายสัปดาห์'!G31</f>
        <v>125</v>
      </c>
      <c r="H9" s="450">
        <f>'HQ-รายสัปดาห์'!H31</f>
        <v>136</v>
      </c>
      <c r="I9" s="450">
        <f>'HQ-รายสัปดาห์'!I31</f>
        <v>147</v>
      </c>
      <c r="J9" s="450">
        <f>'HQ-รายสัปดาห์'!J31</f>
        <v>147</v>
      </c>
      <c r="K9" s="450">
        <f>'HQ-รายสัปดาห์'!K31</f>
        <v>153</v>
      </c>
      <c r="L9" s="450"/>
      <c r="M9" s="450"/>
      <c r="N9" s="450"/>
      <c r="O9" s="450"/>
      <c r="P9" s="450"/>
    </row>
    <row r="10" spans="1:16" ht="18" customHeight="1">
      <c r="A10" s="453" t="s">
        <v>312</v>
      </c>
      <c r="B10" s="650">
        <f>'HQ-รายสัปดาห์'!B23</f>
        <v>0</v>
      </c>
      <c r="C10" s="650">
        <f>'HQ-รายสัปดาห์'!C23</f>
        <v>0</v>
      </c>
      <c r="D10" s="650">
        <f>'HQ-รายสัปดาห์'!D23</f>
        <v>0</v>
      </c>
      <c r="E10" s="650">
        <f>'HQ-รายสัปดาห์'!E23</f>
        <v>0</v>
      </c>
      <c r="F10" s="650">
        <f>'HQ-รายสัปดาห์'!F23</f>
        <v>0</v>
      </c>
      <c r="G10" s="650">
        <f>'HQ-รายสัปดาห์'!G23</f>
        <v>0</v>
      </c>
      <c r="H10" s="650">
        <f>'HQ-รายสัปดาห์'!H23</f>
        <v>0</v>
      </c>
      <c r="I10" s="650">
        <f>'HQ-รายสัปดาห์'!I23</f>
        <v>0</v>
      </c>
      <c r="J10" s="650">
        <f>'HQ-รายสัปดาห์'!J23</f>
        <v>0</v>
      </c>
      <c r="K10" s="650">
        <f>'HQ-รายสัปดาห์'!K23</f>
        <v>0</v>
      </c>
      <c r="L10" s="650"/>
      <c r="M10" s="650"/>
      <c r="N10" s="650"/>
      <c r="O10" s="650"/>
      <c r="P10" s="661">
        <f>SUM(B10:O10)</f>
        <v>0</v>
      </c>
    </row>
    <row r="11" spans="1:16" ht="18" customHeight="1">
      <c r="A11" s="453" t="s">
        <v>313</v>
      </c>
      <c r="B11" s="650">
        <f>'HQ-รายสัปดาห์'!B24</f>
        <v>13</v>
      </c>
      <c r="C11" s="650">
        <f>'HQ-รายสัปดาห์'!C24</f>
        <v>0</v>
      </c>
      <c r="D11" s="650">
        <f>'HQ-รายสัปดาห์'!D24</f>
        <v>0</v>
      </c>
      <c r="E11" s="650">
        <f>'HQ-รายสัปดาห์'!E24</f>
        <v>0</v>
      </c>
      <c r="F11" s="650">
        <f>'HQ-รายสัปดาห์'!F24</f>
        <v>0</v>
      </c>
      <c r="G11" s="650">
        <f>'HQ-รายสัปดาห์'!G24</f>
        <v>0</v>
      </c>
      <c r="H11" s="650">
        <f>'HQ-รายสัปดาห์'!H24</f>
        <v>0</v>
      </c>
      <c r="I11" s="650">
        <f>'HQ-รายสัปดาห์'!I24</f>
        <v>3</v>
      </c>
      <c r="J11" s="650">
        <f>'HQ-รายสัปดาห์'!J24</f>
        <v>14</v>
      </c>
      <c r="K11" s="650">
        <f>'HQ-รายสัปดาห์'!K24</f>
        <v>10</v>
      </c>
      <c r="L11" s="650"/>
      <c r="M11" s="650"/>
      <c r="N11" s="650"/>
      <c r="O11" s="650"/>
      <c r="P11" s="661">
        <f>SUM(B11:O11)</f>
        <v>40</v>
      </c>
    </row>
    <row r="12" spans="1:16" ht="18" customHeight="1">
      <c r="A12" s="451" t="s">
        <v>333</v>
      </c>
      <c r="B12" s="520">
        <f>'HQ-รายสัปดาห์'!B28</f>
        <v>0.72380952380952379</v>
      </c>
      <c r="C12" s="520">
        <f>'HQ-รายสัปดาห์'!C28</f>
        <v>1</v>
      </c>
      <c r="D12" s="520">
        <f>'HQ-รายสัปดาห์'!D28</f>
        <v>1</v>
      </c>
      <c r="E12" s="520">
        <f>'HQ-รายสัปดาห์'!E28</f>
        <v>1</v>
      </c>
      <c r="F12" s="520">
        <f>'HQ-รายสัปดาห์'!F28</f>
        <v>1</v>
      </c>
      <c r="G12" s="520">
        <f>'HQ-รายสัปดาห์'!G28</f>
        <v>1</v>
      </c>
      <c r="H12" s="520">
        <f>'HQ-รายสัปดาห์'!H28</f>
        <v>1</v>
      </c>
      <c r="I12" s="520">
        <f>'HQ-รายสัปดาห์'!I28</f>
        <v>0.7857142857142857</v>
      </c>
      <c r="J12" s="520">
        <f>'HQ-รายสัปดาห์'!J28</f>
        <v>0</v>
      </c>
      <c r="K12" s="520">
        <f>'HQ-รายสัปดาห์'!K28</f>
        <v>0.375</v>
      </c>
      <c r="L12" s="520"/>
      <c r="M12" s="520"/>
      <c r="N12" s="520"/>
      <c r="O12" s="520"/>
      <c r="P12" s="520"/>
    </row>
    <row r="13" spans="1:16" ht="18" customHeight="1">
      <c r="A13" s="453" t="s">
        <v>334</v>
      </c>
      <c r="B13" s="521">
        <f>'HQ-รายสัปดาห์'!B33</f>
        <v>0.18134715025906736</v>
      </c>
      <c r="C13" s="521">
        <f>'HQ-รายสัปดาห์'!C33</f>
        <v>0.23316062176165803</v>
      </c>
      <c r="D13" s="521">
        <f>'HQ-รายสัปดาห์'!D33</f>
        <v>0.27979274611398963</v>
      </c>
      <c r="E13" s="521">
        <f>'HQ-รายสัปดาห์'!E33</f>
        <v>0.54922279792746109</v>
      </c>
      <c r="F13" s="521">
        <f>'HQ-รายสัปดาห์'!F33</f>
        <v>0.62176165803108807</v>
      </c>
      <c r="G13" s="521">
        <f>'HQ-รายสัปดาห์'!G33</f>
        <v>0.71502590673575128</v>
      </c>
      <c r="H13" s="521">
        <f>'HQ-รายสัปดาห์'!H33</f>
        <v>0.772020725388601</v>
      </c>
      <c r="I13" s="521">
        <f>'HQ-รายสัปดาห์'!I33</f>
        <v>0.84455958549222798</v>
      </c>
      <c r="J13" s="521">
        <f>'HQ-รายสัปดาห์'!J33</f>
        <v>0.91709844559585496</v>
      </c>
      <c r="K13" s="521">
        <f>'HQ-รายสัปดาห์'!K33</f>
        <v>1</v>
      </c>
      <c r="L13" s="521">
        <f>'HQ-รายสัปดาห์'!L33</f>
        <v>1</v>
      </c>
      <c r="M13" s="521">
        <f>'HQ-รายสัปดาห์'!M33</f>
        <v>1</v>
      </c>
      <c r="N13" s="521">
        <f>'HQ-รายสัปดาห์'!N33</f>
        <v>1</v>
      </c>
      <c r="O13" s="521">
        <f>'HQ-รายสัปดาห์'!O33</f>
        <v>1</v>
      </c>
      <c r="P13" s="521"/>
    </row>
    <row r="14" spans="1:16" ht="18" customHeight="1">
      <c r="A14" s="453" t="s">
        <v>335</v>
      </c>
      <c r="B14" s="521">
        <f>'HQ-รายสัปดาห์'!B32</f>
        <v>0.11398963730569948</v>
      </c>
      <c r="C14" s="521">
        <f>'HQ-รายสัปดาห์'!C32</f>
        <v>0.16580310880829016</v>
      </c>
      <c r="D14" s="521">
        <f>'HQ-รายสัปดาห์'!D32</f>
        <v>0.21243523316062177</v>
      </c>
      <c r="E14" s="521">
        <f>'HQ-รายสัปดาห์'!E32</f>
        <v>0.48186528497409326</v>
      </c>
      <c r="F14" s="521">
        <f>'HQ-รายสัปดาห์'!F32</f>
        <v>0.55440414507772018</v>
      </c>
      <c r="G14" s="521">
        <f>'HQ-รายสัปดาห์'!G32</f>
        <v>0.64766839378238339</v>
      </c>
      <c r="H14" s="521">
        <f>'HQ-รายสัปดาห์'!H32</f>
        <v>0.70466321243523311</v>
      </c>
      <c r="I14" s="521">
        <f>'HQ-รายสัปดาห์'!I32</f>
        <v>0.76165803108808294</v>
      </c>
      <c r="J14" s="521">
        <f>'HQ-รายสัปดาห์'!J32</f>
        <v>0.76165803108808294</v>
      </c>
      <c r="K14" s="521">
        <f>'HQ-รายสัปดาห์'!K32</f>
        <v>0.79274611398963735</v>
      </c>
      <c r="L14" s="521"/>
      <c r="M14" s="521"/>
      <c r="N14" s="521"/>
      <c r="O14" s="521"/>
      <c r="P14" s="521"/>
    </row>
    <row r="15" spans="1:16" ht="18" customHeight="1">
      <c r="A15" s="522" t="s">
        <v>336</v>
      </c>
      <c r="B15" s="523">
        <f t="shared" ref="B15:G15" si="1">IF(B5=0,0,B6/B5)</f>
        <v>0.77142857142857146</v>
      </c>
      <c r="C15" s="523">
        <f t="shared" si="1"/>
        <v>1</v>
      </c>
      <c r="D15" s="523">
        <f t="shared" si="1"/>
        <v>1</v>
      </c>
      <c r="E15" s="523">
        <f t="shared" si="1"/>
        <v>1</v>
      </c>
      <c r="F15" s="523">
        <f t="shared" si="1"/>
        <v>1</v>
      </c>
      <c r="G15" s="523">
        <f t="shared" si="1"/>
        <v>1</v>
      </c>
      <c r="H15" s="523">
        <f t="shared" ref="H15:I15" si="2">IF(H5=0,0,H6/H5)</f>
        <v>1</v>
      </c>
      <c r="I15" s="523">
        <f t="shared" si="2"/>
        <v>0.7857142857142857</v>
      </c>
      <c r="J15" s="523">
        <f t="shared" ref="J15:K15" si="3">IF(J5=0,0,J6/J5)</f>
        <v>0</v>
      </c>
      <c r="K15" s="523">
        <f t="shared" si="3"/>
        <v>0.375</v>
      </c>
      <c r="L15" s="523"/>
      <c r="M15" s="523"/>
      <c r="N15" s="523"/>
      <c r="O15" s="523"/>
      <c r="P15" s="523"/>
    </row>
    <row r="16" spans="1:16" ht="18" customHeight="1">
      <c r="A16" s="522" t="s">
        <v>337</v>
      </c>
      <c r="B16" s="523">
        <f t="shared" ref="B16:G16" si="4">IF(B5=0,0,B7/B5)</f>
        <v>0.77142857142857146</v>
      </c>
      <c r="C16" s="523">
        <f t="shared" si="4"/>
        <v>1</v>
      </c>
      <c r="D16" s="523">
        <f t="shared" si="4"/>
        <v>1</v>
      </c>
      <c r="E16" s="523">
        <f t="shared" si="4"/>
        <v>1</v>
      </c>
      <c r="F16" s="523">
        <f t="shared" si="4"/>
        <v>1</v>
      </c>
      <c r="G16" s="523">
        <f t="shared" si="4"/>
        <v>1</v>
      </c>
      <c r="H16" s="523">
        <f t="shared" ref="H16:I16" si="5">IF(H5=0,0,H7/H5)</f>
        <v>1</v>
      </c>
      <c r="I16" s="523">
        <f t="shared" si="5"/>
        <v>0.7857142857142857</v>
      </c>
      <c r="J16" s="523">
        <f t="shared" ref="J16:K16" si="6">IF(J5=0,0,J7/J5)</f>
        <v>0</v>
      </c>
      <c r="K16" s="523">
        <f t="shared" si="6"/>
        <v>0.375</v>
      </c>
      <c r="L16" s="523"/>
      <c r="M16" s="523"/>
      <c r="N16" s="523"/>
      <c r="O16" s="523"/>
      <c r="P16" s="523"/>
    </row>
    <row r="17" spans="1:16" ht="18" customHeight="1">
      <c r="A17" s="522" t="s">
        <v>338</v>
      </c>
      <c r="B17" s="523">
        <f t="shared" ref="B17:G17" si="7">IF(B5=0,0,B8/B5)</f>
        <v>0.62857142857142856</v>
      </c>
      <c r="C17" s="523">
        <f t="shared" si="7"/>
        <v>1</v>
      </c>
      <c r="D17" s="523">
        <f t="shared" si="7"/>
        <v>1</v>
      </c>
      <c r="E17" s="523">
        <f t="shared" si="7"/>
        <v>1</v>
      </c>
      <c r="F17" s="523">
        <f t="shared" si="7"/>
        <v>1</v>
      </c>
      <c r="G17" s="523">
        <f t="shared" si="7"/>
        <v>1</v>
      </c>
      <c r="H17" s="523">
        <f t="shared" ref="H17:I17" si="8">IF(H5=0,0,H8/H5)</f>
        <v>1</v>
      </c>
      <c r="I17" s="523">
        <f t="shared" si="8"/>
        <v>0.7857142857142857</v>
      </c>
      <c r="J17" s="523">
        <f t="shared" ref="J17:K17" si="9">IF(J5=0,0,J8/J5)</f>
        <v>0</v>
      </c>
      <c r="K17" s="523">
        <f t="shared" si="9"/>
        <v>0.375</v>
      </c>
      <c r="L17" s="523"/>
      <c r="M17" s="523"/>
      <c r="N17" s="523"/>
      <c r="O17" s="523"/>
      <c r="P17" s="523"/>
    </row>
    <row r="18" spans="1:16">
      <c r="M18" s="423" t="s">
        <v>339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B6:AY6"/>
    </sheetView>
  </sheetViews>
  <sheetFormatPr defaultColWidth="8.6640625" defaultRowHeight="14.4"/>
  <cols>
    <col min="1" max="1" width="28" style="423" customWidth="1"/>
    <col min="2" max="61" width="6" style="423" customWidth="1"/>
    <col min="62" max="16384" width="8.6640625" style="423"/>
  </cols>
  <sheetData>
    <row r="1" spans="1:61" ht="30" customHeight="1">
      <c r="A1" s="780" t="s">
        <v>340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780"/>
      <c r="O1" s="780"/>
      <c r="P1" s="780"/>
    </row>
    <row r="2" spans="1:61" ht="18" customHeight="1">
      <c r="A2" s="782" t="s">
        <v>341</v>
      </c>
      <c r="B2" s="782"/>
      <c r="C2" s="782"/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</row>
    <row r="4" spans="1:61">
      <c r="A4" s="424" t="s">
        <v>342</v>
      </c>
      <c r="B4" s="524" t="str">
        <f>'HQ-รายวัน'!B4</f>
        <v>3 ก.พ.</v>
      </c>
      <c r="C4" s="524" t="str">
        <f>'HQ-รายวัน'!C4</f>
        <v>4 ก.พ.</v>
      </c>
      <c r="D4" s="524" t="str">
        <f>'HQ-รายวัน'!D4</f>
        <v>5 ก.พ.</v>
      </c>
      <c r="E4" s="524" t="str">
        <f>'HQ-รายวัน'!E4</f>
        <v>6 ก.พ.</v>
      </c>
      <c r="F4" s="524" t="str">
        <f>'HQ-รายวัน'!F4</f>
        <v>7 ก.พ.</v>
      </c>
      <c r="G4" s="524" t="str">
        <f>'HQ-รายวัน'!G4</f>
        <v>8 ก.พ.</v>
      </c>
      <c r="H4" s="524" t="str">
        <f>'HQ-รายวัน'!H4</f>
        <v>9 ก.พ.</v>
      </c>
      <c r="I4" s="524" t="str">
        <f>'HQ-รายวัน'!I4</f>
        <v>10 ก.พ.</v>
      </c>
      <c r="J4" s="524" t="str">
        <f>'HQ-รายวัน'!J4</f>
        <v>11 ก.พ.</v>
      </c>
      <c r="K4" s="524" t="str">
        <f>'HQ-รายวัน'!K4</f>
        <v>12 ก.พ.</v>
      </c>
      <c r="L4" s="524" t="str">
        <f>'HQ-รายวัน'!L4</f>
        <v>13 ก.พ.</v>
      </c>
      <c r="M4" s="524" t="str">
        <f>'HQ-รายวัน'!M4</f>
        <v>14 ก.พ.</v>
      </c>
      <c r="N4" s="524" t="str">
        <f>'HQ-รายวัน'!N4</f>
        <v>15 ก.พ.</v>
      </c>
      <c r="O4" s="524" t="str">
        <f>'HQ-รายวัน'!O4</f>
        <v>16 ก.พ.</v>
      </c>
      <c r="P4" s="524" t="str">
        <f>'HQ-รายวัน'!P4</f>
        <v>17 ก.พ.</v>
      </c>
      <c r="Q4" s="524" t="str">
        <f>'HQ-รายวัน'!Q4</f>
        <v>18 ก.พ.</v>
      </c>
      <c r="R4" s="524" t="str">
        <f>'HQ-รายวัน'!R4</f>
        <v>19 ก.พ.</v>
      </c>
      <c r="S4" s="524" t="str">
        <f>'HQ-รายวัน'!S4</f>
        <v>20 ก.พ.</v>
      </c>
      <c r="T4" s="524" t="str">
        <f>'HQ-รายวัน'!T4</f>
        <v>21 ก.พ.</v>
      </c>
      <c r="U4" s="524" t="str">
        <f>'HQ-รายวัน'!U4</f>
        <v>22 ก.พ.</v>
      </c>
      <c r="V4" s="524" t="str">
        <f>'HQ-รายวัน'!V4</f>
        <v>23 ก.พ.</v>
      </c>
      <c r="W4" s="524" t="str">
        <f>'HQ-รายวัน'!W4</f>
        <v>24 ก.พ.</v>
      </c>
      <c r="X4" s="524" t="str">
        <f>'HQ-รายวัน'!X4</f>
        <v>25 ก.พ.</v>
      </c>
      <c r="Y4" s="524" t="str">
        <f>'HQ-รายวัน'!Y4</f>
        <v>26 ก.พ.</v>
      </c>
      <c r="Z4" s="524" t="str">
        <f>'HQ-รายวัน'!Z4</f>
        <v>27 ก.พ.</v>
      </c>
      <c r="AA4" s="524" t="str">
        <f>'HQ-รายวัน'!AA4</f>
        <v>28 ก.พ.</v>
      </c>
      <c r="AB4" s="524" t="str">
        <f>'HQ-รายวัน'!AB4</f>
        <v>1 มี.ค.</v>
      </c>
      <c r="AC4" s="524" t="str">
        <f>'HQ-รายวัน'!AC4</f>
        <v>2 มี.ค.</v>
      </c>
      <c r="AD4" s="524" t="str">
        <f>'HQ-รายวัน'!AD4</f>
        <v>3 มี.ค.</v>
      </c>
      <c r="AE4" s="524" t="str">
        <f>'HQ-รายวัน'!AE4</f>
        <v>4 มี.ค.</v>
      </c>
      <c r="AF4" s="524" t="str">
        <f>'HQ-รายวัน'!AF4</f>
        <v>5 มี.ค.</v>
      </c>
      <c r="AG4" s="524" t="str">
        <f>'HQ-รายวัน'!AG4</f>
        <v>6 มี.ค.</v>
      </c>
      <c r="AH4" s="524" t="str">
        <f>'HQ-รายวัน'!AH4</f>
        <v>7 มี.ค.</v>
      </c>
      <c r="AI4" s="524" t="str">
        <f>'HQ-รายวัน'!AI4</f>
        <v>8 มี.ค.</v>
      </c>
      <c r="AJ4" s="524" t="str">
        <f>'HQ-รายวัน'!AJ4</f>
        <v>9 มี.ค.</v>
      </c>
      <c r="AK4" s="524" t="str">
        <f>'HQ-รายวัน'!AK4</f>
        <v>10 มี.ค.</v>
      </c>
      <c r="AL4" s="524" t="str">
        <f>'HQ-รายวัน'!AL4</f>
        <v>11 มี.ค.</v>
      </c>
      <c r="AM4" s="524" t="str">
        <f>'HQ-รายวัน'!AM4</f>
        <v>12 มี.ค.</v>
      </c>
      <c r="AN4" s="524" t="str">
        <f>'HQ-รายวัน'!AN4</f>
        <v>13 มี.ค.</v>
      </c>
      <c r="AO4" s="524" t="str">
        <f>'HQ-รายวัน'!AO4</f>
        <v>14 มี.ค.</v>
      </c>
      <c r="AP4" s="524" t="str">
        <f>'HQ-รายวัน'!AP4</f>
        <v>15 มี.ค.</v>
      </c>
      <c r="AQ4" s="524" t="str">
        <f>'HQ-รายวัน'!AQ4</f>
        <v>16 มี.ค.</v>
      </c>
      <c r="AR4" s="524" t="str">
        <f>'HQ-รายวัน'!AR4</f>
        <v>17 มี.ค.</v>
      </c>
      <c r="AS4" s="524" t="str">
        <f>'HQ-รายวัน'!AS4</f>
        <v>18 มี.ค.</v>
      </c>
      <c r="AT4" s="524" t="str">
        <f>'HQ-รายวัน'!AT4</f>
        <v>19 มี.ค.</v>
      </c>
      <c r="AU4" s="524" t="str">
        <f>'HQ-รายวัน'!AU4</f>
        <v>20 มี.ค.</v>
      </c>
      <c r="AV4" s="524" t="str">
        <f>'HQ-รายวัน'!AV4</f>
        <v>21 มี.ค.</v>
      </c>
      <c r="AW4" s="524" t="str">
        <f>'HQ-รายวัน'!AW4</f>
        <v>22 มี.ค.</v>
      </c>
      <c r="AX4" s="524" t="str">
        <f>'HQ-รายวัน'!AX4</f>
        <v>23 มี.ค.</v>
      </c>
      <c r="AY4" s="524" t="str">
        <f>'HQ-รายวัน'!AY4</f>
        <v>24 มี.ค.</v>
      </c>
      <c r="AZ4" s="524" t="str">
        <f>'HQ-รายวัน'!AZ4</f>
        <v>25 มี.ค.</v>
      </c>
      <c r="BA4" s="524" t="str">
        <f>'HQ-รายวัน'!BA4</f>
        <v>26 มี.ค.</v>
      </c>
      <c r="BB4" s="524" t="str">
        <f>'HQ-รายวัน'!BB4</f>
        <v>27 มี.ค.</v>
      </c>
      <c r="BC4" s="524" t="str">
        <f>'HQ-รายวัน'!BC4</f>
        <v>28 มี.ค.</v>
      </c>
      <c r="BD4" s="524" t="str">
        <f>'HQ-รายวัน'!BD4</f>
        <v>29 มี.ค.</v>
      </c>
      <c r="BE4" s="524" t="str">
        <f>'HQ-รายวัน'!BE4</f>
        <v>30 มี.ค.</v>
      </c>
      <c r="BF4" s="524" t="str">
        <f>'HQ-รายวัน'!BF4</f>
        <v>31 มี.ค.</v>
      </c>
      <c r="BG4" s="524" t="str">
        <f>'HQ-รายวัน'!BG4</f>
        <v>1 เม.ย.</v>
      </c>
      <c r="BH4" s="524" t="str">
        <f>'HQ-รายวัน'!BH4</f>
        <v>2 เม.ย.</v>
      </c>
      <c r="BI4" s="524" t="str">
        <f>'HQ-รายวัน'!BI4</f>
        <v>3 เม.ย.</v>
      </c>
    </row>
    <row r="5" spans="1:61" ht="18" customHeight="1">
      <c r="A5" s="447" t="s">
        <v>306</v>
      </c>
      <c r="B5" s="448">
        <f>'HQ-รายวัน'!B7</f>
        <v>35</v>
      </c>
      <c r="C5" s="448">
        <f>'HQ-รายวัน'!C7</f>
        <v>0</v>
      </c>
      <c r="D5" s="448">
        <f>'HQ-รายวัน'!D7</f>
        <v>0</v>
      </c>
      <c r="E5" s="448">
        <f>'HQ-รายวัน'!E7</f>
        <v>0</v>
      </c>
      <c r="F5" s="448">
        <f>'HQ-รายวัน'!F7</f>
        <v>0</v>
      </c>
      <c r="G5" s="448">
        <f>'HQ-รายวัน'!G7</f>
        <v>0</v>
      </c>
      <c r="H5" s="448">
        <f>'HQ-รายวัน'!H7</f>
        <v>0</v>
      </c>
      <c r="I5" s="448">
        <f>'HQ-รายวัน'!I7</f>
        <v>0</v>
      </c>
      <c r="J5" s="448">
        <f>'HQ-รายวัน'!J7</f>
        <v>10</v>
      </c>
      <c r="K5" s="448">
        <f>'HQ-รายวัน'!K7</f>
        <v>0</v>
      </c>
      <c r="L5" s="448">
        <f>'HQ-รายวัน'!L7</f>
        <v>0</v>
      </c>
      <c r="M5" s="448">
        <f>'HQ-รายวัน'!M7</f>
        <v>0</v>
      </c>
      <c r="N5" s="448">
        <f>'HQ-รายวัน'!N7</f>
        <v>0</v>
      </c>
      <c r="O5" s="448">
        <f>'HQ-รายวัน'!O7</f>
        <v>0</v>
      </c>
      <c r="P5" s="448">
        <f>'HQ-รายวัน'!P7</f>
        <v>0</v>
      </c>
      <c r="Q5" s="448">
        <f>'HQ-รายวัน'!Q7</f>
        <v>5</v>
      </c>
      <c r="R5" s="448">
        <f>'HQ-รายวัน'!R7</f>
        <v>0</v>
      </c>
      <c r="S5" s="448">
        <f>'HQ-รายวัน'!S7</f>
        <v>4</v>
      </c>
      <c r="T5" s="448">
        <f>'HQ-รายวัน'!T7</f>
        <v>0</v>
      </c>
      <c r="U5" s="448">
        <f>'HQ-รายวัน'!U7</f>
        <v>0</v>
      </c>
      <c r="V5" s="448">
        <f>'HQ-รายวัน'!V7</f>
        <v>15</v>
      </c>
      <c r="W5" s="448">
        <f>'HQ-รายวัน'!W7</f>
        <v>0</v>
      </c>
      <c r="X5" s="448">
        <f>'HQ-รายวัน'!X7</f>
        <v>20</v>
      </c>
      <c r="Y5" s="448">
        <f>'HQ-รายวัน'!Y7</f>
        <v>0</v>
      </c>
      <c r="Z5" s="448">
        <f>'HQ-รายวัน'!Z7</f>
        <v>17</v>
      </c>
      <c r="AA5" s="448">
        <f>'HQ-รายวัน'!AA7</f>
        <v>0</v>
      </c>
      <c r="AB5" s="448">
        <f>'HQ-รายวัน'!AB7</f>
        <v>0</v>
      </c>
      <c r="AC5" s="448">
        <f>'HQ-รายวัน'!AC7</f>
        <v>14</v>
      </c>
      <c r="AD5" s="448">
        <f>'HQ-รายวัน'!AD7</f>
        <v>0</v>
      </c>
      <c r="AE5" s="448">
        <f>'HQ-รายวัน'!AE7</f>
        <v>0</v>
      </c>
      <c r="AF5" s="448">
        <f>'HQ-รายวัน'!AF7</f>
        <v>0</v>
      </c>
      <c r="AG5" s="448">
        <f>'HQ-รายวัน'!AG7</f>
        <v>0</v>
      </c>
      <c r="AH5" s="448">
        <f>'HQ-รายวัน'!AH7</f>
        <v>0</v>
      </c>
      <c r="AI5" s="448">
        <f>'HQ-รายวัน'!AI7</f>
        <v>0</v>
      </c>
      <c r="AJ5" s="448">
        <f>'HQ-รายวัน'!AJ7</f>
        <v>10</v>
      </c>
      <c r="AK5" s="448">
        <f>'HQ-รายวัน'!AK7</f>
        <v>0</v>
      </c>
      <c r="AL5" s="448">
        <f>'HQ-รายวัน'!AL7</f>
        <v>8</v>
      </c>
      <c r="AM5" s="448">
        <f>'HQ-รายวัน'!AM7</f>
        <v>0</v>
      </c>
      <c r="AN5" s="448">
        <f>'HQ-รายวัน'!AN7</f>
        <v>0</v>
      </c>
      <c r="AO5" s="448">
        <f>'HQ-รายวัน'!AO7</f>
        <v>0</v>
      </c>
      <c r="AP5" s="448">
        <f>'HQ-รายวัน'!AP7</f>
        <v>0</v>
      </c>
      <c r="AQ5" s="448">
        <f>'HQ-รายวัน'!AQ7</f>
        <v>11</v>
      </c>
      <c r="AR5" s="448">
        <f>'HQ-รายวัน'!AR7</f>
        <v>0</v>
      </c>
      <c r="AS5" s="448">
        <f>'HQ-รายวัน'!AS7</f>
        <v>0</v>
      </c>
      <c r="AT5" s="448">
        <f>'HQ-รายวัน'!AT7</f>
        <v>0</v>
      </c>
      <c r="AU5" s="448">
        <f>'HQ-รายวัน'!AU7</f>
        <v>0</v>
      </c>
      <c r="AV5" s="448">
        <f>'HQ-รายวัน'!AV7</f>
        <v>0</v>
      </c>
      <c r="AW5" s="448">
        <f>'HQ-รายวัน'!AW7</f>
        <v>0</v>
      </c>
      <c r="AX5" s="448">
        <f>'HQ-รายวัน'!AX7</f>
        <v>0</v>
      </c>
      <c r="AY5" s="448">
        <f>'HQ-รายวัน'!AY7</f>
        <v>7</v>
      </c>
      <c r="AZ5" s="448">
        <f>'HQ-รายวัน'!AZ7</f>
        <v>2</v>
      </c>
      <c r="BA5" s="448">
        <f>'HQ-รายวัน'!BA7</f>
        <v>0</v>
      </c>
      <c r="BB5" s="448">
        <f>'HQ-รายวัน'!BB7</f>
        <v>5</v>
      </c>
      <c r="BC5" s="448">
        <f>'HQ-รายวัน'!BC7</f>
        <v>0</v>
      </c>
      <c r="BD5" s="448">
        <f>'HQ-รายวัน'!BD7</f>
        <v>0</v>
      </c>
      <c r="BE5" s="448">
        <f>'HQ-รายวัน'!BE7</f>
        <v>0</v>
      </c>
      <c r="BF5" s="448">
        <f>'HQ-รายวัน'!BF7</f>
        <v>0</v>
      </c>
      <c r="BG5" s="448">
        <f>'HQ-รายวัน'!BG7</f>
        <v>12</v>
      </c>
      <c r="BH5" s="448">
        <f>'HQ-รายวัน'!BH7</f>
        <v>0</v>
      </c>
      <c r="BI5" s="448">
        <f>'HQ-รายวัน'!BI7</f>
        <v>2</v>
      </c>
    </row>
    <row r="6" spans="1:61" ht="18" customHeight="1">
      <c r="A6" s="449" t="s">
        <v>331</v>
      </c>
      <c r="B6" s="450">
        <f>'HQ-รายวัน'!B22</f>
        <v>22</v>
      </c>
      <c r="C6" s="450">
        <f>'HQ-รายวัน'!C22</f>
        <v>0</v>
      </c>
      <c r="D6" s="450">
        <f>'HQ-รายวัน'!D22</f>
        <v>0</v>
      </c>
      <c r="E6" s="450">
        <f>'HQ-รายวัน'!E22</f>
        <v>0</v>
      </c>
      <c r="F6" s="450">
        <f>'HQ-รายวัน'!F22</f>
        <v>0</v>
      </c>
      <c r="G6" s="450">
        <f>'HQ-รายวัน'!G22</f>
        <v>0</v>
      </c>
      <c r="H6" s="450">
        <f>'HQ-รายวัน'!H22</f>
        <v>0</v>
      </c>
      <c r="I6" s="450">
        <f>'HQ-รายวัน'!I22</f>
        <v>0</v>
      </c>
      <c r="J6" s="450">
        <f>'HQ-รายวัน'!J22</f>
        <v>10</v>
      </c>
      <c r="K6" s="450">
        <f>'HQ-รายวัน'!K22</f>
        <v>0</v>
      </c>
      <c r="L6" s="450">
        <f>'HQ-รายวัน'!L22</f>
        <v>0</v>
      </c>
      <c r="M6" s="450">
        <f>'HQ-รายวัน'!M22</f>
        <v>0</v>
      </c>
      <c r="N6" s="450">
        <f>'HQ-รายวัน'!N22</f>
        <v>0</v>
      </c>
      <c r="O6" s="450">
        <f>'HQ-รายวัน'!O22</f>
        <v>0</v>
      </c>
      <c r="P6" s="450">
        <f>'HQ-รายวัน'!P22</f>
        <v>0</v>
      </c>
      <c r="Q6" s="450">
        <f>'HQ-รายวัน'!Q22</f>
        <v>5</v>
      </c>
      <c r="R6" s="450">
        <f>'HQ-รายวัน'!R22</f>
        <v>0</v>
      </c>
      <c r="S6" s="450">
        <f>'HQ-รายวัน'!S22</f>
        <v>4</v>
      </c>
      <c r="T6" s="450">
        <f>'HQ-รายวัน'!T22</f>
        <v>0</v>
      </c>
      <c r="U6" s="450">
        <f>'HQ-รายวัน'!U22</f>
        <v>0</v>
      </c>
      <c r="V6" s="450">
        <f>'HQ-รายวัน'!V22</f>
        <v>15</v>
      </c>
      <c r="W6" s="450">
        <f>'HQ-รายวัน'!W22</f>
        <v>0</v>
      </c>
      <c r="X6" s="450">
        <f>'HQ-รายวัน'!X22</f>
        <v>20</v>
      </c>
      <c r="Y6" s="450">
        <f>'HQ-รายวัน'!Y22</f>
        <v>0</v>
      </c>
      <c r="Z6" s="450">
        <f>'HQ-รายวัน'!Z22</f>
        <v>17</v>
      </c>
      <c r="AA6" s="450">
        <f>'HQ-รายวัน'!AA22</f>
        <v>0</v>
      </c>
      <c r="AB6" s="450">
        <f>'HQ-รายวัน'!AB22</f>
        <v>0</v>
      </c>
      <c r="AC6" s="450">
        <f>'HQ-รายวัน'!AC22</f>
        <v>14</v>
      </c>
      <c r="AD6" s="450">
        <f>'HQ-รายวัน'!AD22</f>
        <v>0</v>
      </c>
      <c r="AE6" s="450">
        <f>'HQ-รายวัน'!AE22</f>
        <v>0</v>
      </c>
      <c r="AF6" s="450">
        <f>'HQ-รายวัน'!AF22</f>
        <v>0</v>
      </c>
      <c r="AG6" s="450">
        <f>'HQ-รายวัน'!AG22</f>
        <v>0</v>
      </c>
      <c r="AH6" s="450">
        <f>'HQ-รายวัน'!AH22</f>
        <v>0</v>
      </c>
      <c r="AI6" s="450">
        <f>'HQ-รายวัน'!AI22</f>
        <v>0</v>
      </c>
      <c r="AJ6" s="450">
        <f>'HQ-รายวัน'!AJ22</f>
        <v>10</v>
      </c>
      <c r="AK6" s="450">
        <f>'HQ-รายวัน'!AK22</f>
        <v>0</v>
      </c>
      <c r="AL6" s="450">
        <f>'HQ-รายวัน'!AL22</f>
        <v>8</v>
      </c>
      <c r="AM6" s="450">
        <f>'HQ-รายวัน'!AM22</f>
        <v>0</v>
      </c>
      <c r="AN6" s="450">
        <f>'HQ-รายวัน'!AN22</f>
        <v>0</v>
      </c>
      <c r="AO6" s="450">
        <f>'HQ-รายวัน'!AO22</f>
        <v>0</v>
      </c>
      <c r="AP6" s="450">
        <f>'HQ-รายวัน'!AP22</f>
        <v>0</v>
      </c>
      <c r="AQ6" s="450">
        <f>'HQ-รายวัน'!AQ22</f>
        <v>11</v>
      </c>
      <c r="AR6" s="450">
        <f>'HQ-รายวัน'!AR22</f>
        <v>0</v>
      </c>
      <c r="AS6" s="450">
        <f>'HQ-รายวัน'!AS22</f>
        <v>0</v>
      </c>
      <c r="AT6" s="450">
        <f>'HQ-รายวัน'!AT22</f>
        <v>0</v>
      </c>
      <c r="AU6" s="450">
        <f>'HQ-รายวัน'!AU22</f>
        <v>0</v>
      </c>
      <c r="AV6" s="450">
        <f>'HQ-รายวัน'!AV22</f>
        <v>0</v>
      </c>
      <c r="AW6" s="450">
        <f>'HQ-รายวัน'!AW22</f>
        <v>0</v>
      </c>
      <c r="AX6" s="450">
        <f>'HQ-รายวัน'!AX22</f>
        <v>0</v>
      </c>
      <c r="AY6" s="450">
        <f>'HQ-รายวัน'!AY22</f>
        <v>7</v>
      </c>
      <c r="AZ6" s="450"/>
      <c r="BA6" s="450"/>
      <c r="BB6" s="450"/>
      <c r="BC6" s="450"/>
      <c r="BD6" s="450"/>
      <c r="BE6" s="450"/>
      <c r="BF6" s="450"/>
      <c r="BG6" s="450"/>
      <c r="BH6" s="450"/>
      <c r="BI6" s="450"/>
    </row>
    <row r="7" spans="1:61" ht="18" customHeight="1">
      <c r="A7" s="453" t="s">
        <v>312</v>
      </c>
      <c r="B7" s="651">
        <f>'HQ-รายวัน'!B23</f>
        <v>0</v>
      </c>
      <c r="C7" s="651">
        <f>'HQ-รายวัน'!C23</f>
        <v>0</v>
      </c>
      <c r="D7" s="651">
        <f>'HQ-รายวัน'!D23</f>
        <v>0</v>
      </c>
      <c r="E7" s="651">
        <f>'HQ-รายวัน'!E23</f>
        <v>0</v>
      </c>
      <c r="F7" s="651">
        <f>'HQ-รายวัน'!F23</f>
        <v>0</v>
      </c>
      <c r="G7" s="651">
        <f>'HQ-รายวัน'!G23</f>
        <v>0</v>
      </c>
      <c r="H7" s="651">
        <f>'HQ-รายวัน'!H23</f>
        <v>0</v>
      </c>
      <c r="I7" s="651">
        <f>'HQ-รายวัน'!I23</f>
        <v>0</v>
      </c>
      <c r="J7" s="651">
        <f>'HQ-รายวัน'!J23</f>
        <v>0</v>
      </c>
      <c r="K7" s="651">
        <f>'HQ-รายวัน'!K23</f>
        <v>0</v>
      </c>
      <c r="L7" s="651">
        <f>'HQ-รายวัน'!L23</f>
        <v>0</v>
      </c>
      <c r="M7" s="651">
        <f>'HQ-รายวัน'!M23</f>
        <v>0</v>
      </c>
      <c r="N7" s="651">
        <f>'HQ-รายวัน'!N23</f>
        <v>0</v>
      </c>
      <c r="O7" s="651">
        <f>'HQ-รายวัน'!O23</f>
        <v>0</v>
      </c>
      <c r="P7" s="651">
        <f>'HQ-รายวัน'!P23</f>
        <v>0</v>
      </c>
      <c r="Q7" s="651">
        <f>'HQ-รายวัน'!Q23</f>
        <v>0</v>
      </c>
      <c r="R7" s="651">
        <f>'HQ-รายวัน'!R23</f>
        <v>0</v>
      </c>
      <c r="S7" s="651">
        <f>'HQ-รายวัน'!S23</f>
        <v>0</v>
      </c>
      <c r="T7" s="651">
        <f>'HQ-รายวัน'!T23</f>
        <v>0</v>
      </c>
      <c r="U7" s="651">
        <f>'HQ-รายวัน'!U23</f>
        <v>0</v>
      </c>
      <c r="V7" s="651">
        <f>'HQ-รายวัน'!V23</f>
        <v>0</v>
      </c>
      <c r="W7" s="651">
        <f>'HQ-รายวัน'!W23</f>
        <v>0</v>
      </c>
      <c r="X7" s="651">
        <f>'HQ-รายวัน'!X23</f>
        <v>0</v>
      </c>
      <c r="Y7" s="651">
        <f>'HQ-รายวัน'!Y23</f>
        <v>0</v>
      </c>
      <c r="Z7" s="651">
        <f>'HQ-รายวัน'!Z23</f>
        <v>0</v>
      </c>
      <c r="AA7" s="651">
        <f>'HQ-รายวัน'!AA23</f>
        <v>0</v>
      </c>
      <c r="AB7" s="651">
        <f>'HQ-รายวัน'!AB23</f>
        <v>0</v>
      </c>
      <c r="AC7" s="651">
        <f>'HQ-รายวัน'!AC23</f>
        <v>0</v>
      </c>
      <c r="AD7" s="651">
        <f>'HQ-รายวัน'!AD23</f>
        <v>0</v>
      </c>
      <c r="AE7" s="651">
        <f>'HQ-รายวัน'!AE23</f>
        <v>0</v>
      </c>
      <c r="AF7" s="651">
        <f>'HQ-รายวัน'!AF23</f>
        <v>0</v>
      </c>
      <c r="AG7" s="651">
        <f>'HQ-รายวัน'!AG23</f>
        <v>0</v>
      </c>
      <c r="AH7" s="651">
        <f>'HQ-รายวัน'!AH23</f>
        <v>0</v>
      </c>
      <c r="AI7" s="651">
        <f>'HQ-รายวัน'!AI23</f>
        <v>0</v>
      </c>
      <c r="AJ7" s="651">
        <f>'HQ-รายวัน'!AJ23</f>
        <v>0</v>
      </c>
      <c r="AK7" s="651">
        <f>'HQ-รายวัน'!AK23</f>
        <v>0</v>
      </c>
      <c r="AL7" s="651">
        <f>'HQ-รายวัน'!AL23</f>
        <v>0</v>
      </c>
      <c r="AM7" s="651">
        <f>'HQ-รายวัน'!AM23</f>
        <v>0</v>
      </c>
      <c r="AN7" s="651">
        <f>'HQ-รายวัน'!AN23</f>
        <v>0</v>
      </c>
      <c r="AO7" s="651">
        <f>'HQ-รายวัน'!AO23</f>
        <v>0</v>
      </c>
      <c r="AP7" s="651">
        <f>'HQ-รายวัน'!AP23</f>
        <v>0</v>
      </c>
      <c r="AQ7" s="651">
        <f>'HQ-รายวัน'!AQ23</f>
        <v>0</v>
      </c>
      <c r="AR7" s="651">
        <f>'HQ-รายวัน'!AR23</f>
        <v>0</v>
      </c>
      <c r="AS7" s="651">
        <f>'HQ-รายวัน'!AS23</f>
        <v>0</v>
      </c>
      <c r="AT7" s="651">
        <f>'HQ-รายวัน'!AT23</f>
        <v>0</v>
      </c>
      <c r="AU7" s="651">
        <f>'HQ-รายวัน'!AU23</f>
        <v>0</v>
      </c>
      <c r="AV7" s="651">
        <f>'HQ-รายวัน'!AV23</f>
        <v>0</v>
      </c>
      <c r="AW7" s="651">
        <f>'HQ-รายวัน'!AW23</f>
        <v>0</v>
      </c>
      <c r="AX7" s="651">
        <f>'HQ-รายวัน'!AX23</f>
        <v>0</v>
      </c>
      <c r="AY7" s="651">
        <f>'HQ-รายวัน'!AY23</f>
        <v>0</v>
      </c>
      <c r="AZ7" s="651"/>
      <c r="BA7" s="651"/>
      <c r="BB7" s="651"/>
      <c r="BC7" s="651"/>
      <c r="BD7" s="651"/>
      <c r="BE7" s="651"/>
      <c r="BF7" s="651"/>
      <c r="BG7" s="651"/>
      <c r="BH7" s="651"/>
      <c r="BI7" s="651"/>
    </row>
    <row r="8" spans="1:61" ht="18" customHeight="1">
      <c r="A8" s="453" t="s">
        <v>313</v>
      </c>
      <c r="B8" s="651">
        <f>'HQ-รายวัน'!B24</f>
        <v>13</v>
      </c>
      <c r="C8" s="651">
        <f>'HQ-รายวัน'!C24</f>
        <v>0</v>
      </c>
      <c r="D8" s="651">
        <f>'HQ-รายวัน'!D24</f>
        <v>0</v>
      </c>
      <c r="E8" s="651">
        <f>'HQ-รายวัน'!E24</f>
        <v>0</v>
      </c>
      <c r="F8" s="651">
        <f>'HQ-รายวัน'!F24</f>
        <v>0</v>
      </c>
      <c r="G8" s="651">
        <f>'HQ-รายวัน'!G24</f>
        <v>0</v>
      </c>
      <c r="H8" s="651">
        <f>'HQ-รายวัน'!H24</f>
        <v>0</v>
      </c>
      <c r="I8" s="651">
        <f>'HQ-รายวัน'!I24</f>
        <v>0</v>
      </c>
      <c r="J8" s="651">
        <f>'HQ-รายวัน'!J24</f>
        <v>0</v>
      </c>
      <c r="K8" s="651">
        <f>'HQ-รายวัน'!K24</f>
        <v>0</v>
      </c>
      <c r="L8" s="651">
        <f>'HQ-รายวัน'!L24</f>
        <v>0</v>
      </c>
      <c r="M8" s="651">
        <f>'HQ-รายวัน'!M24</f>
        <v>0</v>
      </c>
      <c r="N8" s="651">
        <f>'HQ-รายวัน'!N24</f>
        <v>0</v>
      </c>
      <c r="O8" s="651">
        <f>'HQ-รายวัน'!O24</f>
        <v>0</v>
      </c>
      <c r="P8" s="651">
        <f>'HQ-รายวัน'!P24</f>
        <v>0</v>
      </c>
      <c r="Q8" s="651">
        <f>'HQ-รายวัน'!Q24</f>
        <v>0</v>
      </c>
      <c r="R8" s="651">
        <f>'HQ-รายวัน'!R24</f>
        <v>0</v>
      </c>
      <c r="S8" s="651">
        <f>'HQ-รายวัน'!S24</f>
        <v>0</v>
      </c>
      <c r="T8" s="651">
        <f>'HQ-รายวัน'!T24</f>
        <v>0</v>
      </c>
      <c r="U8" s="651">
        <f>'HQ-รายวัน'!U24</f>
        <v>0</v>
      </c>
      <c r="V8" s="651">
        <f>'HQ-รายวัน'!V24</f>
        <v>0</v>
      </c>
      <c r="W8" s="651">
        <f>'HQ-รายวัน'!W24</f>
        <v>0</v>
      </c>
      <c r="X8" s="651">
        <f>'HQ-รายวัน'!X24</f>
        <v>0</v>
      </c>
      <c r="Y8" s="651">
        <f>'HQ-รายวัน'!Y24</f>
        <v>0</v>
      </c>
      <c r="Z8" s="651">
        <f>'HQ-รายวัน'!Z24</f>
        <v>0</v>
      </c>
      <c r="AA8" s="651">
        <f>'HQ-รายวัน'!AA24</f>
        <v>0</v>
      </c>
      <c r="AB8" s="651">
        <f>'HQ-รายวัน'!AB24</f>
        <v>0</v>
      </c>
      <c r="AC8" s="651">
        <f>'HQ-รายวัน'!AC24</f>
        <v>0</v>
      </c>
      <c r="AD8" s="651">
        <f>'HQ-รายวัน'!AD24</f>
        <v>0</v>
      </c>
      <c r="AE8" s="651">
        <f>'HQ-รายวัน'!AE24</f>
        <v>0</v>
      </c>
      <c r="AF8" s="651">
        <f>'HQ-รายวัน'!AF24</f>
        <v>0</v>
      </c>
      <c r="AG8" s="651">
        <f>'HQ-รายวัน'!AG24</f>
        <v>0</v>
      </c>
      <c r="AH8" s="651">
        <f>'HQ-รายวัน'!AH24</f>
        <v>0</v>
      </c>
      <c r="AI8" s="651">
        <f>'HQ-รายวัน'!AI24</f>
        <v>0</v>
      </c>
      <c r="AJ8" s="651">
        <f>'HQ-รายวัน'!AJ24</f>
        <v>0</v>
      </c>
      <c r="AK8" s="651">
        <f>'HQ-รายวัน'!AK24</f>
        <v>0</v>
      </c>
      <c r="AL8" s="651">
        <f>'HQ-รายวัน'!AL24</f>
        <v>0</v>
      </c>
      <c r="AM8" s="651">
        <f>'HQ-รายวัน'!AM24</f>
        <v>0</v>
      </c>
      <c r="AN8" s="651">
        <f>'HQ-รายวัน'!AN24</f>
        <v>0</v>
      </c>
      <c r="AO8" s="651">
        <f>'HQ-รายวัน'!AO24</f>
        <v>0</v>
      </c>
      <c r="AP8" s="651">
        <f>'HQ-รายวัน'!AP24</f>
        <v>0</v>
      </c>
      <c r="AQ8" s="651">
        <f>'HQ-รายวัน'!AQ24</f>
        <v>0</v>
      </c>
      <c r="AR8" s="651">
        <f>'HQ-รายวัน'!AR24</f>
        <v>0</v>
      </c>
      <c r="AS8" s="651">
        <f>'HQ-รายวัน'!AS24</f>
        <v>0</v>
      </c>
      <c r="AT8" s="651">
        <f>'HQ-รายวัน'!AT24</f>
        <v>0</v>
      </c>
      <c r="AU8" s="651">
        <f>'HQ-รายวัน'!AU24</f>
        <v>0</v>
      </c>
      <c r="AV8" s="651">
        <f>'HQ-รายวัน'!AV24</f>
        <v>0</v>
      </c>
      <c r="AW8" s="651">
        <f>'HQ-รายวัน'!AW24</f>
        <v>0</v>
      </c>
      <c r="AX8" s="651">
        <f>'HQ-รายวัน'!AX24</f>
        <v>0</v>
      </c>
      <c r="AY8" s="651">
        <f>'HQ-รายวัน'!AY24</f>
        <v>0</v>
      </c>
      <c r="AZ8" s="651"/>
      <c r="BA8" s="651"/>
      <c r="BB8" s="651"/>
      <c r="BC8" s="651"/>
      <c r="BD8" s="651"/>
      <c r="BE8" s="651"/>
      <c r="BF8" s="651"/>
      <c r="BG8" s="651"/>
      <c r="BH8" s="651"/>
      <c r="BI8" s="651"/>
    </row>
    <row r="9" spans="1:61" ht="18" customHeight="1">
      <c r="A9" s="453" t="s">
        <v>334</v>
      </c>
      <c r="B9" s="454">
        <f>'HQ-รายวัน'!B33</f>
        <v>0.18134715025906736</v>
      </c>
      <c r="C9" s="454">
        <f>'HQ-รายวัน'!C33</f>
        <v>0.18134715025906736</v>
      </c>
      <c r="D9" s="454">
        <f>'HQ-รายวัน'!D33</f>
        <v>0.18134715025906736</v>
      </c>
      <c r="E9" s="454">
        <f>'HQ-รายวัน'!E33</f>
        <v>0.18134715025906736</v>
      </c>
      <c r="F9" s="454">
        <f>'HQ-รายวัน'!F33</f>
        <v>0.18134715025906736</v>
      </c>
      <c r="G9" s="454">
        <f>'HQ-รายวัน'!G33</f>
        <v>0.18134715025906736</v>
      </c>
      <c r="H9" s="454">
        <f>'HQ-รายวัน'!H33</f>
        <v>0.18134715025906736</v>
      </c>
      <c r="I9" s="454">
        <f>'HQ-รายวัน'!I33</f>
        <v>0.18134715025906736</v>
      </c>
      <c r="J9" s="454">
        <f>'HQ-รายวัน'!J33</f>
        <v>0.23316062176165803</v>
      </c>
      <c r="K9" s="454">
        <f>'HQ-รายวัน'!K33</f>
        <v>0.23316062176165803</v>
      </c>
      <c r="L9" s="454">
        <f>'HQ-รายวัน'!L33</f>
        <v>0.23316062176165803</v>
      </c>
      <c r="M9" s="454">
        <f>'HQ-รายวัน'!M33</f>
        <v>0.23316062176165803</v>
      </c>
      <c r="N9" s="454">
        <f>'HQ-รายวัน'!N33</f>
        <v>0.23316062176165803</v>
      </c>
      <c r="O9" s="454">
        <f>'HQ-รายวัน'!O33</f>
        <v>0.23316062176165803</v>
      </c>
      <c r="P9" s="454">
        <f>'HQ-รายวัน'!P33</f>
        <v>0.23316062176165803</v>
      </c>
      <c r="Q9" s="454">
        <f>'HQ-รายวัน'!Q33</f>
        <v>0.25906735751295334</v>
      </c>
      <c r="R9" s="454">
        <f>'HQ-รายวัน'!R33</f>
        <v>0.25906735751295334</v>
      </c>
      <c r="S9" s="454">
        <f>'HQ-รายวัน'!S33</f>
        <v>0.27979274611398963</v>
      </c>
      <c r="T9" s="454">
        <f>'HQ-รายวัน'!T33</f>
        <v>0.27979274611398963</v>
      </c>
      <c r="U9" s="454">
        <f>'HQ-รายวัน'!U33</f>
        <v>0.27979274611398963</v>
      </c>
      <c r="V9" s="454">
        <f>'HQ-รายวัน'!V33</f>
        <v>0.35751295336787564</v>
      </c>
      <c r="W9" s="454">
        <f>'HQ-รายวัน'!W33</f>
        <v>0.35751295336787564</v>
      </c>
      <c r="X9" s="454">
        <f>'HQ-รายวัน'!X33</f>
        <v>0.46113989637305697</v>
      </c>
      <c r="Y9" s="454">
        <f>'HQ-รายวัน'!Y33</f>
        <v>0.46113989637305697</v>
      </c>
      <c r="Z9" s="454">
        <f>'HQ-รายวัน'!Z33</f>
        <v>0.54922279792746109</v>
      </c>
      <c r="AA9" s="454">
        <f>'HQ-รายวัน'!AA33</f>
        <v>0.54922279792746109</v>
      </c>
      <c r="AB9" s="454">
        <f>'HQ-รายวัน'!AB33</f>
        <v>0.54922279792746109</v>
      </c>
      <c r="AC9" s="454">
        <f>'HQ-รายวัน'!AC33</f>
        <v>0.62176165803108807</v>
      </c>
      <c r="AD9" s="454">
        <f>'HQ-รายวัน'!AD33</f>
        <v>0.62176165803108807</v>
      </c>
      <c r="AE9" s="454">
        <f>'HQ-รายวัน'!AE33</f>
        <v>0.62176165803108807</v>
      </c>
      <c r="AF9" s="454">
        <f>'HQ-รายวัน'!AF33</f>
        <v>0.62176165803108807</v>
      </c>
      <c r="AG9" s="454">
        <f>'HQ-รายวัน'!AG33</f>
        <v>0.62176165803108807</v>
      </c>
      <c r="AH9" s="454">
        <f>'HQ-รายวัน'!AH33</f>
        <v>0.62176165803108807</v>
      </c>
      <c r="AI9" s="454">
        <f>'HQ-รายวัน'!AI33</f>
        <v>0.62176165803108807</v>
      </c>
      <c r="AJ9" s="454">
        <f>'HQ-รายวัน'!AJ33</f>
        <v>0.67357512953367871</v>
      </c>
      <c r="AK9" s="454">
        <f>'HQ-รายวัน'!AK33</f>
        <v>0.67357512953367871</v>
      </c>
      <c r="AL9" s="454">
        <f>'HQ-รายวัน'!AL33</f>
        <v>0.71502590673575128</v>
      </c>
      <c r="AM9" s="454">
        <f>'HQ-รายวัน'!AM33</f>
        <v>0.71502590673575128</v>
      </c>
      <c r="AN9" s="454">
        <f>'HQ-รายวัน'!AN33</f>
        <v>0.71502590673575128</v>
      </c>
      <c r="AO9" s="454">
        <f>'HQ-รายวัน'!AO33</f>
        <v>0.71502590673575128</v>
      </c>
      <c r="AP9" s="454">
        <f>'HQ-รายวัน'!AP33</f>
        <v>0.71502590673575128</v>
      </c>
      <c r="AQ9" s="454">
        <f>'HQ-รายวัน'!AQ33</f>
        <v>0.772020725388601</v>
      </c>
      <c r="AR9" s="454">
        <f>'HQ-รายวัน'!AR33</f>
        <v>0.772020725388601</v>
      </c>
      <c r="AS9" s="454">
        <f>'HQ-รายวัน'!AS33</f>
        <v>0.772020725388601</v>
      </c>
      <c r="AT9" s="454">
        <f>'HQ-รายวัน'!AT33</f>
        <v>0.772020725388601</v>
      </c>
      <c r="AU9" s="454">
        <f>'HQ-รายวัน'!AU33</f>
        <v>0.772020725388601</v>
      </c>
      <c r="AV9" s="454">
        <f>'HQ-รายวัน'!AV33</f>
        <v>0.772020725388601</v>
      </c>
      <c r="AW9" s="454">
        <f>'HQ-รายวัน'!AW33</f>
        <v>0.772020725388601</v>
      </c>
      <c r="AX9" s="454">
        <f>'HQ-รายวัน'!AX33</f>
        <v>0.772020725388601</v>
      </c>
      <c r="AY9" s="454">
        <f>'HQ-รายวัน'!AY33</f>
        <v>0.80829015544041449</v>
      </c>
      <c r="AZ9" s="454">
        <f>'HQ-รายวัน'!AZ33</f>
        <v>0.81865284974093266</v>
      </c>
      <c r="BA9" s="454">
        <f>'HQ-รายวัน'!BA33</f>
        <v>0.81865284974093266</v>
      </c>
      <c r="BB9" s="454">
        <f>'HQ-รายวัน'!BB33</f>
        <v>0.84455958549222798</v>
      </c>
      <c r="BC9" s="454">
        <f>'HQ-รายวัน'!BC33</f>
        <v>0.84455958549222798</v>
      </c>
      <c r="BD9" s="454">
        <f>'HQ-รายวัน'!BD33</f>
        <v>0.84455958549222798</v>
      </c>
      <c r="BE9" s="454">
        <f>'HQ-รายวัน'!BE33</f>
        <v>0.84455958549222798</v>
      </c>
      <c r="BF9" s="454">
        <f>'HQ-รายวัน'!BF33</f>
        <v>0.84455958549222798</v>
      </c>
      <c r="BG9" s="454">
        <f>'HQ-รายวัน'!BG33</f>
        <v>0.90673575129533679</v>
      </c>
      <c r="BH9" s="454">
        <f>'HQ-รายวัน'!BH33</f>
        <v>0.90673575129533679</v>
      </c>
      <c r="BI9" s="454">
        <f>'HQ-รายวัน'!BI33</f>
        <v>0.91709844559585496</v>
      </c>
    </row>
    <row r="10" spans="1:61" ht="18" customHeight="1">
      <c r="A10" s="453" t="s">
        <v>335</v>
      </c>
      <c r="B10" s="454">
        <f>'HQ-รายวัน'!B32</f>
        <v>0.11398963730569948</v>
      </c>
      <c r="C10" s="454">
        <f>'HQ-รายวัน'!C32</f>
        <v>0.11398963730569948</v>
      </c>
      <c r="D10" s="454">
        <f>'HQ-รายวัน'!D32</f>
        <v>0.11398963730569948</v>
      </c>
      <c r="E10" s="454">
        <f>'HQ-รายวัน'!E32</f>
        <v>0.11398963730569948</v>
      </c>
      <c r="F10" s="454">
        <f>'HQ-รายวัน'!F32</f>
        <v>0.11398963730569948</v>
      </c>
      <c r="G10" s="454">
        <f>'HQ-รายวัน'!G32</f>
        <v>0.11398963730569948</v>
      </c>
      <c r="H10" s="454">
        <f>'HQ-รายวัน'!H32</f>
        <v>0.11398963730569948</v>
      </c>
      <c r="I10" s="454">
        <f>'HQ-รายวัน'!I32</f>
        <v>0.11398963730569948</v>
      </c>
      <c r="J10" s="454">
        <f>'HQ-รายวัน'!J32</f>
        <v>0.16580310880829016</v>
      </c>
      <c r="K10" s="454">
        <f>'HQ-รายวัน'!K32</f>
        <v>0.16580310880829016</v>
      </c>
      <c r="L10" s="454">
        <f>'HQ-รายวัน'!L32</f>
        <v>0.16580310880829016</v>
      </c>
      <c r="M10" s="454">
        <f>'HQ-รายวัน'!M32</f>
        <v>0.16580310880829016</v>
      </c>
      <c r="N10" s="454">
        <f>'HQ-รายวัน'!N32</f>
        <v>0.16580310880829016</v>
      </c>
      <c r="O10" s="454">
        <f>'HQ-รายวัน'!O32</f>
        <v>0.16580310880829016</v>
      </c>
      <c r="P10" s="454">
        <f>'HQ-รายวัน'!P32</f>
        <v>0.16580310880829016</v>
      </c>
      <c r="Q10" s="454">
        <f>'HQ-รายวัน'!Q32</f>
        <v>0.19170984455958548</v>
      </c>
      <c r="R10" s="454">
        <f>'HQ-รายวัน'!R32</f>
        <v>0.19170984455958548</v>
      </c>
      <c r="S10" s="454">
        <f>'HQ-รายวัน'!S32</f>
        <v>0.21243523316062177</v>
      </c>
      <c r="T10" s="454">
        <f>'HQ-รายวัน'!T32</f>
        <v>0.21243523316062177</v>
      </c>
      <c r="U10" s="454">
        <f>'HQ-รายวัน'!U32</f>
        <v>0.21243523316062177</v>
      </c>
      <c r="V10" s="454">
        <f>'HQ-รายวัน'!V32</f>
        <v>0.29015544041450775</v>
      </c>
      <c r="W10" s="454">
        <f>'HQ-รายวัน'!W32</f>
        <v>0.29015544041450775</v>
      </c>
      <c r="X10" s="454">
        <f>'HQ-รายวัน'!X32</f>
        <v>0.39378238341968913</v>
      </c>
      <c r="Y10" s="454">
        <f>'HQ-รายวัน'!Y32</f>
        <v>0.39378238341968913</v>
      </c>
      <c r="Z10" s="454">
        <f>'HQ-รายวัน'!Z32</f>
        <v>0.48186528497409326</v>
      </c>
      <c r="AA10" s="454">
        <f>'HQ-รายวัน'!AA32</f>
        <v>0.48186528497409326</v>
      </c>
      <c r="AB10" s="454">
        <f>'HQ-รายวัน'!AB32</f>
        <v>0.48186528497409326</v>
      </c>
      <c r="AC10" s="454">
        <f>'HQ-รายวัน'!AC32</f>
        <v>0.55440414507772018</v>
      </c>
      <c r="AD10" s="454">
        <f>'HQ-รายวัน'!AD32</f>
        <v>0.55440414507772018</v>
      </c>
      <c r="AE10" s="454">
        <f>'HQ-รายวัน'!AE32</f>
        <v>0.55440414507772018</v>
      </c>
      <c r="AF10" s="454">
        <f>'HQ-รายวัน'!AF32</f>
        <v>0.55440414507772018</v>
      </c>
      <c r="AG10" s="454">
        <f>'HQ-รายวัน'!AG32</f>
        <v>0.55440414507772018</v>
      </c>
      <c r="AH10" s="454">
        <f>'HQ-รายวัน'!AH32</f>
        <v>0.55440414507772018</v>
      </c>
      <c r="AI10" s="454">
        <f>'HQ-รายวัน'!AI32</f>
        <v>0.55440414507772018</v>
      </c>
      <c r="AJ10" s="454">
        <f>'HQ-รายวัน'!AJ32</f>
        <v>0.60621761658031093</v>
      </c>
      <c r="AK10" s="454">
        <f>'HQ-รายวัน'!AK32</f>
        <v>0.60621761658031093</v>
      </c>
      <c r="AL10" s="454">
        <f>'HQ-รายวัน'!AL32</f>
        <v>0.64766839378238339</v>
      </c>
      <c r="AM10" s="454">
        <f>'HQ-รายวัน'!AM32</f>
        <v>0.64766839378238339</v>
      </c>
      <c r="AN10" s="454">
        <f>'HQ-รายวัน'!AN32</f>
        <v>0.64766839378238339</v>
      </c>
      <c r="AO10" s="454">
        <f>'HQ-รายวัน'!AO32</f>
        <v>0.64766839378238339</v>
      </c>
      <c r="AP10" s="454">
        <f>'HQ-รายวัน'!AP32</f>
        <v>0.64766839378238339</v>
      </c>
      <c r="AQ10" s="454">
        <f>'HQ-รายวัน'!AQ32</f>
        <v>0.70466321243523311</v>
      </c>
      <c r="AR10" s="454">
        <f>'HQ-รายวัน'!AR32</f>
        <v>0.70466321243523311</v>
      </c>
      <c r="AS10" s="454">
        <f>'HQ-รายวัน'!AS32</f>
        <v>0.70466321243523311</v>
      </c>
      <c r="AT10" s="454">
        <f>'HQ-รายวัน'!AT32</f>
        <v>0.70466321243523311</v>
      </c>
      <c r="AU10" s="454">
        <f>'HQ-รายวัน'!AU32</f>
        <v>0.70466321243523311</v>
      </c>
      <c r="AV10" s="454">
        <f>'HQ-รายวัน'!AV32</f>
        <v>0.70466321243523311</v>
      </c>
      <c r="AW10" s="454">
        <f>'HQ-รายวัน'!AW32</f>
        <v>0.70466321243523311</v>
      </c>
      <c r="AX10" s="454">
        <f>'HQ-รายวัน'!AX32</f>
        <v>0.70466321243523311</v>
      </c>
      <c r="AY10" s="454">
        <f>'HQ-รายวัน'!AY32</f>
        <v>0.7409326424870466</v>
      </c>
      <c r="AZ10" s="454"/>
      <c r="BA10" s="454"/>
      <c r="BB10" s="454"/>
      <c r="BC10" s="454"/>
      <c r="BD10" s="454"/>
      <c r="BE10" s="454"/>
      <c r="BF10" s="454"/>
      <c r="BG10" s="454"/>
      <c r="BH10" s="454"/>
      <c r="BI10" s="454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2" bestFit="1" customWidth="1"/>
    <col min="20" max="16384" width="9.109375" style="220"/>
  </cols>
  <sheetData>
    <row r="1" spans="1:19" ht="31.2">
      <c r="A1" s="378" t="s">
        <v>0</v>
      </c>
      <c r="B1" s="379" t="s">
        <v>343</v>
      </c>
      <c r="C1" s="380" t="s">
        <v>344</v>
      </c>
      <c r="D1" s="380" t="s">
        <v>345</v>
      </c>
      <c r="E1" s="380" t="s">
        <v>346</v>
      </c>
      <c r="F1" s="380" t="s">
        <v>347</v>
      </c>
      <c r="G1" s="380" t="s">
        <v>348</v>
      </c>
      <c r="H1" s="380" t="s">
        <v>23</v>
      </c>
      <c r="I1" s="380" t="s">
        <v>349</v>
      </c>
      <c r="J1" s="380" t="s">
        <v>3</v>
      </c>
      <c r="K1" t="s">
        <v>31</v>
      </c>
      <c r="L1" s="380" t="s">
        <v>350</v>
      </c>
      <c r="M1" s="374" t="s">
        <v>26</v>
      </c>
      <c r="N1" s="374" t="s">
        <v>27</v>
      </c>
      <c r="O1" s="374" t="s">
        <v>28</v>
      </c>
      <c r="P1" s="375" t="s">
        <v>29</v>
      </c>
      <c r="Q1" s="376" t="s">
        <v>30</v>
      </c>
      <c r="R1" s="420" t="s">
        <v>351</v>
      </c>
      <c r="S1" s="420" t="s">
        <v>33</v>
      </c>
    </row>
    <row r="2" spans="1:19">
      <c r="A2">
        <v>1</v>
      </c>
      <c r="B2" s="704" t="s">
        <v>352</v>
      </c>
      <c r="C2" s="705" t="s">
        <v>353</v>
      </c>
      <c r="D2" s="706" t="s">
        <v>40</v>
      </c>
      <c r="E2" s="706" t="s">
        <v>354</v>
      </c>
      <c r="F2" s="706">
        <v>176</v>
      </c>
      <c r="G2" s="706"/>
      <c r="H2" s="720"/>
      <c r="I2" s="720">
        <v>46105</v>
      </c>
      <c r="J2" s="706" t="s">
        <v>355</v>
      </c>
      <c r="K2" t="str">
        <f>IF(ISNUMBER(SEARCH("Access Point",E2)),"AP",IF(OR(ISNUMBER(SEARCH("Switch",E2)),ISNUMBER(SEARCH("Control Type",E2))),"Switch","Infra"))</f>
        <v>AP</v>
      </c>
      <c r="M2" s="419">
        <f t="shared" ref="M2:M65" si="0">O2</f>
        <v>0</v>
      </c>
      <c r="N2" s="419">
        <f t="shared" ref="N2:N4" si="1">O2</f>
        <v>0</v>
      </c>
      <c r="O2" s="419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1">
        <f>All_Detail_v2[[#This Row],[Scheduled Date]]</f>
        <v>46105</v>
      </c>
      <c r="S2" s="421">
        <f>All_Detail_v2[[#This Row],[Install Date]]</f>
        <v>0</v>
      </c>
    </row>
    <row r="3" spans="1:19">
      <c r="A3">
        <v>2</v>
      </c>
      <c r="B3" s="704" t="s">
        <v>352</v>
      </c>
      <c r="C3" s="705" t="s">
        <v>353</v>
      </c>
      <c r="D3" s="706" t="s">
        <v>356</v>
      </c>
      <c r="E3" s="706" t="s">
        <v>357</v>
      </c>
      <c r="F3" s="706">
        <v>4</v>
      </c>
      <c r="G3" s="706">
        <v>4</v>
      </c>
      <c r="H3" s="720">
        <v>46073</v>
      </c>
      <c r="I3" s="720">
        <v>46073</v>
      </c>
      <c r="J3" s="706" t="s">
        <v>358</v>
      </c>
      <c r="K3" t="str">
        <f t="shared" ref="K3:K66" si="2">IF(ISNUMBER(SEARCH("Access Point",E3)),"AP",IF(OR(ISNUMBER(SEARCH("Switch",E3)),ISNUMBER(SEARCH("Control Type",E3))),"Switch","Infra"))</f>
        <v>Switch</v>
      </c>
      <c r="M3" s="419">
        <f t="shared" si="0"/>
        <v>4</v>
      </c>
      <c r="N3" s="419">
        <f t="shared" si="1"/>
        <v>4</v>
      </c>
      <c r="O3" s="419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1">
        <f>All_Detail_v2[[#This Row],[Scheduled Date]]</f>
        <v>46073</v>
      </c>
      <c r="S3" s="421">
        <f>All_Detail_v2[[#This Row],[Install Date]]</f>
        <v>46073</v>
      </c>
    </row>
    <row r="4" spans="1:19">
      <c r="A4">
        <v>3</v>
      </c>
      <c r="B4" s="704" t="s">
        <v>352</v>
      </c>
      <c r="C4" s="705" t="s">
        <v>353</v>
      </c>
      <c r="D4" s="706" t="s">
        <v>359</v>
      </c>
      <c r="E4" s="706" t="s">
        <v>360</v>
      </c>
      <c r="F4" s="706">
        <v>2</v>
      </c>
      <c r="G4" s="706"/>
      <c r="H4" s="720"/>
      <c r="I4" s="720">
        <v>46129</v>
      </c>
      <c r="J4" s="706" t="s">
        <v>355</v>
      </c>
      <c r="K4" t="str">
        <f t="shared" si="2"/>
        <v>Switch</v>
      </c>
      <c r="M4" s="419">
        <f t="shared" si="0"/>
        <v>0</v>
      </c>
      <c r="N4" s="419">
        <f t="shared" si="1"/>
        <v>0</v>
      </c>
      <c r="O4" s="419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1">
        <f>All_Detail_v2[[#This Row],[Scheduled Date]]</f>
        <v>46129</v>
      </c>
      <c r="S4" s="421">
        <f>All_Detail_v2[[#This Row],[Install Date]]</f>
        <v>0</v>
      </c>
    </row>
    <row r="5" spans="1:19">
      <c r="A5">
        <v>4</v>
      </c>
      <c r="B5" s="704" t="s">
        <v>352</v>
      </c>
      <c r="C5" s="705" t="s">
        <v>353</v>
      </c>
      <c r="D5" s="706" t="s">
        <v>361</v>
      </c>
      <c r="E5" s="706" t="s">
        <v>362</v>
      </c>
      <c r="F5" s="706">
        <v>2</v>
      </c>
      <c r="G5" s="706">
        <v>2</v>
      </c>
      <c r="H5" s="720">
        <v>46063</v>
      </c>
      <c r="I5" s="720">
        <v>46070</v>
      </c>
      <c r="J5" s="706" t="s">
        <v>358</v>
      </c>
      <c r="K5" t="str">
        <f t="shared" si="2"/>
        <v>Switch</v>
      </c>
      <c r="M5" s="419">
        <f>O5</f>
        <v>2</v>
      </c>
      <c r="N5" s="419">
        <f>O5</f>
        <v>2</v>
      </c>
      <c r="O5" s="419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1">
        <f>All_Detail_v2[[#This Row],[Scheduled Date]]</f>
        <v>46070</v>
      </c>
      <c r="S5" s="421">
        <f>All_Detail_v2[[#This Row],[Install Date]]</f>
        <v>46063</v>
      </c>
    </row>
    <row r="6" spans="1:19">
      <c r="A6">
        <v>5</v>
      </c>
      <c r="B6" s="704" t="s">
        <v>352</v>
      </c>
      <c r="C6" s="705" t="s">
        <v>353</v>
      </c>
      <c r="D6" s="706" t="s">
        <v>363</v>
      </c>
      <c r="E6" s="706" t="s">
        <v>364</v>
      </c>
      <c r="F6" s="706">
        <v>5</v>
      </c>
      <c r="G6" s="706"/>
      <c r="H6" s="720"/>
      <c r="I6" s="720">
        <v>46129</v>
      </c>
      <c r="J6" s="706" t="s">
        <v>355</v>
      </c>
      <c r="K6" t="str">
        <f t="shared" si="2"/>
        <v>Switch</v>
      </c>
      <c r="M6" s="419">
        <f t="shared" si="0"/>
        <v>0</v>
      </c>
      <c r="N6" s="419">
        <f t="shared" ref="N6:N69" si="3">O6</f>
        <v>0</v>
      </c>
      <c r="O6" s="419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1">
        <f>All_Detail_v2[[#This Row],[Scheduled Date]]</f>
        <v>46129</v>
      </c>
      <c r="S6" s="421">
        <f>All_Detail_v2[[#This Row],[Install Date]]</f>
        <v>0</v>
      </c>
    </row>
    <row r="7" spans="1:19">
      <c r="A7">
        <v>6</v>
      </c>
      <c r="B7" s="704" t="s">
        <v>352</v>
      </c>
      <c r="C7" s="705" t="s">
        <v>353</v>
      </c>
      <c r="D7" s="706" t="s">
        <v>363</v>
      </c>
      <c r="E7" s="706" t="s">
        <v>365</v>
      </c>
      <c r="F7" s="706">
        <v>1</v>
      </c>
      <c r="G7" s="706"/>
      <c r="H7" s="720"/>
      <c r="I7" s="720">
        <v>46129</v>
      </c>
      <c r="J7" s="706" t="s">
        <v>355</v>
      </c>
      <c r="K7" t="str">
        <f t="shared" si="2"/>
        <v>Switch</v>
      </c>
      <c r="M7" s="419">
        <f t="shared" si="0"/>
        <v>0</v>
      </c>
      <c r="N7" s="419">
        <f t="shared" si="3"/>
        <v>0</v>
      </c>
      <c r="O7" s="419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1">
        <f>All_Detail_v2[[#This Row],[Scheduled Date]]</f>
        <v>46129</v>
      </c>
      <c r="S7" s="421">
        <f>All_Detail_v2[[#This Row],[Install Date]]</f>
        <v>0</v>
      </c>
    </row>
    <row r="8" spans="1:19">
      <c r="A8">
        <v>7</v>
      </c>
      <c r="B8" s="704" t="s">
        <v>352</v>
      </c>
      <c r="C8" s="705" t="s">
        <v>353</v>
      </c>
      <c r="D8" s="706" t="s">
        <v>366</v>
      </c>
      <c r="E8" s="706" t="s">
        <v>357</v>
      </c>
      <c r="F8" s="706">
        <v>4</v>
      </c>
      <c r="G8" s="706">
        <v>4</v>
      </c>
      <c r="H8" s="720">
        <v>46072</v>
      </c>
      <c r="I8" s="720">
        <v>46072</v>
      </c>
      <c r="J8" s="706" t="s">
        <v>358</v>
      </c>
      <c r="K8" t="str">
        <f t="shared" si="2"/>
        <v>Switch</v>
      </c>
      <c r="M8" s="419">
        <f t="shared" si="0"/>
        <v>4</v>
      </c>
      <c r="N8" s="419">
        <f t="shared" si="3"/>
        <v>4</v>
      </c>
      <c r="O8" s="419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1">
        <f>All_Detail_v2[[#This Row],[Scheduled Date]]</f>
        <v>46072</v>
      </c>
      <c r="S8" s="421">
        <f>All_Detail_v2[[#This Row],[Install Date]]</f>
        <v>46072</v>
      </c>
    </row>
    <row r="9" spans="1:19">
      <c r="A9">
        <v>8</v>
      </c>
      <c r="B9" s="704" t="s">
        <v>352</v>
      </c>
      <c r="C9" s="705" t="s">
        <v>353</v>
      </c>
      <c r="D9" s="706" t="s">
        <v>367</v>
      </c>
      <c r="E9" s="706" t="s">
        <v>364</v>
      </c>
      <c r="F9" s="706">
        <v>3</v>
      </c>
      <c r="G9" s="706">
        <v>3</v>
      </c>
      <c r="H9" s="720">
        <v>46090</v>
      </c>
      <c r="I9" s="720">
        <v>46090</v>
      </c>
      <c r="J9" s="706" t="s">
        <v>358</v>
      </c>
      <c r="K9" t="str">
        <f t="shared" si="2"/>
        <v>Switch</v>
      </c>
      <c r="M9" s="419">
        <f t="shared" si="0"/>
        <v>3</v>
      </c>
      <c r="N9" s="419">
        <f t="shared" si="3"/>
        <v>3</v>
      </c>
      <c r="O9" s="419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1">
        <f>All_Detail_v2[[#This Row],[Scheduled Date]]</f>
        <v>46090</v>
      </c>
      <c r="S9" s="421">
        <f>All_Detail_v2[[#This Row],[Install Date]]</f>
        <v>46090</v>
      </c>
    </row>
    <row r="10" spans="1:19">
      <c r="A10">
        <v>9</v>
      </c>
      <c r="B10" s="704" t="s">
        <v>352</v>
      </c>
      <c r="C10" s="705" t="s">
        <v>353</v>
      </c>
      <c r="D10" s="706" t="s">
        <v>367</v>
      </c>
      <c r="E10" s="706" t="s">
        <v>365</v>
      </c>
      <c r="F10" s="706">
        <v>7</v>
      </c>
      <c r="G10" s="706">
        <v>7</v>
      </c>
      <c r="H10" s="720">
        <v>46090</v>
      </c>
      <c r="I10" s="720">
        <v>46090</v>
      </c>
      <c r="J10" s="706" t="s">
        <v>358</v>
      </c>
      <c r="K10" t="str">
        <f t="shared" si="2"/>
        <v>Switch</v>
      </c>
      <c r="M10" s="419">
        <f t="shared" si="0"/>
        <v>7</v>
      </c>
      <c r="N10" s="419">
        <f t="shared" si="3"/>
        <v>7</v>
      </c>
      <c r="O10" s="419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1">
        <f>All_Detail_v2[[#This Row],[Scheduled Date]]</f>
        <v>46090</v>
      </c>
      <c r="S10" s="421">
        <f>All_Detail_v2[[#This Row],[Install Date]]</f>
        <v>46090</v>
      </c>
    </row>
    <row r="11" spans="1:19">
      <c r="A11">
        <v>10</v>
      </c>
      <c r="B11" s="704" t="s">
        <v>352</v>
      </c>
      <c r="C11" s="705" t="s">
        <v>353</v>
      </c>
      <c r="D11" s="706" t="s">
        <v>368</v>
      </c>
      <c r="E11" s="706" t="s">
        <v>364</v>
      </c>
      <c r="F11" s="706">
        <v>5</v>
      </c>
      <c r="G11" s="706">
        <v>5</v>
      </c>
      <c r="H11" s="720">
        <v>46072</v>
      </c>
      <c r="I11" s="720">
        <v>46072</v>
      </c>
      <c r="J11" s="706" t="s">
        <v>358</v>
      </c>
      <c r="K11" t="str">
        <f t="shared" si="2"/>
        <v>Switch</v>
      </c>
      <c r="M11" s="419">
        <f t="shared" si="0"/>
        <v>5</v>
      </c>
      <c r="N11" s="419">
        <f t="shared" si="3"/>
        <v>5</v>
      </c>
      <c r="O11" s="419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1">
        <f>All_Detail_v2[[#This Row],[Scheduled Date]]</f>
        <v>46072</v>
      </c>
      <c r="S11" s="421">
        <f>All_Detail_v2[[#This Row],[Install Date]]</f>
        <v>46072</v>
      </c>
    </row>
    <row r="12" spans="1:19">
      <c r="A12">
        <v>11</v>
      </c>
      <c r="B12" s="704" t="s">
        <v>352</v>
      </c>
      <c r="C12" s="705" t="s">
        <v>353</v>
      </c>
      <c r="D12" s="706" t="s">
        <v>368</v>
      </c>
      <c r="E12" s="706" t="s">
        <v>360</v>
      </c>
      <c r="F12" s="706">
        <v>2</v>
      </c>
      <c r="G12" s="706">
        <v>2</v>
      </c>
      <c r="H12" s="720">
        <v>46072</v>
      </c>
      <c r="I12" s="720">
        <v>46072</v>
      </c>
      <c r="J12" s="706" t="s">
        <v>358</v>
      </c>
      <c r="K12" t="str">
        <f t="shared" si="2"/>
        <v>Switch</v>
      </c>
      <c r="M12" s="419">
        <f t="shared" si="0"/>
        <v>2</v>
      </c>
      <c r="N12" s="419">
        <f t="shared" si="3"/>
        <v>2</v>
      </c>
      <c r="O12" s="419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1">
        <f>All_Detail_v2[[#This Row],[Scheduled Date]]</f>
        <v>46072</v>
      </c>
      <c r="S12" s="421">
        <f>All_Detail_v2[[#This Row],[Install Date]]</f>
        <v>46072</v>
      </c>
    </row>
    <row r="13" spans="1:19">
      <c r="A13">
        <v>12</v>
      </c>
      <c r="B13" s="704" t="s">
        <v>352</v>
      </c>
      <c r="C13" s="705" t="s">
        <v>353</v>
      </c>
      <c r="D13" s="706" t="s">
        <v>368</v>
      </c>
      <c r="E13" s="706" t="s">
        <v>365</v>
      </c>
      <c r="F13" s="706">
        <v>1</v>
      </c>
      <c r="G13" s="706">
        <v>1</v>
      </c>
      <c r="H13" s="720">
        <v>46072</v>
      </c>
      <c r="I13" s="720">
        <v>46072</v>
      </c>
      <c r="J13" s="706" t="s">
        <v>358</v>
      </c>
      <c r="K13" t="str">
        <f t="shared" si="2"/>
        <v>Switch</v>
      </c>
      <c r="M13" s="419">
        <f t="shared" si="0"/>
        <v>1</v>
      </c>
      <c r="N13" s="419">
        <f t="shared" si="3"/>
        <v>1</v>
      </c>
      <c r="O13" s="419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1">
        <f>All_Detail_v2[[#This Row],[Scheduled Date]]</f>
        <v>46072</v>
      </c>
      <c r="S13" s="421">
        <f>All_Detail_v2[[#This Row],[Install Date]]</f>
        <v>46072</v>
      </c>
    </row>
    <row r="14" spans="1:19">
      <c r="A14">
        <v>12</v>
      </c>
      <c r="B14" s="704" t="s">
        <v>352</v>
      </c>
      <c r="C14" s="705" t="s">
        <v>353</v>
      </c>
      <c r="D14" s="706" t="s">
        <v>368</v>
      </c>
      <c r="E14" s="706" t="s">
        <v>354</v>
      </c>
      <c r="F14" s="706">
        <v>12</v>
      </c>
      <c r="G14" s="706">
        <v>12</v>
      </c>
      <c r="H14" s="720">
        <v>46072</v>
      </c>
      <c r="I14" s="720">
        <v>46072</v>
      </c>
      <c r="J14" s="706" t="s">
        <v>358</v>
      </c>
      <c r="K14" t="str">
        <f t="shared" si="2"/>
        <v>AP</v>
      </c>
      <c r="L14" s="648" t="s">
        <v>369</v>
      </c>
      <c r="M14" s="419">
        <f t="shared" si="0"/>
        <v>12</v>
      </c>
      <c r="N14" s="419">
        <f t="shared" si="3"/>
        <v>12</v>
      </c>
      <c r="O14" s="419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1">
        <f>All_Detail_v2[[#This Row],[Scheduled Date]]</f>
        <v>46072</v>
      </c>
      <c r="S14" s="421">
        <f>All_Detail_v2[[#This Row],[Install Date]]</f>
        <v>46072</v>
      </c>
    </row>
    <row r="15" spans="1:19">
      <c r="A15">
        <v>13</v>
      </c>
      <c r="B15" s="704" t="s">
        <v>352</v>
      </c>
      <c r="C15" s="705" t="s">
        <v>353</v>
      </c>
      <c r="D15" s="706" t="s">
        <v>370</v>
      </c>
      <c r="E15" s="706" t="s">
        <v>357</v>
      </c>
      <c r="F15" s="706">
        <v>4</v>
      </c>
      <c r="G15" s="706">
        <v>4</v>
      </c>
      <c r="H15" s="720">
        <v>46069</v>
      </c>
      <c r="I15" s="720">
        <v>46069</v>
      </c>
      <c r="J15" s="706" t="s">
        <v>358</v>
      </c>
      <c r="K15" t="str">
        <f t="shared" si="2"/>
        <v>Switch</v>
      </c>
      <c r="M15" s="419">
        <f t="shared" si="0"/>
        <v>4</v>
      </c>
      <c r="N15" s="419">
        <f t="shared" si="3"/>
        <v>4</v>
      </c>
      <c r="O15" s="419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1">
        <f>All_Detail_v2[[#This Row],[Scheduled Date]]</f>
        <v>46069</v>
      </c>
      <c r="S15" s="421">
        <f>All_Detail_v2[[#This Row],[Install Date]]</f>
        <v>46069</v>
      </c>
    </row>
    <row r="16" spans="1:19">
      <c r="A16">
        <v>14</v>
      </c>
      <c r="B16" s="704" t="s">
        <v>352</v>
      </c>
      <c r="C16" s="705" t="s">
        <v>353</v>
      </c>
      <c r="D16" s="706" t="s">
        <v>371</v>
      </c>
      <c r="E16" s="706" t="s">
        <v>364</v>
      </c>
      <c r="F16" s="706">
        <v>1</v>
      </c>
      <c r="G16" s="706">
        <v>1</v>
      </c>
      <c r="H16" s="720">
        <v>46071</v>
      </c>
      <c r="I16" s="720">
        <v>46071</v>
      </c>
      <c r="J16" s="706" t="s">
        <v>358</v>
      </c>
      <c r="K16" t="str">
        <f t="shared" si="2"/>
        <v>Switch</v>
      </c>
      <c r="M16" s="419">
        <f t="shared" si="0"/>
        <v>1</v>
      </c>
      <c r="N16" s="419">
        <f t="shared" si="3"/>
        <v>1</v>
      </c>
      <c r="O16" s="419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1">
        <f>All_Detail_v2[[#This Row],[Scheduled Date]]</f>
        <v>46071</v>
      </c>
      <c r="S16" s="421">
        <f>All_Detail_v2[[#This Row],[Install Date]]</f>
        <v>46071</v>
      </c>
    </row>
    <row r="17" spans="1:19">
      <c r="A17">
        <v>15</v>
      </c>
      <c r="B17" s="704" t="s">
        <v>352</v>
      </c>
      <c r="C17" s="705" t="s">
        <v>353</v>
      </c>
      <c r="D17" s="706" t="s">
        <v>371</v>
      </c>
      <c r="E17" s="706" t="s">
        <v>365</v>
      </c>
      <c r="F17" s="706">
        <v>2</v>
      </c>
      <c r="G17" s="706">
        <v>2</v>
      </c>
      <c r="H17" s="720">
        <v>46071</v>
      </c>
      <c r="I17" s="720">
        <v>46071</v>
      </c>
      <c r="J17" s="706" t="s">
        <v>358</v>
      </c>
      <c r="K17" t="str">
        <f t="shared" si="2"/>
        <v>Switch</v>
      </c>
      <c r="M17" s="419">
        <f t="shared" si="0"/>
        <v>2</v>
      </c>
      <c r="N17" s="419">
        <f t="shared" si="3"/>
        <v>2</v>
      </c>
      <c r="O17" s="419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1">
        <f>All_Detail_v2[[#This Row],[Scheduled Date]]</f>
        <v>46071</v>
      </c>
      <c r="S17" s="421">
        <f>All_Detail_v2[[#This Row],[Install Date]]</f>
        <v>46071</v>
      </c>
    </row>
    <row r="18" spans="1:19">
      <c r="A18">
        <v>16</v>
      </c>
      <c r="B18" s="704" t="s">
        <v>352</v>
      </c>
      <c r="C18" s="705" t="s">
        <v>353</v>
      </c>
      <c r="D18" s="706" t="s">
        <v>371</v>
      </c>
      <c r="E18" s="706" t="s">
        <v>354</v>
      </c>
      <c r="F18" s="706">
        <v>9</v>
      </c>
      <c r="G18" s="706">
        <v>9</v>
      </c>
      <c r="H18" s="720">
        <v>46071</v>
      </c>
      <c r="I18" s="720">
        <v>46071</v>
      </c>
      <c r="J18" s="706" t="s">
        <v>358</v>
      </c>
      <c r="K18" t="str">
        <f t="shared" si="2"/>
        <v>AP</v>
      </c>
      <c r="L18" s="648" t="s">
        <v>369</v>
      </c>
      <c r="M18" s="419">
        <f t="shared" si="0"/>
        <v>9</v>
      </c>
      <c r="N18" s="419">
        <f t="shared" si="3"/>
        <v>9</v>
      </c>
      <c r="O18" s="419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1">
        <f>All_Detail_v2[[#This Row],[Scheduled Date]]</f>
        <v>46071</v>
      </c>
      <c r="S18" s="421">
        <f>All_Detail_v2[[#This Row],[Install Date]]</f>
        <v>46071</v>
      </c>
    </row>
    <row r="19" spans="1:19">
      <c r="A19">
        <v>17</v>
      </c>
      <c r="B19" s="704" t="s">
        <v>352</v>
      </c>
      <c r="C19" s="705" t="s">
        <v>353</v>
      </c>
      <c r="D19" s="706" t="s">
        <v>372</v>
      </c>
      <c r="E19" s="706" t="s">
        <v>364</v>
      </c>
      <c r="F19" s="706">
        <v>4</v>
      </c>
      <c r="G19" s="706">
        <v>4</v>
      </c>
      <c r="H19" s="720">
        <v>46091</v>
      </c>
      <c r="I19" s="720">
        <v>46091</v>
      </c>
      <c r="J19" s="706" t="s">
        <v>358</v>
      </c>
      <c r="K19" t="str">
        <f t="shared" si="2"/>
        <v>Switch</v>
      </c>
      <c r="M19" s="419">
        <f t="shared" si="0"/>
        <v>4</v>
      </c>
      <c r="N19" s="419">
        <f t="shared" si="3"/>
        <v>4</v>
      </c>
      <c r="O19" s="419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1">
        <f>All_Detail_v2[[#This Row],[Scheduled Date]]</f>
        <v>46091</v>
      </c>
      <c r="S19" s="421">
        <f>All_Detail_v2[[#This Row],[Install Date]]</f>
        <v>46091</v>
      </c>
    </row>
    <row r="20" spans="1:19">
      <c r="A20">
        <v>18</v>
      </c>
      <c r="B20" s="704" t="s">
        <v>352</v>
      </c>
      <c r="C20" s="705" t="s">
        <v>353</v>
      </c>
      <c r="D20" s="706" t="s">
        <v>372</v>
      </c>
      <c r="E20" s="706" t="s">
        <v>365</v>
      </c>
      <c r="F20" s="706">
        <v>1</v>
      </c>
      <c r="G20" s="706">
        <v>1</v>
      </c>
      <c r="H20" s="720">
        <v>46091</v>
      </c>
      <c r="I20" s="720">
        <v>46091</v>
      </c>
      <c r="J20" s="706" t="s">
        <v>358</v>
      </c>
      <c r="K20" t="str">
        <f t="shared" si="2"/>
        <v>Switch</v>
      </c>
      <c r="M20" s="419">
        <f t="shared" si="0"/>
        <v>1</v>
      </c>
      <c r="N20" s="419">
        <f t="shared" si="3"/>
        <v>1</v>
      </c>
      <c r="O20" s="419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1">
        <f>All_Detail_v2[[#This Row],[Scheduled Date]]</f>
        <v>46091</v>
      </c>
      <c r="S20" s="421">
        <f>All_Detail_v2[[#This Row],[Install Date]]</f>
        <v>46091</v>
      </c>
    </row>
    <row r="21" spans="1:19">
      <c r="A21">
        <v>19</v>
      </c>
      <c r="B21" s="704" t="s">
        <v>352</v>
      </c>
      <c r="C21" s="705" t="s">
        <v>353</v>
      </c>
      <c r="D21" s="706" t="s">
        <v>373</v>
      </c>
      <c r="E21" s="706" t="s">
        <v>357</v>
      </c>
      <c r="F21" s="706">
        <v>2</v>
      </c>
      <c r="G21" s="706">
        <v>2</v>
      </c>
      <c r="H21" s="720">
        <v>46069</v>
      </c>
      <c r="I21" s="720">
        <v>46069</v>
      </c>
      <c r="J21" s="706" t="s">
        <v>358</v>
      </c>
      <c r="K21" t="str">
        <f t="shared" si="2"/>
        <v>Switch</v>
      </c>
      <c r="M21" s="419">
        <f t="shared" si="0"/>
        <v>2</v>
      </c>
      <c r="N21" s="419">
        <f t="shared" si="3"/>
        <v>2</v>
      </c>
      <c r="O21" s="419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1">
        <f>All_Detail_v2[[#This Row],[Scheduled Date]]</f>
        <v>46069</v>
      </c>
      <c r="S21" s="421">
        <f>All_Detail_v2[[#This Row],[Install Date]]</f>
        <v>46069</v>
      </c>
    </row>
    <row r="22" spans="1:19">
      <c r="A22">
        <v>20</v>
      </c>
      <c r="B22" s="704" t="s">
        <v>352</v>
      </c>
      <c r="C22" s="705" t="s">
        <v>353</v>
      </c>
      <c r="D22" s="706" t="s">
        <v>374</v>
      </c>
      <c r="E22" s="706" t="s">
        <v>364</v>
      </c>
      <c r="F22" s="706">
        <v>2</v>
      </c>
      <c r="G22" s="706">
        <v>2</v>
      </c>
      <c r="H22" s="720">
        <v>46070</v>
      </c>
      <c r="I22" s="720">
        <v>46070</v>
      </c>
      <c r="J22" s="706" t="s">
        <v>358</v>
      </c>
      <c r="K22" t="str">
        <f t="shared" si="2"/>
        <v>Switch</v>
      </c>
      <c r="M22" s="419">
        <f t="shared" si="0"/>
        <v>2</v>
      </c>
      <c r="N22" s="419">
        <f t="shared" si="3"/>
        <v>2</v>
      </c>
      <c r="O22" s="419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1">
        <f>All_Detail_v2[[#This Row],[Scheduled Date]]</f>
        <v>46070</v>
      </c>
      <c r="S22" s="421">
        <f>All_Detail_v2[[#This Row],[Install Date]]</f>
        <v>46070</v>
      </c>
    </row>
    <row r="23" spans="1:19">
      <c r="A23">
        <v>21</v>
      </c>
      <c r="B23" s="704" t="s">
        <v>352</v>
      </c>
      <c r="C23" s="705" t="s">
        <v>353</v>
      </c>
      <c r="D23" s="706" t="s">
        <v>374</v>
      </c>
      <c r="E23" s="706" t="s">
        <v>365</v>
      </c>
      <c r="F23" s="706">
        <v>4</v>
      </c>
      <c r="G23" s="706">
        <v>4</v>
      </c>
      <c r="H23" s="720">
        <v>46070</v>
      </c>
      <c r="I23" s="720">
        <v>46070</v>
      </c>
      <c r="J23" s="706" t="s">
        <v>358</v>
      </c>
      <c r="K23" t="str">
        <f t="shared" si="2"/>
        <v>Switch</v>
      </c>
      <c r="M23" s="419">
        <f t="shared" si="0"/>
        <v>4</v>
      </c>
      <c r="N23" s="419">
        <f t="shared" si="3"/>
        <v>4</v>
      </c>
      <c r="O23" s="419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1">
        <f>All_Detail_v2[[#This Row],[Scheduled Date]]</f>
        <v>46070</v>
      </c>
      <c r="S23" s="421">
        <f>All_Detail_v2[[#This Row],[Install Date]]</f>
        <v>46070</v>
      </c>
    </row>
    <row r="24" spans="1:19">
      <c r="A24">
        <v>21</v>
      </c>
      <c r="B24" s="704" t="s">
        <v>352</v>
      </c>
      <c r="C24" s="705" t="s">
        <v>353</v>
      </c>
      <c r="D24" s="706" t="s">
        <v>374</v>
      </c>
      <c r="E24" s="706" t="s">
        <v>354</v>
      </c>
      <c r="F24" s="706">
        <v>15</v>
      </c>
      <c r="G24" s="706">
        <v>15</v>
      </c>
      <c r="H24" s="720">
        <v>46070</v>
      </c>
      <c r="I24" s="720">
        <v>46070</v>
      </c>
      <c r="J24" s="706" t="s">
        <v>358</v>
      </c>
      <c r="K24" t="str">
        <f t="shared" si="2"/>
        <v>AP</v>
      </c>
      <c r="L24" s="648" t="s">
        <v>369</v>
      </c>
      <c r="M24" s="419">
        <f t="shared" si="0"/>
        <v>15</v>
      </c>
      <c r="N24" s="419">
        <f t="shared" si="3"/>
        <v>15</v>
      </c>
      <c r="O24" s="419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1">
        <f>All_Detail_v2[[#This Row],[Scheduled Date]]</f>
        <v>46070</v>
      </c>
      <c r="S24" s="421">
        <f>All_Detail_v2[[#This Row],[Install Date]]</f>
        <v>46070</v>
      </c>
    </row>
    <row r="25" spans="1:19">
      <c r="A25">
        <v>22</v>
      </c>
      <c r="B25" s="704" t="s">
        <v>352</v>
      </c>
      <c r="C25" s="705" t="s">
        <v>353</v>
      </c>
      <c r="D25" s="706" t="s">
        <v>375</v>
      </c>
      <c r="E25" s="706" t="s">
        <v>364</v>
      </c>
      <c r="F25" s="706">
        <v>2</v>
      </c>
      <c r="G25" s="706">
        <v>2</v>
      </c>
      <c r="H25" s="720">
        <v>46091</v>
      </c>
      <c r="I25" s="720">
        <v>46091</v>
      </c>
      <c r="J25" s="706" t="s">
        <v>358</v>
      </c>
      <c r="K25" t="str">
        <f t="shared" si="2"/>
        <v>Switch</v>
      </c>
      <c r="M25" s="419">
        <f t="shared" si="0"/>
        <v>2</v>
      </c>
      <c r="N25" s="419">
        <f t="shared" si="3"/>
        <v>2</v>
      </c>
      <c r="O25" s="419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1">
        <f>All_Detail_v2[[#This Row],[Scheduled Date]]</f>
        <v>46091</v>
      </c>
      <c r="S25" s="421">
        <f>All_Detail_v2[[#This Row],[Install Date]]</f>
        <v>46091</v>
      </c>
    </row>
    <row r="26" spans="1:19">
      <c r="A26">
        <v>23</v>
      </c>
      <c r="B26" s="704" t="s">
        <v>352</v>
      </c>
      <c r="C26" s="705" t="s">
        <v>353</v>
      </c>
      <c r="D26" s="706" t="s">
        <v>375</v>
      </c>
      <c r="E26" s="706" t="s">
        <v>365</v>
      </c>
      <c r="F26" s="706">
        <v>1</v>
      </c>
      <c r="G26" s="706">
        <v>1</v>
      </c>
      <c r="H26" s="720">
        <v>46091</v>
      </c>
      <c r="I26" s="720">
        <v>46091</v>
      </c>
      <c r="J26" s="706" t="s">
        <v>358</v>
      </c>
      <c r="K26" t="str">
        <f t="shared" si="2"/>
        <v>Switch</v>
      </c>
      <c r="M26" s="419">
        <f t="shared" si="0"/>
        <v>1</v>
      </c>
      <c r="N26" s="419">
        <f t="shared" si="3"/>
        <v>1</v>
      </c>
      <c r="O26" s="419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1">
        <f>All_Detail_v2[[#This Row],[Scheduled Date]]</f>
        <v>46091</v>
      </c>
      <c r="S26" s="421">
        <f>All_Detail_v2[[#This Row],[Install Date]]</f>
        <v>46091</v>
      </c>
    </row>
    <row r="27" spans="1:19">
      <c r="A27">
        <v>24</v>
      </c>
      <c r="B27" s="704" t="s">
        <v>352</v>
      </c>
      <c r="C27" s="705" t="s">
        <v>353</v>
      </c>
      <c r="D27" s="706" t="s">
        <v>376</v>
      </c>
      <c r="E27" s="706" t="s">
        <v>364</v>
      </c>
      <c r="F27" s="706">
        <v>4</v>
      </c>
      <c r="G27" s="706">
        <v>4</v>
      </c>
      <c r="H27" s="720">
        <v>46099</v>
      </c>
      <c r="I27" s="720">
        <v>46099</v>
      </c>
      <c r="J27" s="706" t="s">
        <v>358</v>
      </c>
      <c r="K27" t="str">
        <f t="shared" si="2"/>
        <v>Switch</v>
      </c>
      <c r="M27" s="419">
        <f t="shared" si="0"/>
        <v>4</v>
      </c>
      <c r="N27" s="419">
        <f t="shared" si="3"/>
        <v>4</v>
      </c>
      <c r="O27" s="419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1">
        <f>All_Detail_v2[[#This Row],[Scheduled Date]]</f>
        <v>46099</v>
      </c>
      <c r="S27" s="421">
        <f>All_Detail_v2[[#This Row],[Install Date]]</f>
        <v>46099</v>
      </c>
    </row>
    <row r="28" spans="1:19">
      <c r="A28">
        <v>25</v>
      </c>
      <c r="B28" s="704" t="s">
        <v>352</v>
      </c>
      <c r="C28" s="705" t="s">
        <v>353</v>
      </c>
      <c r="D28" s="706" t="s">
        <v>376</v>
      </c>
      <c r="E28" s="706" t="s">
        <v>365</v>
      </c>
      <c r="F28" s="706">
        <v>3</v>
      </c>
      <c r="G28" s="706">
        <v>3</v>
      </c>
      <c r="H28" s="720">
        <v>46099</v>
      </c>
      <c r="I28" s="720">
        <v>46099</v>
      </c>
      <c r="J28" s="706" t="s">
        <v>358</v>
      </c>
      <c r="K28" t="str">
        <f t="shared" si="2"/>
        <v>Switch</v>
      </c>
      <c r="M28" s="419">
        <f t="shared" si="0"/>
        <v>3</v>
      </c>
      <c r="N28" s="419">
        <f t="shared" si="3"/>
        <v>3</v>
      </c>
      <c r="O28" s="419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1">
        <f>All_Detail_v2[[#This Row],[Scheduled Date]]</f>
        <v>46099</v>
      </c>
      <c r="S28" s="421">
        <f>All_Detail_v2[[#This Row],[Install Date]]</f>
        <v>46099</v>
      </c>
    </row>
    <row r="29" spans="1:19">
      <c r="A29">
        <v>26</v>
      </c>
      <c r="B29" s="704" t="s">
        <v>352</v>
      </c>
      <c r="C29" s="705" t="s">
        <v>353</v>
      </c>
      <c r="D29" s="706" t="s">
        <v>377</v>
      </c>
      <c r="E29" s="706" t="s">
        <v>357</v>
      </c>
      <c r="F29" s="706">
        <v>3</v>
      </c>
      <c r="G29" s="706">
        <v>3</v>
      </c>
      <c r="H29" s="720">
        <v>46099</v>
      </c>
      <c r="I29" s="720">
        <v>46099</v>
      </c>
      <c r="J29" s="706" t="s">
        <v>358</v>
      </c>
      <c r="K29" t="str">
        <f t="shared" si="2"/>
        <v>Switch</v>
      </c>
      <c r="M29" s="419">
        <f t="shared" si="0"/>
        <v>3</v>
      </c>
      <c r="N29" s="419">
        <f t="shared" si="3"/>
        <v>3</v>
      </c>
      <c r="O29" s="419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1">
        <f>All_Detail_v2[[#This Row],[Scheduled Date]]</f>
        <v>46099</v>
      </c>
      <c r="S29" s="421">
        <f>All_Detail_v2[[#This Row],[Install Date]]</f>
        <v>46099</v>
      </c>
    </row>
    <row r="30" spans="1:19">
      <c r="A30">
        <v>27</v>
      </c>
      <c r="B30" s="704" t="s">
        <v>352</v>
      </c>
      <c r="C30" s="705" t="s">
        <v>353</v>
      </c>
      <c r="D30" s="706" t="s">
        <v>378</v>
      </c>
      <c r="E30" s="706" t="s">
        <v>357</v>
      </c>
      <c r="F30" s="706">
        <v>2</v>
      </c>
      <c r="G30" s="706">
        <v>2</v>
      </c>
      <c r="H30" s="720">
        <v>46073</v>
      </c>
      <c r="I30" s="720">
        <v>46073</v>
      </c>
      <c r="J30" s="706" t="s">
        <v>358</v>
      </c>
      <c r="K30" t="str">
        <f t="shared" si="2"/>
        <v>Switch</v>
      </c>
      <c r="M30" s="419">
        <f t="shared" si="0"/>
        <v>2</v>
      </c>
      <c r="N30" s="419">
        <f t="shared" si="3"/>
        <v>2</v>
      </c>
      <c r="O30" s="419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1">
        <f>All_Detail_v2[[#This Row],[Scheduled Date]]</f>
        <v>46073</v>
      </c>
      <c r="S30" s="421">
        <f>All_Detail_v2[[#This Row],[Install Date]]</f>
        <v>46073</v>
      </c>
    </row>
    <row r="31" spans="1:19">
      <c r="A31">
        <v>28</v>
      </c>
      <c r="B31" s="704" t="s">
        <v>352</v>
      </c>
      <c r="C31" s="705" t="s">
        <v>353</v>
      </c>
      <c r="D31" s="706" t="s">
        <v>379</v>
      </c>
      <c r="E31" s="706" t="s">
        <v>365</v>
      </c>
      <c r="F31" s="706">
        <v>1</v>
      </c>
      <c r="G31" s="706">
        <v>1</v>
      </c>
      <c r="H31" s="720">
        <v>46071</v>
      </c>
      <c r="I31" s="720">
        <v>46071</v>
      </c>
      <c r="J31" s="706" t="s">
        <v>358</v>
      </c>
      <c r="K31" t="str">
        <f t="shared" si="2"/>
        <v>Switch</v>
      </c>
      <c r="M31" s="419">
        <f t="shared" si="0"/>
        <v>1</v>
      </c>
      <c r="N31" s="419">
        <f t="shared" si="3"/>
        <v>1</v>
      </c>
      <c r="O31" s="419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1">
        <f>All_Detail_v2[[#This Row],[Scheduled Date]]</f>
        <v>46071</v>
      </c>
      <c r="S31" s="421">
        <f>All_Detail_v2[[#This Row],[Install Date]]</f>
        <v>46071</v>
      </c>
    </row>
    <row r="32" spans="1:19">
      <c r="A32">
        <v>29</v>
      </c>
      <c r="B32" s="704" t="s">
        <v>352</v>
      </c>
      <c r="C32" s="705" t="s">
        <v>353</v>
      </c>
      <c r="D32" s="706" t="s">
        <v>380</v>
      </c>
      <c r="E32" s="706" t="s">
        <v>364</v>
      </c>
      <c r="F32" s="706">
        <v>2</v>
      </c>
      <c r="G32" s="706">
        <v>2</v>
      </c>
      <c r="H32" s="720">
        <v>46071</v>
      </c>
      <c r="I32" s="720">
        <v>46071</v>
      </c>
      <c r="J32" s="706" t="s">
        <v>358</v>
      </c>
      <c r="K32" t="str">
        <f t="shared" si="2"/>
        <v>Switch</v>
      </c>
      <c r="M32" s="419">
        <f t="shared" si="0"/>
        <v>2</v>
      </c>
      <c r="N32" s="419">
        <f t="shared" si="3"/>
        <v>2</v>
      </c>
      <c r="O32" s="419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1">
        <f>All_Detail_v2[[#This Row],[Scheduled Date]]</f>
        <v>46071</v>
      </c>
      <c r="S32" s="421">
        <f>All_Detail_v2[[#This Row],[Install Date]]</f>
        <v>46071</v>
      </c>
    </row>
    <row r="33" spans="1:19">
      <c r="A33">
        <v>30</v>
      </c>
      <c r="B33" s="704" t="s">
        <v>352</v>
      </c>
      <c r="C33" s="705" t="s">
        <v>353</v>
      </c>
      <c r="D33" s="706" t="s">
        <v>380</v>
      </c>
      <c r="E33" s="706" t="s">
        <v>357</v>
      </c>
      <c r="F33" s="706">
        <v>2</v>
      </c>
      <c r="G33" s="706">
        <v>2</v>
      </c>
      <c r="H33" s="720">
        <v>46071</v>
      </c>
      <c r="I33" s="720">
        <v>46071</v>
      </c>
      <c r="J33" s="706" t="s">
        <v>358</v>
      </c>
      <c r="K33" t="str">
        <f t="shared" si="2"/>
        <v>Switch</v>
      </c>
      <c r="M33" s="419">
        <f t="shared" si="0"/>
        <v>2</v>
      </c>
      <c r="N33" s="419">
        <f t="shared" si="3"/>
        <v>2</v>
      </c>
      <c r="O33" s="419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1">
        <f>All_Detail_v2[[#This Row],[Scheduled Date]]</f>
        <v>46071</v>
      </c>
      <c r="S33" s="421">
        <f>All_Detail_v2[[#This Row],[Install Date]]</f>
        <v>46071</v>
      </c>
    </row>
    <row r="34" spans="1:19">
      <c r="A34">
        <v>30</v>
      </c>
      <c r="B34" s="704" t="s">
        <v>352</v>
      </c>
      <c r="C34" s="705" t="s">
        <v>353</v>
      </c>
      <c r="D34" s="706" t="s">
        <v>380</v>
      </c>
      <c r="E34" s="706" t="s">
        <v>354</v>
      </c>
      <c r="F34" s="706">
        <v>7</v>
      </c>
      <c r="G34" s="706">
        <v>7</v>
      </c>
      <c r="H34" s="720">
        <v>46071</v>
      </c>
      <c r="I34" s="720">
        <v>46071</v>
      </c>
      <c r="J34" s="706" t="s">
        <v>358</v>
      </c>
      <c r="K34" t="str">
        <f t="shared" si="2"/>
        <v>AP</v>
      </c>
      <c r="L34" s="648" t="s">
        <v>369</v>
      </c>
      <c r="M34" s="419">
        <f t="shared" si="0"/>
        <v>7</v>
      </c>
      <c r="N34" s="419">
        <f t="shared" si="3"/>
        <v>7</v>
      </c>
      <c r="O34" s="419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1">
        <f>All_Detail_v2[[#This Row],[Scheduled Date]]</f>
        <v>46071</v>
      </c>
      <c r="S34" s="421">
        <f>All_Detail_v2[[#This Row],[Install Date]]</f>
        <v>46071</v>
      </c>
    </row>
    <row r="35" spans="1:19">
      <c r="A35">
        <v>31</v>
      </c>
      <c r="B35" s="704" t="s">
        <v>352</v>
      </c>
      <c r="C35" s="705" t="s">
        <v>353</v>
      </c>
      <c r="D35" s="706" t="s">
        <v>381</v>
      </c>
      <c r="E35" s="706" t="s">
        <v>360</v>
      </c>
      <c r="F35" s="706">
        <v>2</v>
      </c>
      <c r="G35" s="706">
        <v>1</v>
      </c>
      <c r="H35" s="720">
        <v>46090</v>
      </c>
      <c r="I35" s="720">
        <v>46090</v>
      </c>
      <c r="J35" s="706" t="s">
        <v>358</v>
      </c>
      <c r="K35" t="str">
        <f t="shared" si="2"/>
        <v>Switch</v>
      </c>
      <c r="M35" s="419">
        <f t="shared" si="0"/>
        <v>1</v>
      </c>
      <c r="N35" s="419">
        <f t="shared" si="3"/>
        <v>1</v>
      </c>
      <c r="O35" s="419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1">
        <f>All_Detail_v2[[#This Row],[Scheduled Date]]</f>
        <v>46090</v>
      </c>
      <c r="S35" s="421">
        <f>All_Detail_v2[[#This Row],[Install Date]]</f>
        <v>46090</v>
      </c>
    </row>
    <row r="36" spans="1:19">
      <c r="A36">
        <v>32</v>
      </c>
      <c r="B36" s="704" t="s">
        <v>352</v>
      </c>
      <c r="C36" s="705" t="s">
        <v>353</v>
      </c>
      <c r="D36" s="706" t="s">
        <v>381</v>
      </c>
      <c r="E36" s="706" t="s">
        <v>365</v>
      </c>
      <c r="F36" s="706">
        <v>2</v>
      </c>
      <c r="G36" s="706">
        <v>1</v>
      </c>
      <c r="H36" s="720">
        <v>46090</v>
      </c>
      <c r="I36" s="720">
        <v>46090</v>
      </c>
      <c r="J36" s="706" t="s">
        <v>358</v>
      </c>
      <c r="K36" t="str">
        <f t="shared" si="2"/>
        <v>Switch</v>
      </c>
      <c r="M36" s="419">
        <f t="shared" si="0"/>
        <v>1</v>
      </c>
      <c r="N36" s="419">
        <f t="shared" si="3"/>
        <v>1</v>
      </c>
      <c r="O36" s="419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1">
        <f>All_Detail_v2[[#This Row],[Scheduled Date]]</f>
        <v>46090</v>
      </c>
      <c r="S36" s="421">
        <f>All_Detail_v2[[#This Row],[Install Date]]</f>
        <v>46090</v>
      </c>
    </row>
    <row r="37" spans="1:19">
      <c r="A37">
        <v>33</v>
      </c>
      <c r="B37" s="704" t="s">
        <v>352</v>
      </c>
      <c r="C37" s="705" t="s">
        <v>353</v>
      </c>
      <c r="D37" s="706" t="s">
        <v>382</v>
      </c>
      <c r="E37" s="706" t="s">
        <v>360</v>
      </c>
      <c r="F37" s="706">
        <v>1</v>
      </c>
      <c r="G37" s="706">
        <v>1</v>
      </c>
      <c r="H37" s="720">
        <v>46071</v>
      </c>
      <c r="I37" s="720">
        <v>46071</v>
      </c>
      <c r="J37" s="706" t="s">
        <v>358</v>
      </c>
      <c r="K37" t="str">
        <f t="shared" si="2"/>
        <v>Switch</v>
      </c>
      <c r="L37" t="s">
        <v>383</v>
      </c>
      <c r="M37" s="419">
        <f t="shared" si="0"/>
        <v>1</v>
      </c>
      <c r="N37" s="419">
        <f t="shared" si="3"/>
        <v>1</v>
      </c>
      <c r="O37" s="419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1">
        <f>All_Detail_v2[[#This Row],[Scheduled Date]]</f>
        <v>46071</v>
      </c>
      <c r="S37" s="421">
        <f>All_Detail_v2[[#This Row],[Install Date]]</f>
        <v>46071</v>
      </c>
    </row>
    <row r="38" spans="1:19">
      <c r="A38">
        <v>34</v>
      </c>
      <c r="B38" s="704" t="s">
        <v>352</v>
      </c>
      <c r="C38" s="705" t="s">
        <v>353</v>
      </c>
      <c r="D38" s="706" t="s">
        <v>384</v>
      </c>
      <c r="E38" s="706" t="s">
        <v>360</v>
      </c>
      <c r="F38" s="706">
        <v>1</v>
      </c>
      <c r="G38" s="706">
        <v>1</v>
      </c>
      <c r="H38" s="720">
        <v>46070</v>
      </c>
      <c r="I38" s="720">
        <v>46070</v>
      </c>
      <c r="J38" s="706" t="s">
        <v>358</v>
      </c>
      <c r="K38" t="str">
        <f t="shared" si="2"/>
        <v>Switch</v>
      </c>
      <c r="L38" s="648" t="s">
        <v>385</v>
      </c>
      <c r="M38" s="419">
        <f t="shared" si="0"/>
        <v>1</v>
      </c>
      <c r="N38" s="419">
        <f t="shared" si="3"/>
        <v>1</v>
      </c>
      <c r="O38" s="419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1">
        <f>All_Detail_v2[[#This Row],[Scheduled Date]]</f>
        <v>46070</v>
      </c>
      <c r="S38" s="421">
        <f>All_Detail_v2[[#This Row],[Install Date]]</f>
        <v>46070</v>
      </c>
    </row>
    <row r="39" spans="1:19">
      <c r="A39">
        <v>35</v>
      </c>
      <c r="B39" s="704" t="s">
        <v>352</v>
      </c>
      <c r="C39" s="705" t="s">
        <v>353</v>
      </c>
      <c r="D39" s="706" t="s">
        <v>384</v>
      </c>
      <c r="E39" s="706" t="s">
        <v>365</v>
      </c>
      <c r="F39" s="706">
        <v>1</v>
      </c>
      <c r="G39" s="706">
        <v>1</v>
      </c>
      <c r="H39" s="720">
        <v>46070</v>
      </c>
      <c r="I39" s="720">
        <v>46070</v>
      </c>
      <c r="J39" s="706" t="s">
        <v>358</v>
      </c>
      <c r="K39" t="str">
        <f t="shared" si="2"/>
        <v>Switch</v>
      </c>
      <c r="L39" t="s">
        <v>386</v>
      </c>
      <c r="M39" s="419">
        <f t="shared" si="0"/>
        <v>1</v>
      </c>
      <c r="N39" s="419">
        <f t="shared" si="3"/>
        <v>1</v>
      </c>
      <c r="O39" s="419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1">
        <f>All_Detail_v2[[#This Row],[Scheduled Date]]</f>
        <v>46070</v>
      </c>
      <c r="S39" s="421">
        <f>All_Detail_v2[[#This Row],[Install Date]]</f>
        <v>46070</v>
      </c>
    </row>
    <row r="40" spans="1:19">
      <c r="A40">
        <v>36</v>
      </c>
      <c r="B40" s="704" t="s">
        <v>352</v>
      </c>
      <c r="C40" s="705" t="s">
        <v>353</v>
      </c>
      <c r="D40" s="705" t="s">
        <v>387</v>
      </c>
      <c r="E40" s="706" t="s">
        <v>360</v>
      </c>
      <c r="F40" s="706">
        <v>1</v>
      </c>
      <c r="G40" s="706">
        <v>1</v>
      </c>
      <c r="H40" s="720"/>
      <c r="I40" s="720">
        <v>46174</v>
      </c>
      <c r="J40" s="706" t="s">
        <v>388</v>
      </c>
      <c r="K40" t="str">
        <f t="shared" si="2"/>
        <v>Switch</v>
      </c>
      <c r="L40" s="648" t="s">
        <v>389</v>
      </c>
      <c r="M40" s="419">
        <f t="shared" si="0"/>
        <v>1</v>
      </c>
      <c r="N40" s="419">
        <f t="shared" si="3"/>
        <v>1</v>
      </c>
      <c r="O40" s="419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1">
        <f>All_Detail_v2[[#This Row],[Scheduled Date]]</f>
        <v>46174</v>
      </c>
      <c r="S40" s="421">
        <f>All_Detail_v2[[#This Row],[Install Date]]</f>
        <v>0</v>
      </c>
    </row>
    <row r="41" spans="1:19">
      <c r="A41">
        <v>37</v>
      </c>
      <c r="B41" s="704" t="s">
        <v>352</v>
      </c>
      <c r="C41" s="705" t="s">
        <v>353</v>
      </c>
      <c r="D41" s="705" t="s">
        <v>387</v>
      </c>
      <c r="E41" s="706" t="s">
        <v>365</v>
      </c>
      <c r="F41" s="706">
        <v>1</v>
      </c>
      <c r="G41" s="706">
        <v>1</v>
      </c>
      <c r="H41" s="720">
        <v>46090</v>
      </c>
      <c r="I41" s="720">
        <v>46090</v>
      </c>
      <c r="J41" s="706" t="s">
        <v>358</v>
      </c>
      <c r="K41" t="str">
        <f t="shared" si="2"/>
        <v>Switch</v>
      </c>
      <c r="M41" s="419">
        <f t="shared" si="0"/>
        <v>1</v>
      </c>
      <c r="N41" s="419">
        <f t="shared" si="3"/>
        <v>1</v>
      </c>
      <c r="O41" s="419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1">
        <f>All_Detail_v2[[#This Row],[Scheduled Date]]</f>
        <v>46090</v>
      </c>
      <c r="S41" s="421">
        <f>All_Detail_v2[[#This Row],[Install Date]]</f>
        <v>46090</v>
      </c>
    </row>
    <row r="42" spans="1:19">
      <c r="A42">
        <v>38</v>
      </c>
      <c r="B42" s="704" t="s">
        <v>352</v>
      </c>
      <c r="C42" s="705" t="s">
        <v>353</v>
      </c>
      <c r="D42" s="705" t="s">
        <v>390</v>
      </c>
      <c r="E42" s="706" t="s">
        <v>360</v>
      </c>
      <c r="F42" s="706">
        <v>1</v>
      </c>
      <c r="G42" s="706">
        <v>1</v>
      </c>
      <c r="H42" s="720">
        <v>46071</v>
      </c>
      <c r="I42" s="720">
        <v>46071</v>
      </c>
      <c r="J42" s="706" t="s">
        <v>358</v>
      </c>
      <c r="K42" t="str">
        <f t="shared" si="2"/>
        <v>Switch</v>
      </c>
      <c r="L42" t="s">
        <v>391</v>
      </c>
      <c r="M42" s="419">
        <f t="shared" si="0"/>
        <v>1</v>
      </c>
      <c r="N42" s="419">
        <f t="shared" si="3"/>
        <v>1</v>
      </c>
      <c r="O42" s="419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1">
        <f>All_Detail_v2[[#This Row],[Scheduled Date]]</f>
        <v>46071</v>
      </c>
      <c r="S42" s="421">
        <f>All_Detail_v2[[#This Row],[Install Date]]</f>
        <v>46071</v>
      </c>
    </row>
    <row r="43" spans="1:19">
      <c r="A43">
        <v>39</v>
      </c>
      <c r="B43" s="704" t="s">
        <v>352</v>
      </c>
      <c r="C43" s="705" t="s">
        <v>353</v>
      </c>
      <c r="D43" s="705" t="s">
        <v>390</v>
      </c>
      <c r="E43" s="706" t="s">
        <v>365</v>
      </c>
      <c r="F43" s="706">
        <v>1</v>
      </c>
      <c r="G43" s="706">
        <v>1</v>
      </c>
      <c r="H43" s="720">
        <v>46071</v>
      </c>
      <c r="I43" s="720">
        <v>46071</v>
      </c>
      <c r="J43" s="706" t="s">
        <v>358</v>
      </c>
      <c r="K43" t="str">
        <f t="shared" si="2"/>
        <v>Switch</v>
      </c>
      <c r="L43" t="s">
        <v>391</v>
      </c>
      <c r="M43" s="419">
        <f t="shared" si="0"/>
        <v>1</v>
      </c>
      <c r="N43" s="419">
        <f t="shared" si="3"/>
        <v>1</v>
      </c>
      <c r="O43" s="419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1">
        <f>All_Detail_v2[[#This Row],[Scheduled Date]]</f>
        <v>46071</v>
      </c>
      <c r="S43" s="421">
        <f>All_Detail_v2[[#This Row],[Install Date]]</f>
        <v>46071</v>
      </c>
    </row>
    <row r="44" spans="1:19">
      <c r="A44">
        <v>40</v>
      </c>
      <c r="B44" s="704" t="s">
        <v>352</v>
      </c>
      <c r="C44" s="705" t="s">
        <v>353</v>
      </c>
      <c r="D44" s="705" t="s">
        <v>392</v>
      </c>
      <c r="E44" s="706" t="s">
        <v>360</v>
      </c>
      <c r="F44" s="706">
        <v>1</v>
      </c>
      <c r="G44" s="706">
        <v>0</v>
      </c>
      <c r="H44" s="720">
        <v>46070</v>
      </c>
      <c r="I44" s="720">
        <v>46070</v>
      </c>
      <c r="J44" s="706" t="s">
        <v>358</v>
      </c>
      <c r="K44" t="str">
        <f t="shared" si="2"/>
        <v>Switch</v>
      </c>
      <c r="L44" s="648" t="s">
        <v>393</v>
      </c>
      <c r="M44" s="419">
        <f t="shared" si="0"/>
        <v>0</v>
      </c>
      <c r="N44" s="419">
        <f t="shared" si="3"/>
        <v>0</v>
      </c>
      <c r="O44" s="419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1">
        <f>All_Detail_v2[[#This Row],[Scheduled Date]]</f>
        <v>46070</v>
      </c>
      <c r="S44" s="421">
        <f>All_Detail_v2[[#This Row],[Install Date]]</f>
        <v>46070</v>
      </c>
    </row>
    <row r="45" spans="1:19">
      <c r="A45">
        <v>41</v>
      </c>
      <c r="B45" s="704" t="s">
        <v>352</v>
      </c>
      <c r="C45" s="705" t="s">
        <v>353</v>
      </c>
      <c r="D45" s="705" t="s">
        <v>392</v>
      </c>
      <c r="E45" s="706" t="s">
        <v>365</v>
      </c>
      <c r="F45" s="706">
        <v>1</v>
      </c>
      <c r="G45" s="706">
        <v>1</v>
      </c>
      <c r="H45" s="720">
        <v>46070</v>
      </c>
      <c r="I45" s="720">
        <v>46070</v>
      </c>
      <c r="J45" s="706" t="s">
        <v>358</v>
      </c>
      <c r="K45" t="str">
        <f t="shared" si="2"/>
        <v>Switch</v>
      </c>
      <c r="L45" t="s">
        <v>394</v>
      </c>
      <c r="M45" s="419">
        <f t="shared" si="0"/>
        <v>1</v>
      </c>
      <c r="N45" s="419">
        <f t="shared" si="3"/>
        <v>1</v>
      </c>
      <c r="O45" s="419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1">
        <f>All_Detail_v2[[#This Row],[Scheduled Date]]</f>
        <v>46070</v>
      </c>
      <c r="S45" s="421">
        <f>All_Detail_v2[[#This Row],[Install Date]]</f>
        <v>46070</v>
      </c>
    </row>
    <row r="46" spans="1:19">
      <c r="A46">
        <v>42</v>
      </c>
      <c r="B46" s="704" t="s">
        <v>352</v>
      </c>
      <c r="C46" s="705" t="s">
        <v>353</v>
      </c>
      <c r="D46" s="705" t="s">
        <v>395</v>
      </c>
      <c r="E46" s="706" t="s">
        <v>360</v>
      </c>
      <c r="F46" s="706">
        <v>2</v>
      </c>
      <c r="G46" s="706">
        <v>1</v>
      </c>
      <c r="H46" s="720">
        <v>46070</v>
      </c>
      <c r="I46" s="720">
        <v>46070</v>
      </c>
      <c r="J46" s="706" t="s">
        <v>358</v>
      </c>
      <c r="K46" t="str">
        <f t="shared" si="2"/>
        <v>Switch</v>
      </c>
      <c r="L46" s="648" t="s">
        <v>396</v>
      </c>
      <c r="M46" s="419">
        <f t="shared" si="0"/>
        <v>1</v>
      </c>
      <c r="N46" s="419">
        <f t="shared" si="3"/>
        <v>1</v>
      </c>
      <c r="O46" s="419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1">
        <f>All_Detail_v2[[#This Row],[Scheduled Date]]</f>
        <v>46070</v>
      </c>
      <c r="S46" s="421">
        <f>All_Detail_v2[[#This Row],[Install Date]]</f>
        <v>46070</v>
      </c>
    </row>
    <row r="47" spans="1:19">
      <c r="A47">
        <v>43</v>
      </c>
      <c r="B47" s="704" t="s">
        <v>352</v>
      </c>
      <c r="C47" s="705" t="s">
        <v>353</v>
      </c>
      <c r="D47" s="705" t="s">
        <v>395</v>
      </c>
      <c r="E47" s="706" t="s">
        <v>365</v>
      </c>
      <c r="F47" s="706">
        <v>1</v>
      </c>
      <c r="G47" s="706">
        <v>1</v>
      </c>
      <c r="H47" s="720">
        <v>46070</v>
      </c>
      <c r="I47" s="720">
        <v>46070</v>
      </c>
      <c r="J47" s="706" t="s">
        <v>358</v>
      </c>
      <c r="K47" t="str">
        <f t="shared" si="2"/>
        <v>Switch</v>
      </c>
      <c r="L47" t="s">
        <v>394</v>
      </c>
      <c r="M47" s="419">
        <f t="shared" si="0"/>
        <v>1</v>
      </c>
      <c r="N47" s="419">
        <f t="shared" si="3"/>
        <v>1</v>
      </c>
      <c r="O47" s="419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1">
        <f>All_Detail_v2[[#This Row],[Scheduled Date]]</f>
        <v>46070</v>
      </c>
      <c r="S47" s="421">
        <f>All_Detail_v2[[#This Row],[Install Date]]</f>
        <v>46070</v>
      </c>
    </row>
    <row r="48" spans="1:19">
      <c r="A48">
        <v>44</v>
      </c>
      <c r="B48" s="704" t="s">
        <v>352</v>
      </c>
      <c r="C48" s="705" t="s">
        <v>353</v>
      </c>
      <c r="D48" s="705" t="s">
        <v>397</v>
      </c>
      <c r="E48" s="706" t="s">
        <v>360</v>
      </c>
      <c r="F48" s="706">
        <v>5</v>
      </c>
      <c r="G48" s="706"/>
      <c r="H48" s="720"/>
      <c r="I48" s="720">
        <v>46132</v>
      </c>
      <c r="J48" s="706" t="s">
        <v>355</v>
      </c>
      <c r="K48" t="str">
        <f t="shared" si="2"/>
        <v>Switch</v>
      </c>
      <c r="M48" s="419">
        <f t="shared" si="0"/>
        <v>0</v>
      </c>
      <c r="N48" s="419">
        <f t="shared" si="3"/>
        <v>0</v>
      </c>
      <c r="O48" s="419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1">
        <f>All_Detail_v2[[#This Row],[Scheduled Date]]</f>
        <v>46132</v>
      </c>
      <c r="S48" s="421">
        <f>All_Detail_v2[[#This Row],[Install Date]]</f>
        <v>0</v>
      </c>
    </row>
    <row r="49" spans="1:19">
      <c r="A49">
        <v>45</v>
      </c>
      <c r="B49" s="704" t="s">
        <v>352</v>
      </c>
      <c r="C49" s="705" t="s">
        <v>353</v>
      </c>
      <c r="D49" s="705" t="s">
        <v>397</v>
      </c>
      <c r="E49" s="706" t="s">
        <v>357</v>
      </c>
      <c r="F49" s="706">
        <v>1</v>
      </c>
      <c r="G49" s="706"/>
      <c r="H49" s="720"/>
      <c r="I49" s="720">
        <v>46132</v>
      </c>
      <c r="J49" s="706" t="s">
        <v>355</v>
      </c>
      <c r="K49" t="str">
        <f t="shared" si="2"/>
        <v>Switch</v>
      </c>
      <c r="M49" s="419">
        <f t="shared" si="0"/>
        <v>0</v>
      </c>
      <c r="N49" s="419">
        <f t="shared" si="3"/>
        <v>0</v>
      </c>
      <c r="O49" s="419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1">
        <f>All_Detail_v2[[#This Row],[Scheduled Date]]</f>
        <v>46132</v>
      </c>
      <c r="S49" s="421">
        <f>All_Detail_v2[[#This Row],[Install Date]]</f>
        <v>0</v>
      </c>
    </row>
    <row r="50" spans="1:19">
      <c r="A50">
        <v>46</v>
      </c>
      <c r="B50" s="704" t="s">
        <v>352</v>
      </c>
      <c r="C50" s="705" t="s">
        <v>353</v>
      </c>
      <c r="D50" s="705" t="s">
        <v>397</v>
      </c>
      <c r="E50" s="706" t="s">
        <v>365</v>
      </c>
      <c r="F50" s="706">
        <v>1</v>
      </c>
      <c r="G50" s="706"/>
      <c r="H50" s="720"/>
      <c r="I50" s="720">
        <v>46132</v>
      </c>
      <c r="J50" s="706" t="s">
        <v>355</v>
      </c>
      <c r="K50" t="str">
        <f t="shared" si="2"/>
        <v>Switch</v>
      </c>
      <c r="M50" s="419">
        <f t="shared" si="0"/>
        <v>0</v>
      </c>
      <c r="N50" s="419">
        <f t="shared" si="3"/>
        <v>0</v>
      </c>
      <c r="O50" s="419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1">
        <f>All_Detail_v2[[#This Row],[Scheduled Date]]</f>
        <v>46132</v>
      </c>
      <c r="S50" s="421">
        <f>All_Detail_v2[[#This Row],[Install Date]]</f>
        <v>0</v>
      </c>
    </row>
    <row r="51" spans="1:19">
      <c r="A51">
        <v>47</v>
      </c>
      <c r="B51" s="704" t="s">
        <v>352</v>
      </c>
      <c r="C51" s="706" t="s">
        <v>398</v>
      </c>
      <c r="D51" s="706" t="s">
        <v>399</v>
      </c>
      <c r="E51" s="706" t="s">
        <v>360</v>
      </c>
      <c r="F51" s="706">
        <v>1</v>
      </c>
      <c r="G51" s="706"/>
      <c r="H51" s="720"/>
      <c r="I51" s="720">
        <v>46105</v>
      </c>
      <c r="J51" s="706" t="s">
        <v>355</v>
      </c>
      <c r="K51" t="str">
        <f t="shared" si="2"/>
        <v>Switch</v>
      </c>
      <c r="M51" s="419">
        <f t="shared" si="0"/>
        <v>0</v>
      </c>
      <c r="N51" s="419">
        <f t="shared" si="3"/>
        <v>0</v>
      </c>
      <c r="O51" s="419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1">
        <f>All_Detail_v2[[#This Row],[Scheduled Date]]</f>
        <v>46105</v>
      </c>
      <c r="S51" s="421">
        <f>All_Detail_v2[[#This Row],[Install Date]]</f>
        <v>0</v>
      </c>
    </row>
    <row r="52" spans="1:19">
      <c r="A52">
        <v>48</v>
      </c>
      <c r="B52" s="704" t="s">
        <v>352</v>
      </c>
      <c r="C52" s="706" t="s">
        <v>398</v>
      </c>
      <c r="D52" s="706" t="s">
        <v>399</v>
      </c>
      <c r="E52" s="706" t="s">
        <v>365</v>
      </c>
      <c r="F52" s="706">
        <v>1</v>
      </c>
      <c r="G52" s="706"/>
      <c r="H52" s="720"/>
      <c r="I52" s="720">
        <v>46105</v>
      </c>
      <c r="J52" s="706" t="s">
        <v>355</v>
      </c>
      <c r="K52" t="str">
        <f t="shared" si="2"/>
        <v>Switch</v>
      </c>
      <c r="M52" s="419">
        <f t="shared" si="0"/>
        <v>0</v>
      </c>
      <c r="N52" s="419">
        <f t="shared" si="3"/>
        <v>0</v>
      </c>
      <c r="O52" s="419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1">
        <f>All_Detail_v2[[#This Row],[Scheduled Date]]</f>
        <v>46105</v>
      </c>
      <c r="S52" s="421">
        <f>All_Detail_v2[[#This Row],[Install Date]]</f>
        <v>0</v>
      </c>
    </row>
    <row r="53" spans="1:19">
      <c r="A53">
        <v>49</v>
      </c>
      <c r="B53" s="704" t="s">
        <v>352</v>
      </c>
      <c r="C53" s="706" t="s">
        <v>398</v>
      </c>
      <c r="D53" s="706" t="s">
        <v>399</v>
      </c>
      <c r="E53" s="706" t="s">
        <v>400</v>
      </c>
      <c r="F53" s="706">
        <v>1</v>
      </c>
      <c r="G53" s="706"/>
      <c r="H53" s="720"/>
      <c r="I53" s="720">
        <v>46105</v>
      </c>
      <c r="J53" s="706" t="s">
        <v>355</v>
      </c>
      <c r="K53" t="str">
        <f t="shared" si="2"/>
        <v>Switch</v>
      </c>
      <c r="M53" s="419">
        <f t="shared" si="0"/>
        <v>0</v>
      </c>
      <c r="N53" s="419">
        <f t="shared" si="3"/>
        <v>0</v>
      </c>
      <c r="O53" s="419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1">
        <f>All_Detail_v2[[#This Row],[Scheduled Date]]</f>
        <v>46105</v>
      </c>
      <c r="S53" s="421">
        <f>All_Detail_v2[[#This Row],[Install Date]]</f>
        <v>0</v>
      </c>
    </row>
    <row r="54" spans="1:19">
      <c r="A54">
        <v>50</v>
      </c>
      <c r="B54" s="704" t="s">
        <v>352</v>
      </c>
      <c r="C54" s="706" t="s">
        <v>398</v>
      </c>
      <c r="D54" s="706" t="s">
        <v>401</v>
      </c>
      <c r="E54" s="706" t="s">
        <v>360</v>
      </c>
      <c r="F54" s="706">
        <v>2</v>
      </c>
      <c r="G54" s="706"/>
      <c r="H54" s="720"/>
      <c r="I54" s="720">
        <v>46105</v>
      </c>
      <c r="J54" s="706" t="s">
        <v>355</v>
      </c>
      <c r="K54" t="str">
        <f t="shared" si="2"/>
        <v>Switch</v>
      </c>
      <c r="M54" s="419">
        <f t="shared" si="0"/>
        <v>0</v>
      </c>
      <c r="N54" s="419">
        <f t="shared" si="3"/>
        <v>0</v>
      </c>
      <c r="O54" s="419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1">
        <f>All_Detail_v2[[#This Row],[Scheduled Date]]</f>
        <v>46105</v>
      </c>
      <c r="S54" s="421">
        <f>All_Detail_v2[[#This Row],[Install Date]]</f>
        <v>0</v>
      </c>
    </row>
    <row r="55" spans="1:19">
      <c r="A55">
        <v>51</v>
      </c>
      <c r="B55" s="704" t="s">
        <v>352</v>
      </c>
      <c r="C55" s="706" t="s">
        <v>398</v>
      </c>
      <c r="D55" s="706" t="s">
        <v>401</v>
      </c>
      <c r="E55" s="706" t="s">
        <v>365</v>
      </c>
      <c r="F55" s="706">
        <v>1</v>
      </c>
      <c r="G55" s="706"/>
      <c r="H55" s="720"/>
      <c r="I55" s="720">
        <v>46105</v>
      </c>
      <c r="J55" s="706" t="s">
        <v>355</v>
      </c>
      <c r="K55" t="str">
        <f t="shared" si="2"/>
        <v>Switch</v>
      </c>
      <c r="M55" s="419">
        <f t="shared" si="0"/>
        <v>0</v>
      </c>
      <c r="N55" s="419">
        <f t="shared" si="3"/>
        <v>0</v>
      </c>
      <c r="O55" s="419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1">
        <f>All_Detail_v2[[#This Row],[Scheduled Date]]</f>
        <v>46105</v>
      </c>
      <c r="S55" s="421">
        <f>All_Detail_v2[[#This Row],[Install Date]]</f>
        <v>0</v>
      </c>
    </row>
    <row r="56" spans="1:19">
      <c r="A56">
        <v>52</v>
      </c>
      <c r="B56" s="704" t="s">
        <v>352</v>
      </c>
      <c r="C56" s="706" t="s">
        <v>398</v>
      </c>
      <c r="D56" s="706" t="s">
        <v>401</v>
      </c>
      <c r="E56" s="706" t="s">
        <v>402</v>
      </c>
      <c r="F56" s="706">
        <v>1</v>
      </c>
      <c r="G56" s="706"/>
      <c r="H56" s="720"/>
      <c r="I56" s="720">
        <v>46105</v>
      </c>
      <c r="J56" s="706" t="s">
        <v>355</v>
      </c>
      <c r="K56" t="str">
        <f t="shared" si="2"/>
        <v>Switch</v>
      </c>
      <c r="M56" s="419">
        <f t="shared" si="0"/>
        <v>0</v>
      </c>
      <c r="N56" s="419">
        <f t="shared" si="3"/>
        <v>0</v>
      </c>
      <c r="O56" s="419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1">
        <f>All_Detail_v2[[#This Row],[Scheduled Date]]</f>
        <v>46105</v>
      </c>
      <c r="S56" s="421">
        <f>All_Detail_v2[[#This Row],[Install Date]]</f>
        <v>0</v>
      </c>
    </row>
    <row r="57" spans="1:19">
      <c r="A57">
        <v>53</v>
      </c>
      <c r="B57" s="704" t="s">
        <v>352</v>
      </c>
      <c r="C57" s="706" t="s">
        <v>398</v>
      </c>
      <c r="D57" s="706" t="s">
        <v>403</v>
      </c>
      <c r="E57" s="706" t="s">
        <v>360</v>
      </c>
      <c r="F57" s="706">
        <v>2</v>
      </c>
      <c r="G57" s="706"/>
      <c r="H57" s="720"/>
      <c r="I57" s="720">
        <v>46105</v>
      </c>
      <c r="J57" s="706" t="s">
        <v>355</v>
      </c>
      <c r="K57" t="str">
        <f t="shared" si="2"/>
        <v>Switch</v>
      </c>
      <c r="M57" s="419">
        <f t="shared" si="0"/>
        <v>0</v>
      </c>
      <c r="N57" s="419">
        <f t="shared" si="3"/>
        <v>0</v>
      </c>
      <c r="O57" s="419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1">
        <f>All_Detail_v2[[#This Row],[Scheduled Date]]</f>
        <v>46105</v>
      </c>
      <c r="S57" s="421">
        <f>All_Detail_v2[[#This Row],[Install Date]]</f>
        <v>0</v>
      </c>
    </row>
    <row r="58" spans="1:19">
      <c r="A58">
        <v>54</v>
      </c>
      <c r="B58" s="704" t="s">
        <v>352</v>
      </c>
      <c r="C58" s="706" t="s">
        <v>398</v>
      </c>
      <c r="D58" s="706" t="s">
        <v>403</v>
      </c>
      <c r="E58" s="706" t="s">
        <v>365</v>
      </c>
      <c r="F58" s="706">
        <v>1</v>
      </c>
      <c r="G58" s="706"/>
      <c r="H58" s="720"/>
      <c r="I58" s="720">
        <v>46105</v>
      </c>
      <c r="J58" s="706" t="s">
        <v>355</v>
      </c>
      <c r="K58" t="str">
        <f t="shared" si="2"/>
        <v>Switch</v>
      </c>
      <c r="M58" s="419">
        <f t="shared" si="0"/>
        <v>0</v>
      </c>
      <c r="N58" s="419">
        <f t="shared" si="3"/>
        <v>0</v>
      </c>
      <c r="O58" s="419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1">
        <f>All_Detail_v2[[#This Row],[Scheduled Date]]</f>
        <v>46105</v>
      </c>
      <c r="S58" s="421">
        <f>All_Detail_v2[[#This Row],[Install Date]]</f>
        <v>0</v>
      </c>
    </row>
    <row r="59" spans="1:19">
      <c r="A59">
        <v>55</v>
      </c>
      <c r="B59" s="704" t="s">
        <v>352</v>
      </c>
      <c r="C59" s="706" t="s">
        <v>398</v>
      </c>
      <c r="D59" s="706" t="s">
        <v>403</v>
      </c>
      <c r="E59" s="706" t="s">
        <v>402</v>
      </c>
      <c r="F59" s="706">
        <v>1</v>
      </c>
      <c r="G59" s="706"/>
      <c r="H59" s="720"/>
      <c r="I59" s="720">
        <v>46105</v>
      </c>
      <c r="J59" s="706" t="s">
        <v>355</v>
      </c>
      <c r="K59" t="str">
        <f t="shared" si="2"/>
        <v>Switch</v>
      </c>
      <c r="M59" s="419">
        <f t="shared" si="0"/>
        <v>0</v>
      </c>
      <c r="N59" s="419">
        <f t="shared" si="3"/>
        <v>0</v>
      </c>
      <c r="O59" s="419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1">
        <f>All_Detail_v2[[#This Row],[Scheduled Date]]</f>
        <v>46105</v>
      </c>
      <c r="S59" s="421">
        <f>All_Detail_v2[[#This Row],[Install Date]]</f>
        <v>0</v>
      </c>
    </row>
    <row r="60" spans="1:19">
      <c r="A60">
        <v>56</v>
      </c>
      <c r="B60" s="704" t="s">
        <v>352</v>
      </c>
      <c r="C60" s="706" t="s">
        <v>398</v>
      </c>
      <c r="D60" s="706" t="s">
        <v>404</v>
      </c>
      <c r="E60" s="706" t="s">
        <v>360</v>
      </c>
      <c r="F60" s="706">
        <v>2</v>
      </c>
      <c r="G60" s="706"/>
      <c r="H60" s="720"/>
      <c r="I60" s="720">
        <v>46105</v>
      </c>
      <c r="J60" s="706" t="s">
        <v>355</v>
      </c>
      <c r="K60" t="str">
        <f t="shared" si="2"/>
        <v>Switch</v>
      </c>
      <c r="M60" s="419">
        <f t="shared" si="0"/>
        <v>0</v>
      </c>
      <c r="N60" s="419">
        <f t="shared" si="3"/>
        <v>0</v>
      </c>
      <c r="O60" s="419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1">
        <f>All_Detail_v2[[#This Row],[Scheduled Date]]</f>
        <v>46105</v>
      </c>
      <c r="S60" s="421">
        <f>All_Detail_v2[[#This Row],[Install Date]]</f>
        <v>0</v>
      </c>
    </row>
    <row r="61" spans="1:19">
      <c r="A61">
        <v>57</v>
      </c>
      <c r="B61" s="704" t="s">
        <v>352</v>
      </c>
      <c r="C61" s="706" t="s">
        <v>398</v>
      </c>
      <c r="D61" s="706" t="s">
        <v>404</v>
      </c>
      <c r="E61" s="706" t="s">
        <v>365</v>
      </c>
      <c r="F61" s="706">
        <v>1</v>
      </c>
      <c r="G61" s="706"/>
      <c r="H61" s="720"/>
      <c r="I61" s="720">
        <v>46105</v>
      </c>
      <c r="J61" s="706" t="s">
        <v>355</v>
      </c>
      <c r="K61" t="str">
        <f t="shared" si="2"/>
        <v>Switch</v>
      </c>
      <c r="M61" s="419">
        <f t="shared" si="0"/>
        <v>0</v>
      </c>
      <c r="N61" s="419">
        <f t="shared" si="3"/>
        <v>0</v>
      </c>
      <c r="O61" s="419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1">
        <f>All_Detail_v2[[#This Row],[Scheduled Date]]</f>
        <v>46105</v>
      </c>
      <c r="S61" s="421">
        <f>All_Detail_v2[[#This Row],[Install Date]]</f>
        <v>0</v>
      </c>
    </row>
    <row r="62" spans="1:19">
      <c r="A62">
        <v>58</v>
      </c>
      <c r="B62" s="704" t="s">
        <v>352</v>
      </c>
      <c r="C62" s="706" t="s">
        <v>398</v>
      </c>
      <c r="D62" s="706" t="s">
        <v>404</v>
      </c>
      <c r="E62" s="706" t="s">
        <v>402</v>
      </c>
      <c r="F62" s="706">
        <v>1</v>
      </c>
      <c r="G62" s="706"/>
      <c r="H62" s="720"/>
      <c r="I62" s="720">
        <v>46105</v>
      </c>
      <c r="J62" s="706" t="s">
        <v>355</v>
      </c>
      <c r="K62" t="str">
        <f t="shared" si="2"/>
        <v>Switch</v>
      </c>
      <c r="M62" s="419">
        <f t="shared" si="0"/>
        <v>0</v>
      </c>
      <c r="N62" s="419">
        <f t="shared" si="3"/>
        <v>0</v>
      </c>
      <c r="O62" s="419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1">
        <f>All_Detail_v2[[#This Row],[Scheduled Date]]</f>
        <v>46105</v>
      </c>
      <c r="S62" s="421">
        <f>All_Detail_v2[[#This Row],[Install Date]]</f>
        <v>0</v>
      </c>
    </row>
    <row r="63" spans="1:19">
      <c r="A63">
        <v>59</v>
      </c>
      <c r="B63" s="704" t="s">
        <v>352</v>
      </c>
      <c r="C63" s="706" t="s">
        <v>398</v>
      </c>
      <c r="D63" s="706" t="s">
        <v>405</v>
      </c>
      <c r="E63" s="706" t="s">
        <v>360</v>
      </c>
      <c r="F63" s="706">
        <v>1</v>
      </c>
      <c r="G63" s="706"/>
      <c r="H63" s="720"/>
      <c r="I63" s="720">
        <v>46106</v>
      </c>
      <c r="J63" s="706" t="s">
        <v>355</v>
      </c>
      <c r="K63" t="str">
        <f t="shared" si="2"/>
        <v>Switch</v>
      </c>
      <c r="M63" s="419">
        <f t="shared" si="0"/>
        <v>0</v>
      </c>
      <c r="N63" s="419">
        <f t="shared" si="3"/>
        <v>0</v>
      </c>
      <c r="O63" s="419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1">
        <f>All_Detail_v2[[#This Row],[Scheduled Date]]</f>
        <v>46106</v>
      </c>
      <c r="S63" s="421">
        <f>All_Detail_v2[[#This Row],[Install Date]]</f>
        <v>0</v>
      </c>
    </row>
    <row r="64" spans="1:19">
      <c r="A64">
        <v>60</v>
      </c>
      <c r="B64" s="704" t="s">
        <v>352</v>
      </c>
      <c r="C64" s="706" t="s">
        <v>398</v>
      </c>
      <c r="D64" s="706" t="s">
        <v>405</v>
      </c>
      <c r="E64" s="706" t="s">
        <v>365</v>
      </c>
      <c r="F64" s="706">
        <v>1</v>
      </c>
      <c r="G64" s="706"/>
      <c r="H64" s="720"/>
      <c r="I64" s="720">
        <v>46106</v>
      </c>
      <c r="J64" s="706" t="s">
        <v>355</v>
      </c>
      <c r="K64" t="str">
        <f t="shared" si="2"/>
        <v>Switch</v>
      </c>
      <c r="M64" s="419">
        <f t="shared" si="0"/>
        <v>0</v>
      </c>
      <c r="N64" s="419">
        <f t="shared" si="3"/>
        <v>0</v>
      </c>
      <c r="O64" s="419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1">
        <f>All_Detail_v2[[#This Row],[Scheduled Date]]</f>
        <v>46106</v>
      </c>
      <c r="S64" s="421">
        <f>All_Detail_v2[[#This Row],[Install Date]]</f>
        <v>0</v>
      </c>
    </row>
    <row r="65" spans="1:19">
      <c r="A65">
        <v>61</v>
      </c>
      <c r="B65" s="704" t="s">
        <v>352</v>
      </c>
      <c r="C65" s="706" t="s">
        <v>398</v>
      </c>
      <c r="D65" s="706" t="s">
        <v>405</v>
      </c>
      <c r="E65" s="706" t="s">
        <v>402</v>
      </c>
      <c r="F65" s="706">
        <v>1</v>
      </c>
      <c r="G65" s="706"/>
      <c r="H65" s="720"/>
      <c r="I65" s="720">
        <v>46106</v>
      </c>
      <c r="J65" s="706" t="s">
        <v>355</v>
      </c>
      <c r="K65" t="str">
        <f t="shared" si="2"/>
        <v>Switch</v>
      </c>
      <c r="M65" s="419">
        <f t="shared" si="0"/>
        <v>0</v>
      </c>
      <c r="N65" s="419">
        <f t="shared" si="3"/>
        <v>0</v>
      </c>
      <c r="O65" s="419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1">
        <f>All_Detail_v2[[#This Row],[Scheduled Date]]</f>
        <v>46106</v>
      </c>
      <c r="S65" s="421">
        <f>All_Detail_v2[[#This Row],[Install Date]]</f>
        <v>0</v>
      </c>
    </row>
    <row r="66" spans="1:19">
      <c r="A66">
        <v>62</v>
      </c>
      <c r="B66" s="704" t="s">
        <v>352</v>
      </c>
      <c r="C66" s="706" t="s">
        <v>398</v>
      </c>
      <c r="D66" s="706" t="s">
        <v>406</v>
      </c>
      <c r="E66" s="706" t="s">
        <v>360</v>
      </c>
      <c r="F66" s="706">
        <v>2</v>
      </c>
      <c r="G66" s="706"/>
      <c r="H66" s="720"/>
      <c r="I66" s="720">
        <v>46106</v>
      </c>
      <c r="J66" s="706" t="s">
        <v>355</v>
      </c>
      <c r="K66" t="str">
        <f t="shared" si="2"/>
        <v>Switch</v>
      </c>
      <c r="M66" s="419">
        <f t="shared" ref="M66:M129" si="4">O66</f>
        <v>0</v>
      </c>
      <c r="N66" s="419">
        <f t="shared" si="3"/>
        <v>0</v>
      </c>
      <c r="O66" s="419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1">
        <f>All_Detail_v2[[#This Row],[Scheduled Date]]</f>
        <v>46106</v>
      </c>
      <c r="S66" s="421">
        <f>All_Detail_v2[[#This Row],[Install Date]]</f>
        <v>0</v>
      </c>
    </row>
    <row r="67" spans="1:19">
      <c r="A67">
        <v>63</v>
      </c>
      <c r="B67" s="704" t="s">
        <v>352</v>
      </c>
      <c r="C67" s="706" t="s">
        <v>398</v>
      </c>
      <c r="D67" s="706" t="s">
        <v>406</v>
      </c>
      <c r="E67" s="706" t="s">
        <v>365</v>
      </c>
      <c r="F67" s="706">
        <v>1</v>
      </c>
      <c r="G67" s="706"/>
      <c r="H67" s="720"/>
      <c r="I67" s="720">
        <v>46106</v>
      </c>
      <c r="J67" s="706" t="s">
        <v>355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9">
        <f t="shared" si="4"/>
        <v>0</v>
      </c>
      <c r="N67" s="419">
        <f t="shared" si="3"/>
        <v>0</v>
      </c>
      <c r="O67" s="419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1">
        <f>All_Detail_v2[[#This Row],[Scheduled Date]]</f>
        <v>46106</v>
      </c>
      <c r="S67" s="421">
        <f>All_Detail_v2[[#This Row],[Install Date]]</f>
        <v>0</v>
      </c>
    </row>
    <row r="68" spans="1:19">
      <c r="A68">
        <v>64</v>
      </c>
      <c r="B68" s="704" t="s">
        <v>352</v>
      </c>
      <c r="C68" s="706" t="s">
        <v>398</v>
      </c>
      <c r="D68" s="706" t="s">
        <v>406</v>
      </c>
      <c r="E68" s="706" t="s">
        <v>400</v>
      </c>
      <c r="F68" s="706">
        <v>1</v>
      </c>
      <c r="G68" s="706"/>
      <c r="H68" s="720"/>
      <c r="I68" s="720">
        <v>46106</v>
      </c>
      <c r="J68" s="706" t="s">
        <v>355</v>
      </c>
      <c r="K68" t="str">
        <f t="shared" si="5"/>
        <v>Switch</v>
      </c>
      <c r="M68" s="419">
        <f t="shared" si="4"/>
        <v>0</v>
      </c>
      <c r="N68" s="419">
        <f t="shared" si="3"/>
        <v>0</v>
      </c>
      <c r="O68" s="419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1">
        <f>All_Detail_v2[[#This Row],[Scheduled Date]]</f>
        <v>46106</v>
      </c>
      <c r="S68" s="421">
        <f>All_Detail_v2[[#This Row],[Install Date]]</f>
        <v>0</v>
      </c>
    </row>
    <row r="69" spans="1:19">
      <c r="A69">
        <v>65</v>
      </c>
      <c r="B69" s="704" t="s">
        <v>352</v>
      </c>
      <c r="C69" s="706" t="s">
        <v>398</v>
      </c>
      <c r="D69" s="706" t="s">
        <v>352</v>
      </c>
      <c r="E69" s="706" t="s">
        <v>360</v>
      </c>
      <c r="F69" s="706">
        <v>7</v>
      </c>
      <c r="G69" s="706">
        <v>7</v>
      </c>
      <c r="H69" s="720">
        <v>46063</v>
      </c>
      <c r="I69" s="720">
        <v>46063</v>
      </c>
      <c r="J69" s="706" t="s">
        <v>358</v>
      </c>
      <c r="K69" t="str">
        <f t="shared" si="5"/>
        <v>Switch</v>
      </c>
      <c r="M69" s="419">
        <f t="shared" si="4"/>
        <v>7</v>
      </c>
      <c r="N69" s="419">
        <f t="shared" si="3"/>
        <v>7</v>
      </c>
      <c r="O69" s="419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1">
        <f>All_Detail_v2[[#This Row],[Scheduled Date]]</f>
        <v>46063</v>
      </c>
      <c r="S69" s="421">
        <f>All_Detail_v2[[#This Row],[Install Date]]</f>
        <v>46063</v>
      </c>
    </row>
    <row r="70" spans="1:19">
      <c r="A70">
        <v>66</v>
      </c>
      <c r="B70" s="704" t="s">
        <v>352</v>
      </c>
      <c r="C70" s="706" t="s">
        <v>398</v>
      </c>
      <c r="D70" s="706" t="s">
        <v>352</v>
      </c>
      <c r="E70" s="706" t="s">
        <v>365</v>
      </c>
      <c r="F70" s="706">
        <v>1</v>
      </c>
      <c r="G70" s="706">
        <v>1</v>
      </c>
      <c r="H70" s="720">
        <v>46063</v>
      </c>
      <c r="I70" s="720">
        <v>46063</v>
      </c>
      <c r="J70" s="706" t="s">
        <v>358</v>
      </c>
      <c r="K70" t="str">
        <f t="shared" si="5"/>
        <v>Switch</v>
      </c>
      <c r="M70" s="419">
        <f t="shared" si="4"/>
        <v>1</v>
      </c>
      <c r="N70" s="419">
        <f t="shared" ref="N70:N133" si="6">O70</f>
        <v>1</v>
      </c>
      <c r="O70" s="419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1">
        <f>All_Detail_v2[[#This Row],[Scheduled Date]]</f>
        <v>46063</v>
      </c>
      <c r="S70" s="421">
        <f>All_Detail_v2[[#This Row],[Install Date]]</f>
        <v>46063</v>
      </c>
    </row>
    <row r="71" spans="1:19">
      <c r="A71">
        <v>67</v>
      </c>
      <c r="B71" s="704" t="s">
        <v>352</v>
      </c>
      <c r="C71" s="706" t="s">
        <v>398</v>
      </c>
      <c r="D71" s="706" t="s">
        <v>352</v>
      </c>
      <c r="E71" s="706" t="s">
        <v>402</v>
      </c>
      <c r="F71" s="706">
        <v>3</v>
      </c>
      <c r="G71" s="706">
        <v>3</v>
      </c>
      <c r="H71" s="720">
        <v>46063</v>
      </c>
      <c r="I71" s="720">
        <v>46063</v>
      </c>
      <c r="J71" s="706" t="s">
        <v>358</v>
      </c>
      <c r="K71" t="str">
        <f t="shared" si="5"/>
        <v>Switch</v>
      </c>
      <c r="M71" s="419">
        <f t="shared" si="4"/>
        <v>3</v>
      </c>
      <c r="N71" s="419">
        <f t="shared" si="6"/>
        <v>3</v>
      </c>
      <c r="O71" s="419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1">
        <f>All_Detail_v2[[#This Row],[Scheduled Date]]</f>
        <v>46063</v>
      </c>
      <c r="S71" s="421">
        <f>All_Detail_v2[[#This Row],[Install Date]]</f>
        <v>46063</v>
      </c>
    </row>
    <row r="72" spans="1:19">
      <c r="A72">
        <v>68</v>
      </c>
      <c r="B72" s="704" t="s">
        <v>352</v>
      </c>
      <c r="C72" s="706" t="s">
        <v>398</v>
      </c>
      <c r="D72" s="706" t="s">
        <v>352</v>
      </c>
      <c r="E72" s="706" t="s">
        <v>400</v>
      </c>
      <c r="F72" s="706">
        <v>1</v>
      </c>
      <c r="G72" s="706">
        <v>1</v>
      </c>
      <c r="H72" s="720">
        <v>46063</v>
      </c>
      <c r="I72" s="720">
        <v>46063</v>
      </c>
      <c r="J72" s="706" t="s">
        <v>358</v>
      </c>
      <c r="K72" t="str">
        <f t="shared" si="5"/>
        <v>Switch</v>
      </c>
      <c r="M72" s="419">
        <f t="shared" si="4"/>
        <v>1</v>
      </c>
      <c r="N72" s="419">
        <f t="shared" si="6"/>
        <v>1</v>
      </c>
      <c r="O72" s="419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1">
        <f>All_Detail_v2[[#This Row],[Scheduled Date]]</f>
        <v>46063</v>
      </c>
      <c r="S72" s="421">
        <f>All_Detail_v2[[#This Row],[Install Date]]</f>
        <v>46063</v>
      </c>
    </row>
    <row r="73" spans="1:19">
      <c r="A73">
        <v>69</v>
      </c>
      <c r="B73" s="704" t="s">
        <v>352</v>
      </c>
      <c r="C73" s="706" t="s">
        <v>398</v>
      </c>
      <c r="D73" s="706" t="s">
        <v>352</v>
      </c>
      <c r="E73" s="706" t="s">
        <v>407</v>
      </c>
      <c r="F73" s="706">
        <v>2</v>
      </c>
      <c r="G73" s="706">
        <v>2</v>
      </c>
      <c r="H73" s="720">
        <v>46063</v>
      </c>
      <c r="I73" s="720">
        <v>46063</v>
      </c>
      <c r="J73" s="706" t="s">
        <v>358</v>
      </c>
      <c r="K73" t="str">
        <f t="shared" si="5"/>
        <v>Switch</v>
      </c>
      <c r="M73" s="419">
        <f t="shared" si="4"/>
        <v>2</v>
      </c>
      <c r="N73" s="419">
        <f t="shared" si="6"/>
        <v>2</v>
      </c>
      <c r="O73" s="419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1">
        <f>All_Detail_v2[[#This Row],[Scheduled Date]]</f>
        <v>46063</v>
      </c>
      <c r="S73" s="421">
        <f>All_Detail_v2[[#This Row],[Install Date]]</f>
        <v>46063</v>
      </c>
    </row>
    <row r="74" spans="1:19">
      <c r="A74">
        <v>70</v>
      </c>
      <c r="B74" s="704" t="s">
        <v>352</v>
      </c>
      <c r="C74" s="706" t="s">
        <v>398</v>
      </c>
      <c r="D74" s="706" t="s">
        <v>352</v>
      </c>
      <c r="E74" s="706" t="s">
        <v>408</v>
      </c>
      <c r="F74" s="706">
        <v>2</v>
      </c>
      <c r="G74" s="706">
        <v>2</v>
      </c>
      <c r="H74" s="720">
        <v>46063</v>
      </c>
      <c r="I74" s="720">
        <v>46063</v>
      </c>
      <c r="J74" s="706" t="s">
        <v>358</v>
      </c>
      <c r="K74" t="str">
        <f t="shared" si="5"/>
        <v>Switch</v>
      </c>
      <c r="M74" s="419">
        <f t="shared" si="4"/>
        <v>2</v>
      </c>
      <c r="N74" s="419">
        <f t="shared" si="6"/>
        <v>2</v>
      </c>
      <c r="O74" s="419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1">
        <f>All_Detail_v2[[#This Row],[Scheduled Date]]</f>
        <v>46063</v>
      </c>
      <c r="S74" s="421">
        <f>All_Detail_v2[[#This Row],[Install Date]]</f>
        <v>46063</v>
      </c>
    </row>
    <row r="75" spans="1:19">
      <c r="A75">
        <v>71</v>
      </c>
      <c r="B75" s="704" t="s">
        <v>352</v>
      </c>
      <c r="C75" s="706" t="s">
        <v>398</v>
      </c>
      <c r="D75" s="706" t="s">
        <v>352</v>
      </c>
      <c r="E75" s="706" t="s">
        <v>409</v>
      </c>
      <c r="F75" s="706">
        <v>1</v>
      </c>
      <c r="G75" s="706">
        <v>1</v>
      </c>
      <c r="H75" s="720">
        <v>46063</v>
      </c>
      <c r="I75" s="720">
        <v>46063</v>
      </c>
      <c r="J75" s="706" t="s">
        <v>358</v>
      </c>
      <c r="K75" t="str">
        <f t="shared" si="5"/>
        <v>Switch</v>
      </c>
      <c r="M75" s="419">
        <f t="shared" si="4"/>
        <v>1</v>
      </c>
      <c r="N75" s="419">
        <f t="shared" si="6"/>
        <v>1</v>
      </c>
      <c r="O75" s="419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1">
        <f>All_Detail_v2[[#This Row],[Scheduled Date]]</f>
        <v>46063</v>
      </c>
      <c r="S75" s="421">
        <f>All_Detail_v2[[#This Row],[Install Date]]</f>
        <v>46063</v>
      </c>
    </row>
    <row r="76" spans="1:19">
      <c r="A76">
        <v>72</v>
      </c>
      <c r="B76" s="704" t="s">
        <v>352</v>
      </c>
      <c r="C76" s="706" t="s">
        <v>398</v>
      </c>
      <c r="D76" s="706" t="s">
        <v>352</v>
      </c>
      <c r="E76" s="706" t="s">
        <v>410</v>
      </c>
      <c r="F76" s="706">
        <v>2</v>
      </c>
      <c r="G76" s="706">
        <v>2</v>
      </c>
      <c r="H76" s="720">
        <v>46063</v>
      </c>
      <c r="I76" s="720">
        <v>46063</v>
      </c>
      <c r="J76" s="706" t="s">
        <v>358</v>
      </c>
      <c r="K76" t="str">
        <f t="shared" si="5"/>
        <v>Infra</v>
      </c>
      <c r="M76" s="419">
        <f t="shared" si="4"/>
        <v>2</v>
      </c>
      <c r="N76" s="419">
        <f t="shared" si="6"/>
        <v>2</v>
      </c>
      <c r="O76" s="419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1">
        <f>All_Detail_v2[[#This Row],[Scheduled Date]]</f>
        <v>46063</v>
      </c>
      <c r="S76" s="421">
        <f>All_Detail_v2[[#This Row],[Install Date]]</f>
        <v>46063</v>
      </c>
    </row>
    <row r="77" spans="1:19">
      <c r="A77">
        <v>73</v>
      </c>
      <c r="B77" s="704" t="s">
        <v>352</v>
      </c>
      <c r="C77" s="706" t="s">
        <v>398</v>
      </c>
      <c r="D77" s="706" t="s">
        <v>352</v>
      </c>
      <c r="E77" s="706" t="s">
        <v>411</v>
      </c>
      <c r="F77" s="706">
        <v>2</v>
      </c>
      <c r="G77" s="706">
        <v>2</v>
      </c>
      <c r="H77" s="720">
        <v>46063</v>
      </c>
      <c r="I77" s="720">
        <v>46063</v>
      </c>
      <c r="J77" s="706" t="s">
        <v>358</v>
      </c>
      <c r="K77" t="str">
        <f t="shared" si="5"/>
        <v>Infra</v>
      </c>
      <c r="L77" s="649" t="s">
        <v>412</v>
      </c>
      <c r="M77" s="419">
        <f t="shared" si="4"/>
        <v>2</v>
      </c>
      <c r="N77" s="419">
        <f t="shared" si="6"/>
        <v>2</v>
      </c>
      <c r="O77" s="419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1">
        <f>All_Detail_v2[[#This Row],[Scheduled Date]]</f>
        <v>46063</v>
      </c>
      <c r="S77" s="421">
        <f>All_Detail_v2[[#This Row],[Install Date]]</f>
        <v>46063</v>
      </c>
    </row>
    <row r="78" spans="1:19">
      <c r="A78">
        <v>74</v>
      </c>
      <c r="B78" s="704" t="s">
        <v>352</v>
      </c>
      <c r="C78" s="706" t="s">
        <v>398</v>
      </c>
      <c r="D78" s="706" t="s">
        <v>413</v>
      </c>
      <c r="E78" s="706" t="s">
        <v>360</v>
      </c>
      <c r="F78" s="706">
        <v>1</v>
      </c>
      <c r="G78" s="706"/>
      <c r="H78" s="720"/>
      <c r="I78" s="720">
        <v>46106</v>
      </c>
      <c r="J78" s="706" t="s">
        <v>355</v>
      </c>
      <c r="K78" t="str">
        <f t="shared" si="5"/>
        <v>Switch</v>
      </c>
      <c r="M78" s="419">
        <f t="shared" si="4"/>
        <v>0</v>
      </c>
      <c r="N78" s="419">
        <f t="shared" si="6"/>
        <v>0</v>
      </c>
      <c r="O78" s="419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1">
        <f>All_Detail_v2[[#This Row],[Scheduled Date]]</f>
        <v>46106</v>
      </c>
      <c r="S78" s="421">
        <f>All_Detail_v2[[#This Row],[Install Date]]</f>
        <v>0</v>
      </c>
    </row>
    <row r="79" spans="1:19">
      <c r="A79">
        <v>75</v>
      </c>
      <c r="B79" s="704" t="s">
        <v>352</v>
      </c>
      <c r="C79" s="706" t="s">
        <v>398</v>
      </c>
      <c r="D79" s="706" t="s">
        <v>413</v>
      </c>
      <c r="E79" s="706" t="s">
        <v>365</v>
      </c>
      <c r="F79" s="706">
        <v>1</v>
      </c>
      <c r="G79" s="706"/>
      <c r="H79" s="720"/>
      <c r="I79" s="720">
        <v>46106</v>
      </c>
      <c r="J79" s="706" t="s">
        <v>355</v>
      </c>
      <c r="K79" t="str">
        <f t="shared" si="5"/>
        <v>Switch</v>
      </c>
      <c r="M79" s="419">
        <f t="shared" si="4"/>
        <v>0</v>
      </c>
      <c r="N79" s="419">
        <f t="shared" si="6"/>
        <v>0</v>
      </c>
      <c r="O79" s="419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1">
        <f>All_Detail_v2[[#This Row],[Scheduled Date]]</f>
        <v>46106</v>
      </c>
      <c r="S79" s="421">
        <f>All_Detail_v2[[#This Row],[Install Date]]</f>
        <v>0</v>
      </c>
    </row>
    <row r="80" spans="1:19">
      <c r="A80">
        <v>76</v>
      </c>
      <c r="B80" s="704" t="s">
        <v>352</v>
      </c>
      <c r="C80" s="706" t="s">
        <v>398</v>
      </c>
      <c r="D80" s="706" t="s">
        <v>413</v>
      </c>
      <c r="E80" s="706" t="s">
        <v>400</v>
      </c>
      <c r="F80" s="706">
        <v>1</v>
      </c>
      <c r="G80" s="706"/>
      <c r="H80" s="720"/>
      <c r="I80" s="720">
        <v>46106</v>
      </c>
      <c r="J80" s="706" t="s">
        <v>355</v>
      </c>
      <c r="K80" t="str">
        <f t="shared" si="5"/>
        <v>Switch</v>
      </c>
      <c r="M80" s="419">
        <f t="shared" si="4"/>
        <v>0</v>
      </c>
      <c r="N80" s="419">
        <f t="shared" si="6"/>
        <v>0</v>
      </c>
      <c r="O80" s="419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1">
        <f>All_Detail_v2[[#This Row],[Scheduled Date]]</f>
        <v>46106</v>
      </c>
      <c r="S80" s="421">
        <f>All_Detail_v2[[#This Row],[Install Date]]</f>
        <v>0</v>
      </c>
    </row>
    <row r="81" spans="1:19">
      <c r="A81">
        <v>77</v>
      </c>
      <c r="B81" s="704" t="s">
        <v>352</v>
      </c>
      <c r="C81" s="706" t="s">
        <v>398</v>
      </c>
      <c r="D81" s="706" t="s">
        <v>414</v>
      </c>
      <c r="E81" s="706" t="s">
        <v>360</v>
      </c>
      <c r="F81" s="706">
        <v>1</v>
      </c>
      <c r="G81" s="706"/>
      <c r="H81" s="720"/>
      <c r="I81" s="720">
        <v>46107</v>
      </c>
      <c r="J81" s="706" t="s">
        <v>355</v>
      </c>
      <c r="K81" t="str">
        <f t="shared" si="5"/>
        <v>Switch</v>
      </c>
      <c r="M81" s="419">
        <f t="shared" si="4"/>
        <v>0</v>
      </c>
      <c r="N81" s="419">
        <f t="shared" si="6"/>
        <v>0</v>
      </c>
      <c r="O81" s="419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1">
        <f>All_Detail_v2[[#This Row],[Scheduled Date]]</f>
        <v>46107</v>
      </c>
      <c r="S81" s="421">
        <f>All_Detail_v2[[#This Row],[Install Date]]</f>
        <v>0</v>
      </c>
    </row>
    <row r="82" spans="1:19">
      <c r="A82">
        <v>78</v>
      </c>
      <c r="B82" s="704" t="s">
        <v>352</v>
      </c>
      <c r="C82" s="706" t="s">
        <v>398</v>
      </c>
      <c r="D82" s="706" t="s">
        <v>414</v>
      </c>
      <c r="E82" s="706" t="s">
        <v>365</v>
      </c>
      <c r="F82" s="706">
        <v>1</v>
      </c>
      <c r="G82" s="706"/>
      <c r="H82" s="720"/>
      <c r="I82" s="720">
        <v>46107</v>
      </c>
      <c r="J82" s="706" t="s">
        <v>355</v>
      </c>
      <c r="K82" t="str">
        <f t="shared" si="5"/>
        <v>Switch</v>
      </c>
      <c r="M82" s="419">
        <f t="shared" si="4"/>
        <v>0</v>
      </c>
      <c r="N82" s="419">
        <f t="shared" si="6"/>
        <v>0</v>
      </c>
      <c r="O82" s="419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1">
        <f>All_Detail_v2[[#This Row],[Scheduled Date]]</f>
        <v>46107</v>
      </c>
      <c r="S82" s="421">
        <f>All_Detail_v2[[#This Row],[Install Date]]</f>
        <v>0</v>
      </c>
    </row>
    <row r="83" spans="1:19">
      <c r="A83">
        <v>79</v>
      </c>
      <c r="B83" s="704" t="s">
        <v>352</v>
      </c>
      <c r="C83" s="706" t="s">
        <v>398</v>
      </c>
      <c r="D83" s="706" t="s">
        <v>414</v>
      </c>
      <c r="E83" s="706" t="s">
        <v>400</v>
      </c>
      <c r="F83" s="706">
        <v>1</v>
      </c>
      <c r="G83" s="706"/>
      <c r="H83" s="720"/>
      <c r="I83" s="720">
        <v>46107</v>
      </c>
      <c r="J83" s="706" t="s">
        <v>355</v>
      </c>
      <c r="K83" t="str">
        <f t="shared" si="5"/>
        <v>Switch</v>
      </c>
      <c r="M83" s="419">
        <f t="shared" si="4"/>
        <v>0</v>
      </c>
      <c r="N83" s="419">
        <f t="shared" si="6"/>
        <v>0</v>
      </c>
      <c r="O83" s="419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1">
        <f>All_Detail_v2[[#This Row],[Scheduled Date]]</f>
        <v>46107</v>
      </c>
      <c r="S83" s="421">
        <f>All_Detail_v2[[#This Row],[Install Date]]</f>
        <v>0</v>
      </c>
    </row>
    <row r="84" spans="1:19">
      <c r="A84">
        <v>80</v>
      </c>
      <c r="B84" s="704" t="s">
        <v>352</v>
      </c>
      <c r="C84" s="706" t="s">
        <v>398</v>
      </c>
      <c r="D84" s="706" t="s">
        <v>415</v>
      </c>
      <c r="E84" s="706" t="s">
        <v>360</v>
      </c>
      <c r="F84" s="706">
        <v>6</v>
      </c>
      <c r="G84" s="706"/>
      <c r="H84" s="720"/>
      <c r="I84" s="720">
        <v>46107</v>
      </c>
      <c r="J84" s="706" t="s">
        <v>355</v>
      </c>
      <c r="K84" t="str">
        <f t="shared" si="5"/>
        <v>Switch</v>
      </c>
      <c r="M84" s="419">
        <f t="shared" si="4"/>
        <v>0</v>
      </c>
      <c r="N84" s="419">
        <f t="shared" si="6"/>
        <v>0</v>
      </c>
      <c r="O84" s="419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1">
        <f>All_Detail_v2[[#This Row],[Scheduled Date]]</f>
        <v>46107</v>
      </c>
      <c r="S84" s="421">
        <f>All_Detail_v2[[#This Row],[Install Date]]</f>
        <v>0</v>
      </c>
    </row>
    <row r="85" spans="1:19">
      <c r="A85">
        <v>81</v>
      </c>
      <c r="B85" s="704" t="s">
        <v>352</v>
      </c>
      <c r="C85" s="706" t="s">
        <v>398</v>
      </c>
      <c r="D85" s="706" t="s">
        <v>415</v>
      </c>
      <c r="E85" s="706" t="s">
        <v>365</v>
      </c>
      <c r="F85" s="706">
        <v>1</v>
      </c>
      <c r="G85" s="706"/>
      <c r="H85" s="720"/>
      <c r="I85" s="720">
        <v>46107</v>
      </c>
      <c r="J85" s="706" t="s">
        <v>355</v>
      </c>
      <c r="K85" t="str">
        <f t="shared" si="5"/>
        <v>Switch</v>
      </c>
      <c r="M85" s="419">
        <f t="shared" si="4"/>
        <v>0</v>
      </c>
      <c r="N85" s="419">
        <f t="shared" si="6"/>
        <v>0</v>
      </c>
      <c r="O85" s="419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1">
        <f>All_Detail_v2[[#This Row],[Scheduled Date]]</f>
        <v>46107</v>
      </c>
      <c r="S85" s="421">
        <f>All_Detail_v2[[#This Row],[Install Date]]</f>
        <v>0</v>
      </c>
    </row>
    <row r="86" spans="1:19">
      <c r="A86">
        <v>82</v>
      </c>
      <c r="B86" s="704" t="s">
        <v>352</v>
      </c>
      <c r="C86" s="706" t="s">
        <v>398</v>
      </c>
      <c r="D86" s="706" t="s">
        <v>415</v>
      </c>
      <c r="E86" s="706" t="s">
        <v>402</v>
      </c>
      <c r="F86" s="706">
        <v>2</v>
      </c>
      <c r="G86" s="706"/>
      <c r="H86" s="720"/>
      <c r="I86" s="720">
        <v>46107</v>
      </c>
      <c r="J86" s="706" t="s">
        <v>355</v>
      </c>
      <c r="K86" t="str">
        <f t="shared" si="5"/>
        <v>Switch</v>
      </c>
      <c r="M86" s="419">
        <f t="shared" si="4"/>
        <v>0</v>
      </c>
      <c r="N86" s="419">
        <f t="shared" si="6"/>
        <v>0</v>
      </c>
      <c r="O86" s="419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1">
        <f>All_Detail_v2[[#This Row],[Scheduled Date]]</f>
        <v>46107</v>
      </c>
      <c r="S86" s="421">
        <f>All_Detail_v2[[#This Row],[Install Date]]</f>
        <v>0</v>
      </c>
    </row>
    <row r="87" spans="1:19">
      <c r="A87">
        <v>83</v>
      </c>
      <c r="B87" s="704" t="s">
        <v>352</v>
      </c>
      <c r="C87" s="706" t="s">
        <v>398</v>
      </c>
      <c r="D87" s="706" t="s">
        <v>415</v>
      </c>
      <c r="E87" s="706" t="s">
        <v>400</v>
      </c>
      <c r="F87" s="706">
        <v>1</v>
      </c>
      <c r="G87" s="706"/>
      <c r="H87" s="720"/>
      <c r="I87" s="720">
        <v>46107</v>
      </c>
      <c r="J87" s="706" t="s">
        <v>355</v>
      </c>
      <c r="K87" t="str">
        <f t="shared" si="5"/>
        <v>Switch</v>
      </c>
      <c r="M87" s="419">
        <f t="shared" si="4"/>
        <v>0</v>
      </c>
      <c r="N87" s="419">
        <f t="shared" si="6"/>
        <v>0</v>
      </c>
      <c r="O87" s="419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1">
        <f>All_Detail_v2[[#This Row],[Scheduled Date]]</f>
        <v>46107</v>
      </c>
      <c r="S87" s="421">
        <f>All_Detail_v2[[#This Row],[Install Date]]</f>
        <v>0</v>
      </c>
    </row>
    <row r="88" spans="1:19">
      <c r="A88">
        <v>84</v>
      </c>
      <c r="B88" s="704" t="s">
        <v>352</v>
      </c>
      <c r="C88" s="706" t="s">
        <v>398</v>
      </c>
      <c r="D88" s="706" t="s">
        <v>415</v>
      </c>
      <c r="E88" s="706" t="s">
        <v>407</v>
      </c>
      <c r="F88" s="706">
        <v>2</v>
      </c>
      <c r="G88" s="706">
        <v>2</v>
      </c>
      <c r="H88" s="720">
        <v>46063</v>
      </c>
      <c r="I88" s="720">
        <v>46063</v>
      </c>
      <c r="J88" s="706" t="s">
        <v>358</v>
      </c>
      <c r="K88" t="str">
        <f t="shared" si="5"/>
        <v>Switch</v>
      </c>
      <c r="M88" s="419">
        <f t="shared" si="4"/>
        <v>2</v>
      </c>
      <c r="N88" s="419">
        <f t="shared" si="6"/>
        <v>2</v>
      </c>
      <c r="O88" s="419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1">
        <f>All_Detail_v2[[#This Row],[Scheduled Date]]</f>
        <v>46063</v>
      </c>
      <c r="S88" s="421">
        <f>All_Detail_v2[[#This Row],[Install Date]]</f>
        <v>46063</v>
      </c>
    </row>
    <row r="89" spans="1:19">
      <c r="A89">
        <v>85</v>
      </c>
      <c r="B89" s="704" t="s">
        <v>352</v>
      </c>
      <c r="C89" s="706" t="s">
        <v>398</v>
      </c>
      <c r="D89" s="706" t="s">
        <v>415</v>
      </c>
      <c r="E89" s="706" t="s">
        <v>408</v>
      </c>
      <c r="F89" s="706">
        <v>2</v>
      </c>
      <c r="G89" s="706">
        <v>2</v>
      </c>
      <c r="H89" s="720">
        <v>46063</v>
      </c>
      <c r="I89" s="720">
        <v>46063</v>
      </c>
      <c r="J89" s="706" t="s">
        <v>358</v>
      </c>
      <c r="K89" t="str">
        <f t="shared" si="5"/>
        <v>Switch</v>
      </c>
      <c r="M89" s="419">
        <f t="shared" si="4"/>
        <v>2</v>
      </c>
      <c r="N89" s="419">
        <f t="shared" si="6"/>
        <v>2</v>
      </c>
      <c r="O89" s="419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1">
        <f>All_Detail_v2[[#This Row],[Scheduled Date]]</f>
        <v>46063</v>
      </c>
      <c r="S89" s="421">
        <f>All_Detail_v2[[#This Row],[Install Date]]</f>
        <v>46063</v>
      </c>
    </row>
    <row r="90" spans="1:19">
      <c r="A90">
        <v>86</v>
      </c>
      <c r="B90" s="704" t="s">
        <v>352</v>
      </c>
      <c r="C90" s="706" t="s">
        <v>398</v>
      </c>
      <c r="D90" s="706" t="s">
        <v>415</v>
      </c>
      <c r="E90" s="706" t="s">
        <v>409</v>
      </c>
      <c r="F90" s="706">
        <v>1</v>
      </c>
      <c r="G90" s="706">
        <v>1</v>
      </c>
      <c r="H90" s="720">
        <v>46063</v>
      </c>
      <c r="I90" s="720">
        <v>46063</v>
      </c>
      <c r="J90" s="706" t="s">
        <v>358</v>
      </c>
      <c r="K90" t="str">
        <f t="shared" si="5"/>
        <v>Switch</v>
      </c>
      <c r="L90" s="649" t="s">
        <v>416</v>
      </c>
      <c r="M90" s="419">
        <f t="shared" si="4"/>
        <v>1</v>
      </c>
      <c r="N90" s="419">
        <f t="shared" si="6"/>
        <v>1</v>
      </c>
      <c r="O90" s="419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1">
        <f>All_Detail_v2[[#This Row],[Scheduled Date]]</f>
        <v>46063</v>
      </c>
      <c r="S90" s="421">
        <f>All_Detail_v2[[#This Row],[Install Date]]</f>
        <v>46063</v>
      </c>
    </row>
    <row r="91" spans="1:19">
      <c r="A91">
        <v>87</v>
      </c>
      <c r="B91" s="706" t="s">
        <v>415</v>
      </c>
      <c r="C91" s="706" t="s">
        <v>398</v>
      </c>
      <c r="D91" s="706" t="s">
        <v>415</v>
      </c>
      <c r="E91" s="706" t="s">
        <v>411</v>
      </c>
      <c r="F91" s="706">
        <v>2</v>
      </c>
      <c r="G91" s="706">
        <v>2</v>
      </c>
      <c r="H91" s="720">
        <v>46063</v>
      </c>
      <c r="I91" s="720">
        <v>46063</v>
      </c>
      <c r="J91" s="706" t="s">
        <v>358</v>
      </c>
      <c r="K91" t="str">
        <f t="shared" si="5"/>
        <v>Infra</v>
      </c>
      <c r="L91" s="649" t="s">
        <v>412</v>
      </c>
      <c r="M91" s="419">
        <f t="shared" si="4"/>
        <v>2</v>
      </c>
      <c r="N91" s="419">
        <f t="shared" si="6"/>
        <v>2</v>
      </c>
      <c r="O91" s="419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1">
        <f>All_Detail_v2[[#This Row],[Scheduled Date]]</f>
        <v>46063</v>
      </c>
      <c r="S91" s="421">
        <f>All_Detail_v2[[#This Row],[Install Date]]</f>
        <v>46063</v>
      </c>
    </row>
    <row r="92" spans="1:19">
      <c r="A92">
        <v>88</v>
      </c>
      <c r="B92" s="704" t="s">
        <v>352</v>
      </c>
      <c r="C92" s="706" t="s">
        <v>398</v>
      </c>
      <c r="D92" s="706" t="s">
        <v>417</v>
      </c>
      <c r="E92" s="706" t="s">
        <v>360</v>
      </c>
      <c r="F92" s="706">
        <v>2</v>
      </c>
      <c r="G92" s="706">
        <v>2</v>
      </c>
      <c r="H92" s="720">
        <v>46070</v>
      </c>
      <c r="I92" s="720">
        <v>46070</v>
      </c>
      <c r="J92" s="706" t="s">
        <v>358</v>
      </c>
      <c r="K92" t="str">
        <f t="shared" si="5"/>
        <v>Switch</v>
      </c>
      <c r="M92" s="419">
        <f t="shared" si="4"/>
        <v>2</v>
      </c>
      <c r="N92" s="419">
        <f t="shared" si="6"/>
        <v>2</v>
      </c>
      <c r="O92" s="419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1">
        <f>All_Detail_v2[[#This Row],[Scheduled Date]]</f>
        <v>46070</v>
      </c>
      <c r="S92" s="421">
        <f>All_Detail_v2[[#This Row],[Install Date]]</f>
        <v>46070</v>
      </c>
    </row>
    <row r="93" spans="1:19">
      <c r="A93">
        <v>89</v>
      </c>
      <c r="B93" s="704" t="s">
        <v>352</v>
      </c>
      <c r="C93" s="706" t="s">
        <v>398</v>
      </c>
      <c r="D93" s="706" t="s">
        <v>417</v>
      </c>
      <c r="E93" s="706" t="s">
        <v>365</v>
      </c>
      <c r="F93" s="706">
        <v>1</v>
      </c>
      <c r="G93" s="706">
        <v>1</v>
      </c>
      <c r="H93" s="720">
        <v>46070</v>
      </c>
      <c r="I93" s="720">
        <v>46070</v>
      </c>
      <c r="J93" s="706" t="s">
        <v>358</v>
      </c>
      <c r="K93" t="str">
        <f t="shared" si="5"/>
        <v>Switch</v>
      </c>
      <c r="M93" s="419">
        <f t="shared" si="4"/>
        <v>1</v>
      </c>
      <c r="N93" s="419">
        <f t="shared" si="6"/>
        <v>1</v>
      </c>
      <c r="O93" s="419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1">
        <f>All_Detail_v2[[#This Row],[Scheduled Date]]</f>
        <v>46070</v>
      </c>
      <c r="S93" s="421">
        <f>All_Detail_v2[[#This Row],[Install Date]]</f>
        <v>46070</v>
      </c>
    </row>
    <row r="94" spans="1:19">
      <c r="A94">
        <v>90</v>
      </c>
      <c r="B94" s="704" t="s">
        <v>352</v>
      </c>
      <c r="C94" s="706" t="s">
        <v>398</v>
      </c>
      <c r="D94" s="706" t="s">
        <v>418</v>
      </c>
      <c r="E94" s="706" t="s">
        <v>360</v>
      </c>
      <c r="F94" s="706">
        <v>1</v>
      </c>
      <c r="G94" s="706"/>
      <c r="H94" s="720"/>
      <c r="I94" s="720">
        <v>46108</v>
      </c>
      <c r="J94" s="706" t="s">
        <v>355</v>
      </c>
      <c r="K94" t="str">
        <f t="shared" si="5"/>
        <v>Switch</v>
      </c>
      <c r="M94" s="419">
        <f t="shared" si="4"/>
        <v>0</v>
      </c>
      <c r="N94" s="419">
        <f t="shared" si="6"/>
        <v>0</v>
      </c>
      <c r="O94" s="419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1">
        <f>All_Detail_v2[[#This Row],[Scheduled Date]]</f>
        <v>46108</v>
      </c>
      <c r="S94" s="421">
        <f>All_Detail_v2[[#This Row],[Install Date]]</f>
        <v>0</v>
      </c>
    </row>
    <row r="95" spans="1:19">
      <c r="A95">
        <v>91</v>
      </c>
      <c r="B95" s="704" t="s">
        <v>352</v>
      </c>
      <c r="C95" s="706" t="s">
        <v>398</v>
      </c>
      <c r="D95" s="706" t="s">
        <v>418</v>
      </c>
      <c r="E95" s="706" t="s">
        <v>365</v>
      </c>
      <c r="F95" s="706">
        <v>1</v>
      </c>
      <c r="G95" s="706"/>
      <c r="H95" s="720"/>
      <c r="I95" s="720">
        <v>46108</v>
      </c>
      <c r="J95" s="706" t="s">
        <v>355</v>
      </c>
      <c r="K95" t="str">
        <f t="shared" si="5"/>
        <v>Switch</v>
      </c>
      <c r="M95" s="419">
        <f t="shared" si="4"/>
        <v>0</v>
      </c>
      <c r="N95" s="419">
        <f t="shared" si="6"/>
        <v>0</v>
      </c>
      <c r="O95" s="419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1">
        <f>All_Detail_v2[[#This Row],[Scheduled Date]]</f>
        <v>46108</v>
      </c>
      <c r="S95" s="421">
        <f>All_Detail_v2[[#This Row],[Install Date]]</f>
        <v>0</v>
      </c>
    </row>
    <row r="96" spans="1:19">
      <c r="A96">
        <v>92</v>
      </c>
      <c r="B96" s="704" t="s">
        <v>352</v>
      </c>
      <c r="C96" s="706" t="s">
        <v>398</v>
      </c>
      <c r="D96" s="706" t="s">
        <v>419</v>
      </c>
      <c r="E96" s="706" t="s">
        <v>360</v>
      </c>
      <c r="F96" s="706">
        <v>1</v>
      </c>
      <c r="G96" s="706"/>
      <c r="H96" s="720"/>
      <c r="I96" s="720">
        <v>46108</v>
      </c>
      <c r="J96" s="706" t="s">
        <v>355</v>
      </c>
      <c r="K96" t="str">
        <f t="shared" si="5"/>
        <v>Switch</v>
      </c>
      <c r="M96" s="419">
        <f t="shared" si="4"/>
        <v>0</v>
      </c>
      <c r="N96" s="419">
        <f t="shared" si="6"/>
        <v>0</v>
      </c>
      <c r="O96" s="419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1">
        <f>All_Detail_v2[[#This Row],[Scheduled Date]]</f>
        <v>46108</v>
      </c>
      <c r="S96" s="421">
        <f>All_Detail_v2[[#This Row],[Install Date]]</f>
        <v>0</v>
      </c>
    </row>
    <row r="97" spans="1:19">
      <c r="A97">
        <v>93</v>
      </c>
      <c r="B97" s="704" t="s">
        <v>352</v>
      </c>
      <c r="C97" s="706" t="s">
        <v>398</v>
      </c>
      <c r="D97" s="706" t="s">
        <v>419</v>
      </c>
      <c r="E97" s="706" t="s">
        <v>365</v>
      </c>
      <c r="F97" s="706">
        <v>1</v>
      </c>
      <c r="G97" s="706"/>
      <c r="H97" s="720"/>
      <c r="I97" s="720">
        <v>46108</v>
      </c>
      <c r="J97" s="706" t="s">
        <v>355</v>
      </c>
      <c r="K97" t="str">
        <f t="shared" si="5"/>
        <v>Switch</v>
      </c>
      <c r="M97" s="419">
        <f t="shared" si="4"/>
        <v>0</v>
      </c>
      <c r="N97" s="419">
        <f t="shared" si="6"/>
        <v>0</v>
      </c>
      <c r="O97" s="419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1">
        <f>All_Detail_v2[[#This Row],[Scheduled Date]]</f>
        <v>46108</v>
      </c>
      <c r="S97" s="421">
        <f>All_Detail_v2[[#This Row],[Install Date]]</f>
        <v>0</v>
      </c>
    </row>
    <row r="98" spans="1:19">
      <c r="A98">
        <v>94</v>
      </c>
      <c r="B98" s="704" t="s">
        <v>352</v>
      </c>
      <c r="C98" s="706" t="s">
        <v>398</v>
      </c>
      <c r="D98" s="706" t="s">
        <v>420</v>
      </c>
      <c r="E98" s="706" t="s">
        <v>360</v>
      </c>
      <c r="F98" s="706">
        <v>1</v>
      </c>
      <c r="G98" s="706"/>
      <c r="H98" s="720"/>
      <c r="I98" s="720">
        <v>46108</v>
      </c>
      <c r="J98" s="706" t="s">
        <v>355</v>
      </c>
      <c r="K98" t="str">
        <f t="shared" si="5"/>
        <v>Switch</v>
      </c>
      <c r="M98" s="419">
        <f t="shared" si="4"/>
        <v>0</v>
      </c>
      <c r="N98" s="419">
        <f t="shared" si="6"/>
        <v>0</v>
      </c>
      <c r="O98" s="419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1">
        <f>All_Detail_v2[[#This Row],[Scheduled Date]]</f>
        <v>46108</v>
      </c>
      <c r="S98" s="421">
        <f>All_Detail_v2[[#This Row],[Install Date]]</f>
        <v>0</v>
      </c>
    </row>
    <row r="99" spans="1:19">
      <c r="A99">
        <v>95</v>
      </c>
      <c r="B99" s="704" t="s">
        <v>352</v>
      </c>
      <c r="C99" s="706" t="s">
        <v>398</v>
      </c>
      <c r="D99" s="706" t="s">
        <v>420</v>
      </c>
      <c r="E99" s="706" t="s">
        <v>365</v>
      </c>
      <c r="F99" s="706">
        <v>1</v>
      </c>
      <c r="G99" s="706"/>
      <c r="H99" s="720"/>
      <c r="I99" s="720">
        <v>46108</v>
      </c>
      <c r="J99" s="706" t="s">
        <v>355</v>
      </c>
      <c r="K99" t="str">
        <f t="shared" si="5"/>
        <v>Switch</v>
      </c>
      <c r="M99" s="419">
        <f t="shared" si="4"/>
        <v>0</v>
      </c>
      <c r="N99" s="419">
        <f t="shared" si="6"/>
        <v>0</v>
      </c>
      <c r="O99" s="419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1">
        <f>All_Detail_v2[[#This Row],[Scheduled Date]]</f>
        <v>46108</v>
      </c>
      <c r="S99" s="421">
        <f>All_Detail_v2[[#This Row],[Install Date]]</f>
        <v>0</v>
      </c>
    </row>
    <row r="100" spans="1:19">
      <c r="A100">
        <v>96</v>
      </c>
      <c r="B100" s="704" t="s">
        <v>352</v>
      </c>
      <c r="C100" s="706" t="s">
        <v>398</v>
      </c>
      <c r="D100" s="706" t="s">
        <v>421</v>
      </c>
      <c r="E100" s="706" t="s">
        <v>360</v>
      </c>
      <c r="F100" s="706">
        <v>1</v>
      </c>
      <c r="G100" s="706"/>
      <c r="H100" s="720"/>
      <c r="I100" s="720">
        <v>46108</v>
      </c>
      <c r="J100" s="706" t="s">
        <v>355</v>
      </c>
      <c r="K100" t="str">
        <f t="shared" si="5"/>
        <v>Switch</v>
      </c>
      <c r="M100" s="419">
        <f t="shared" si="4"/>
        <v>0</v>
      </c>
      <c r="N100" s="419">
        <f t="shared" si="6"/>
        <v>0</v>
      </c>
      <c r="O100" s="419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1">
        <f>All_Detail_v2[[#This Row],[Scheduled Date]]</f>
        <v>46108</v>
      </c>
      <c r="S100" s="421">
        <f>All_Detail_v2[[#This Row],[Install Date]]</f>
        <v>0</v>
      </c>
    </row>
    <row r="101" spans="1:19">
      <c r="A101">
        <v>97</v>
      </c>
      <c r="B101" s="704" t="s">
        <v>352</v>
      </c>
      <c r="C101" s="706" t="s">
        <v>398</v>
      </c>
      <c r="D101" s="706" t="s">
        <v>421</v>
      </c>
      <c r="E101" s="706" t="s">
        <v>365</v>
      </c>
      <c r="F101" s="706">
        <v>1</v>
      </c>
      <c r="G101" s="706"/>
      <c r="H101" s="720"/>
      <c r="I101" s="720">
        <v>46108</v>
      </c>
      <c r="J101" s="706" t="s">
        <v>355</v>
      </c>
      <c r="K101" t="str">
        <f t="shared" si="5"/>
        <v>Switch</v>
      </c>
      <c r="M101" s="419">
        <f t="shared" si="4"/>
        <v>0</v>
      </c>
      <c r="N101" s="419">
        <f t="shared" si="6"/>
        <v>0</v>
      </c>
      <c r="O101" s="419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1">
        <f>All_Detail_v2[[#This Row],[Scheduled Date]]</f>
        <v>46108</v>
      </c>
      <c r="S101" s="421">
        <f>All_Detail_v2[[#This Row],[Install Date]]</f>
        <v>0</v>
      </c>
    </row>
    <row r="102" spans="1:19">
      <c r="A102">
        <v>98</v>
      </c>
      <c r="B102" s="704" t="s">
        <v>352</v>
      </c>
      <c r="C102" s="706" t="s">
        <v>398</v>
      </c>
      <c r="D102" s="706" t="s">
        <v>422</v>
      </c>
      <c r="E102" s="706" t="s">
        <v>360</v>
      </c>
      <c r="F102" s="706">
        <v>1</v>
      </c>
      <c r="G102" s="706"/>
      <c r="H102" s="720"/>
      <c r="I102" s="720">
        <v>46108</v>
      </c>
      <c r="J102" s="706" t="s">
        <v>355</v>
      </c>
      <c r="K102" t="str">
        <f t="shared" si="5"/>
        <v>Switch</v>
      </c>
      <c r="M102" s="419">
        <f t="shared" si="4"/>
        <v>0</v>
      </c>
      <c r="N102" s="419">
        <f t="shared" si="6"/>
        <v>0</v>
      </c>
      <c r="O102" s="419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1">
        <f>All_Detail_v2[[#This Row],[Scheduled Date]]</f>
        <v>46108</v>
      </c>
      <c r="S102" s="421">
        <f>All_Detail_v2[[#This Row],[Install Date]]</f>
        <v>0</v>
      </c>
    </row>
    <row r="103" spans="1:19">
      <c r="A103">
        <v>99</v>
      </c>
      <c r="B103" s="704" t="s">
        <v>352</v>
      </c>
      <c r="C103" s="706" t="s">
        <v>398</v>
      </c>
      <c r="D103" s="706" t="s">
        <v>422</v>
      </c>
      <c r="E103" s="706" t="s">
        <v>365</v>
      </c>
      <c r="F103" s="706">
        <v>1</v>
      </c>
      <c r="G103" s="706"/>
      <c r="H103" s="720"/>
      <c r="I103" s="720">
        <v>46108</v>
      </c>
      <c r="J103" s="706" t="s">
        <v>355</v>
      </c>
      <c r="K103" t="str">
        <f t="shared" si="5"/>
        <v>Switch</v>
      </c>
      <c r="M103" s="419">
        <f t="shared" si="4"/>
        <v>0</v>
      </c>
      <c r="N103" s="419">
        <f t="shared" si="6"/>
        <v>0</v>
      </c>
      <c r="O103" s="419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1">
        <f>All_Detail_v2[[#This Row],[Scheduled Date]]</f>
        <v>46108</v>
      </c>
      <c r="S103" s="421">
        <f>All_Detail_v2[[#This Row],[Install Date]]</f>
        <v>0</v>
      </c>
    </row>
    <row r="104" spans="1:19">
      <c r="A104">
        <v>100</v>
      </c>
      <c r="B104" s="704" t="s">
        <v>352</v>
      </c>
      <c r="C104" s="706" t="s">
        <v>398</v>
      </c>
      <c r="D104" s="706" t="s">
        <v>423</v>
      </c>
      <c r="E104" s="706" t="s">
        <v>360</v>
      </c>
      <c r="F104" s="706">
        <v>1</v>
      </c>
      <c r="G104" s="706"/>
      <c r="H104" s="720"/>
      <c r="I104" s="720">
        <v>46111</v>
      </c>
      <c r="J104" s="706" t="s">
        <v>355</v>
      </c>
      <c r="K104" t="str">
        <f t="shared" si="5"/>
        <v>Switch</v>
      </c>
      <c r="M104" s="419">
        <f t="shared" si="4"/>
        <v>0</v>
      </c>
      <c r="N104" s="419">
        <f t="shared" si="6"/>
        <v>0</v>
      </c>
      <c r="O104" s="419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1">
        <f>All_Detail_v2[[#This Row],[Scheduled Date]]</f>
        <v>46111</v>
      </c>
      <c r="S104" s="421">
        <f>All_Detail_v2[[#This Row],[Install Date]]</f>
        <v>0</v>
      </c>
    </row>
    <row r="105" spans="1:19">
      <c r="A105">
        <v>101</v>
      </c>
      <c r="B105" s="704" t="s">
        <v>352</v>
      </c>
      <c r="C105" s="706" t="s">
        <v>398</v>
      </c>
      <c r="D105" s="706" t="s">
        <v>423</v>
      </c>
      <c r="E105" s="706" t="s">
        <v>365</v>
      </c>
      <c r="F105" s="706">
        <v>1</v>
      </c>
      <c r="G105" s="706"/>
      <c r="H105" s="720"/>
      <c r="I105" s="720">
        <v>46111</v>
      </c>
      <c r="J105" s="706" t="s">
        <v>355</v>
      </c>
      <c r="K105" t="str">
        <f t="shared" si="5"/>
        <v>Switch</v>
      </c>
      <c r="M105" s="419">
        <f t="shared" si="4"/>
        <v>0</v>
      </c>
      <c r="N105" s="419">
        <f t="shared" si="6"/>
        <v>0</v>
      </c>
      <c r="O105" s="419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1">
        <f>All_Detail_v2[[#This Row],[Scheduled Date]]</f>
        <v>46111</v>
      </c>
      <c r="S105" s="421">
        <f>All_Detail_v2[[#This Row],[Install Date]]</f>
        <v>0</v>
      </c>
    </row>
    <row r="106" spans="1:19">
      <c r="A106">
        <v>102</v>
      </c>
      <c r="B106" s="704" t="s">
        <v>352</v>
      </c>
      <c r="C106" s="706" t="s">
        <v>398</v>
      </c>
      <c r="D106" s="706" t="s">
        <v>424</v>
      </c>
      <c r="E106" s="706" t="s">
        <v>360</v>
      </c>
      <c r="F106" s="706">
        <v>1</v>
      </c>
      <c r="G106" s="706"/>
      <c r="H106" s="720"/>
      <c r="I106" s="720">
        <v>46111</v>
      </c>
      <c r="J106" s="706" t="s">
        <v>355</v>
      </c>
      <c r="K106" t="str">
        <f t="shared" si="5"/>
        <v>Switch</v>
      </c>
      <c r="M106" s="419">
        <f t="shared" si="4"/>
        <v>0</v>
      </c>
      <c r="N106" s="419">
        <f t="shared" si="6"/>
        <v>0</v>
      </c>
      <c r="O106" s="419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1">
        <f>All_Detail_v2[[#This Row],[Scheduled Date]]</f>
        <v>46111</v>
      </c>
      <c r="S106" s="421">
        <f>All_Detail_v2[[#This Row],[Install Date]]</f>
        <v>0</v>
      </c>
    </row>
    <row r="107" spans="1:19">
      <c r="A107">
        <v>103</v>
      </c>
      <c r="B107" s="704" t="s">
        <v>352</v>
      </c>
      <c r="C107" s="706" t="s">
        <v>398</v>
      </c>
      <c r="D107" s="706" t="s">
        <v>424</v>
      </c>
      <c r="E107" s="706" t="s">
        <v>365</v>
      </c>
      <c r="F107" s="706">
        <v>1</v>
      </c>
      <c r="G107" s="706"/>
      <c r="H107" s="720"/>
      <c r="I107" s="720">
        <v>46111</v>
      </c>
      <c r="J107" s="706" t="s">
        <v>355</v>
      </c>
      <c r="K107" t="str">
        <f t="shared" si="5"/>
        <v>Switch</v>
      </c>
      <c r="M107" s="419">
        <f t="shared" si="4"/>
        <v>0</v>
      </c>
      <c r="N107" s="419">
        <f t="shared" si="6"/>
        <v>0</v>
      </c>
      <c r="O107" s="419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1">
        <f>All_Detail_v2[[#This Row],[Scheduled Date]]</f>
        <v>46111</v>
      </c>
      <c r="S107" s="421">
        <f>All_Detail_v2[[#This Row],[Install Date]]</f>
        <v>0</v>
      </c>
    </row>
    <row r="108" spans="1:19">
      <c r="A108">
        <v>104</v>
      </c>
      <c r="B108" s="704" t="s">
        <v>352</v>
      </c>
      <c r="C108" s="706" t="s">
        <v>398</v>
      </c>
      <c r="D108" s="706" t="s">
        <v>425</v>
      </c>
      <c r="E108" s="706" t="s">
        <v>360</v>
      </c>
      <c r="F108" s="706">
        <v>1</v>
      </c>
      <c r="G108" s="706"/>
      <c r="H108" s="720"/>
      <c r="I108" s="720">
        <v>46111</v>
      </c>
      <c r="J108" s="706" t="s">
        <v>355</v>
      </c>
      <c r="K108" t="str">
        <f t="shared" si="5"/>
        <v>Switch</v>
      </c>
      <c r="M108" s="419">
        <f t="shared" si="4"/>
        <v>0</v>
      </c>
      <c r="N108" s="419">
        <f t="shared" si="6"/>
        <v>0</v>
      </c>
      <c r="O108" s="419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1">
        <f>All_Detail_v2[[#This Row],[Scheduled Date]]</f>
        <v>46111</v>
      </c>
      <c r="S108" s="421">
        <f>All_Detail_v2[[#This Row],[Install Date]]</f>
        <v>0</v>
      </c>
    </row>
    <row r="109" spans="1:19">
      <c r="A109">
        <v>105</v>
      </c>
      <c r="B109" s="704" t="s">
        <v>352</v>
      </c>
      <c r="C109" s="706" t="s">
        <v>398</v>
      </c>
      <c r="D109" s="706" t="s">
        <v>425</v>
      </c>
      <c r="E109" s="706" t="s">
        <v>365</v>
      </c>
      <c r="F109" s="706">
        <v>1</v>
      </c>
      <c r="G109" s="706"/>
      <c r="H109" s="720"/>
      <c r="I109" s="720">
        <v>46111</v>
      </c>
      <c r="J109" s="706" t="s">
        <v>355</v>
      </c>
      <c r="K109" t="str">
        <f t="shared" si="5"/>
        <v>Switch</v>
      </c>
      <c r="M109" s="419">
        <f t="shared" si="4"/>
        <v>0</v>
      </c>
      <c r="N109" s="419">
        <f t="shared" si="6"/>
        <v>0</v>
      </c>
      <c r="O109" s="419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1">
        <f>All_Detail_v2[[#This Row],[Scheduled Date]]</f>
        <v>46111</v>
      </c>
      <c r="S109" s="421">
        <f>All_Detail_v2[[#This Row],[Install Date]]</f>
        <v>0</v>
      </c>
    </row>
    <row r="110" spans="1:19">
      <c r="A110">
        <v>106</v>
      </c>
      <c r="B110" s="704" t="s">
        <v>352</v>
      </c>
      <c r="C110" s="706" t="s">
        <v>398</v>
      </c>
      <c r="D110" s="706" t="s">
        <v>426</v>
      </c>
      <c r="E110" s="706" t="s">
        <v>360</v>
      </c>
      <c r="F110" s="706">
        <v>2</v>
      </c>
      <c r="G110" s="706"/>
      <c r="H110" s="720"/>
      <c r="I110" s="720">
        <v>46111</v>
      </c>
      <c r="J110" s="706" t="s">
        <v>355</v>
      </c>
      <c r="K110" t="str">
        <f t="shared" si="5"/>
        <v>Switch</v>
      </c>
      <c r="M110" s="419">
        <f t="shared" si="4"/>
        <v>0</v>
      </c>
      <c r="N110" s="419">
        <f t="shared" si="6"/>
        <v>0</v>
      </c>
      <c r="O110" s="419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1">
        <f>All_Detail_v2[[#This Row],[Scheduled Date]]</f>
        <v>46111</v>
      </c>
      <c r="S110" s="421">
        <f>All_Detail_v2[[#This Row],[Install Date]]</f>
        <v>0</v>
      </c>
    </row>
    <row r="111" spans="1:19">
      <c r="A111">
        <v>107</v>
      </c>
      <c r="B111" s="704" t="s">
        <v>352</v>
      </c>
      <c r="C111" s="706" t="s">
        <v>398</v>
      </c>
      <c r="D111" s="706" t="s">
        <v>426</v>
      </c>
      <c r="E111" s="706" t="s">
        <v>365</v>
      </c>
      <c r="F111" s="706">
        <v>1</v>
      </c>
      <c r="G111" s="706"/>
      <c r="H111" s="720"/>
      <c r="I111" s="720">
        <v>46111</v>
      </c>
      <c r="J111" s="706" t="s">
        <v>355</v>
      </c>
      <c r="K111" t="str">
        <f t="shared" si="5"/>
        <v>Switch</v>
      </c>
      <c r="M111" s="419">
        <f t="shared" si="4"/>
        <v>0</v>
      </c>
      <c r="N111" s="419">
        <f t="shared" si="6"/>
        <v>0</v>
      </c>
      <c r="O111" s="419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1">
        <f>All_Detail_v2[[#This Row],[Scheduled Date]]</f>
        <v>46111</v>
      </c>
      <c r="S111" s="421">
        <f>All_Detail_v2[[#This Row],[Install Date]]</f>
        <v>0</v>
      </c>
    </row>
    <row r="112" spans="1:19">
      <c r="A112">
        <v>108</v>
      </c>
      <c r="B112" s="704" t="s">
        <v>352</v>
      </c>
      <c r="C112" s="706" t="s">
        <v>398</v>
      </c>
      <c r="D112" s="706" t="s">
        <v>427</v>
      </c>
      <c r="E112" s="706" t="s">
        <v>360</v>
      </c>
      <c r="F112" s="706">
        <v>2</v>
      </c>
      <c r="G112" s="706">
        <v>2</v>
      </c>
      <c r="H112" s="720">
        <v>46100</v>
      </c>
      <c r="I112" s="720">
        <v>46100</v>
      </c>
      <c r="J112" s="706" t="s">
        <v>358</v>
      </c>
      <c r="K112" t="str">
        <f t="shared" si="5"/>
        <v>Switch</v>
      </c>
      <c r="M112" s="419">
        <f t="shared" si="4"/>
        <v>2</v>
      </c>
      <c r="N112" s="419">
        <f t="shared" si="6"/>
        <v>2</v>
      </c>
      <c r="O112" s="419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1">
        <f>All_Detail_v2[[#This Row],[Scheduled Date]]</f>
        <v>46100</v>
      </c>
      <c r="S112" s="421">
        <f>All_Detail_v2[[#This Row],[Install Date]]</f>
        <v>46100</v>
      </c>
    </row>
    <row r="113" spans="1:19">
      <c r="A113">
        <v>109</v>
      </c>
      <c r="B113" s="704" t="s">
        <v>352</v>
      </c>
      <c r="C113" s="706" t="s">
        <v>398</v>
      </c>
      <c r="D113" s="706" t="s">
        <v>427</v>
      </c>
      <c r="E113" s="706" t="s">
        <v>365</v>
      </c>
      <c r="F113" s="706">
        <v>1</v>
      </c>
      <c r="G113" s="706">
        <v>1</v>
      </c>
      <c r="H113" s="720">
        <v>46100</v>
      </c>
      <c r="I113" s="720">
        <v>46100</v>
      </c>
      <c r="J113" s="706" t="s">
        <v>358</v>
      </c>
      <c r="K113" t="str">
        <f t="shared" si="5"/>
        <v>Switch</v>
      </c>
      <c r="M113" s="419">
        <f t="shared" si="4"/>
        <v>1</v>
      </c>
      <c r="N113" s="419">
        <f t="shared" si="6"/>
        <v>1</v>
      </c>
      <c r="O113" s="419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1">
        <f>All_Detail_v2[[#This Row],[Scheduled Date]]</f>
        <v>46100</v>
      </c>
      <c r="S113" s="421">
        <f>All_Detail_v2[[#This Row],[Install Date]]</f>
        <v>46100</v>
      </c>
    </row>
    <row r="114" spans="1:19">
      <c r="A114">
        <v>110</v>
      </c>
      <c r="B114" s="704" t="s">
        <v>352</v>
      </c>
      <c r="C114" s="706" t="s">
        <v>398</v>
      </c>
      <c r="D114" s="706" t="s">
        <v>427</v>
      </c>
      <c r="E114" s="706" t="s">
        <v>402</v>
      </c>
      <c r="F114" s="706">
        <v>1</v>
      </c>
      <c r="G114" s="706">
        <v>1</v>
      </c>
      <c r="H114" s="720">
        <v>46100</v>
      </c>
      <c r="I114" s="720">
        <v>46100</v>
      </c>
      <c r="J114" s="706" t="s">
        <v>358</v>
      </c>
      <c r="K114" t="str">
        <f t="shared" si="5"/>
        <v>Switch</v>
      </c>
      <c r="M114" s="419">
        <f t="shared" si="4"/>
        <v>1</v>
      </c>
      <c r="N114" s="419">
        <f t="shared" si="6"/>
        <v>1</v>
      </c>
      <c r="O114" s="419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1">
        <f>All_Detail_v2[[#This Row],[Scheduled Date]]</f>
        <v>46100</v>
      </c>
      <c r="S114" s="421">
        <f>All_Detail_v2[[#This Row],[Install Date]]</f>
        <v>46100</v>
      </c>
    </row>
    <row r="115" spans="1:19">
      <c r="A115">
        <v>111</v>
      </c>
      <c r="B115" s="704" t="s">
        <v>352</v>
      </c>
      <c r="C115" s="706" t="s">
        <v>398</v>
      </c>
      <c r="D115" s="706" t="s">
        <v>428</v>
      </c>
      <c r="E115" s="706" t="s">
        <v>360</v>
      </c>
      <c r="F115" s="706">
        <v>2</v>
      </c>
      <c r="G115" s="706"/>
      <c r="H115" s="720"/>
      <c r="I115" s="720">
        <v>46111</v>
      </c>
      <c r="J115" s="706" t="s">
        <v>355</v>
      </c>
      <c r="K115" t="str">
        <f t="shared" si="5"/>
        <v>Switch</v>
      </c>
      <c r="M115" s="419">
        <f t="shared" si="4"/>
        <v>0</v>
      </c>
      <c r="N115" s="419">
        <f t="shared" si="6"/>
        <v>0</v>
      </c>
      <c r="O115" s="419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1">
        <f>All_Detail_v2[[#This Row],[Scheduled Date]]</f>
        <v>46111</v>
      </c>
      <c r="S115" s="421">
        <f>All_Detail_v2[[#This Row],[Install Date]]</f>
        <v>0</v>
      </c>
    </row>
    <row r="116" spans="1:19">
      <c r="A116">
        <v>112</v>
      </c>
      <c r="B116" s="704" t="s">
        <v>352</v>
      </c>
      <c r="C116" s="706" t="s">
        <v>398</v>
      </c>
      <c r="D116" s="706" t="s">
        <v>428</v>
      </c>
      <c r="E116" s="706" t="s">
        <v>365</v>
      </c>
      <c r="F116" s="706">
        <v>2</v>
      </c>
      <c r="G116" s="706"/>
      <c r="H116" s="720"/>
      <c r="I116" s="720">
        <v>46111</v>
      </c>
      <c r="J116" s="706" t="s">
        <v>355</v>
      </c>
      <c r="K116" t="str">
        <f t="shared" si="5"/>
        <v>Switch</v>
      </c>
      <c r="M116" s="419">
        <f t="shared" si="4"/>
        <v>0</v>
      </c>
      <c r="N116" s="419">
        <f t="shared" si="6"/>
        <v>0</v>
      </c>
      <c r="O116" s="419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1">
        <f>All_Detail_v2[[#This Row],[Scheduled Date]]</f>
        <v>46111</v>
      </c>
      <c r="S116" s="421">
        <f>All_Detail_v2[[#This Row],[Install Date]]</f>
        <v>0</v>
      </c>
    </row>
    <row r="117" spans="1:19">
      <c r="A117">
        <v>113</v>
      </c>
      <c r="B117" s="704" t="s">
        <v>352</v>
      </c>
      <c r="C117" s="706" t="s">
        <v>398</v>
      </c>
      <c r="D117" s="706" t="s">
        <v>428</v>
      </c>
      <c r="E117" s="706" t="s">
        <v>402</v>
      </c>
      <c r="F117" s="706">
        <v>1</v>
      </c>
      <c r="G117" s="706"/>
      <c r="H117" s="720"/>
      <c r="I117" s="720">
        <v>46111</v>
      </c>
      <c r="J117" s="706" t="s">
        <v>355</v>
      </c>
      <c r="K117" t="str">
        <f t="shared" si="5"/>
        <v>Switch</v>
      </c>
      <c r="M117" s="419">
        <f t="shared" si="4"/>
        <v>0</v>
      </c>
      <c r="N117" s="419">
        <f t="shared" si="6"/>
        <v>0</v>
      </c>
      <c r="O117" s="419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1">
        <f>All_Detail_v2[[#This Row],[Scheduled Date]]</f>
        <v>46111</v>
      </c>
      <c r="S117" s="421">
        <f>All_Detail_v2[[#This Row],[Install Date]]</f>
        <v>0</v>
      </c>
    </row>
    <row r="118" spans="1:19">
      <c r="A118">
        <v>114</v>
      </c>
      <c r="B118" s="704" t="s">
        <v>352</v>
      </c>
      <c r="C118" s="706" t="s">
        <v>398</v>
      </c>
      <c r="D118" s="706" t="s">
        <v>429</v>
      </c>
      <c r="E118" s="706" t="s">
        <v>360</v>
      </c>
      <c r="F118" s="706">
        <v>1</v>
      </c>
      <c r="G118" s="706"/>
      <c r="H118" s="720"/>
      <c r="I118" s="720">
        <v>46112</v>
      </c>
      <c r="J118" s="706" t="s">
        <v>355</v>
      </c>
      <c r="K118" t="str">
        <f t="shared" si="5"/>
        <v>Switch</v>
      </c>
      <c r="M118" s="419">
        <f t="shared" si="4"/>
        <v>0</v>
      </c>
      <c r="N118" s="419">
        <f t="shared" si="6"/>
        <v>0</v>
      </c>
      <c r="O118" s="419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1">
        <f>All_Detail_v2[[#This Row],[Scheduled Date]]</f>
        <v>46112</v>
      </c>
      <c r="S118" s="421">
        <f>All_Detail_v2[[#This Row],[Install Date]]</f>
        <v>0</v>
      </c>
    </row>
    <row r="119" spans="1:19">
      <c r="A119">
        <v>115</v>
      </c>
      <c r="B119" s="704" t="s">
        <v>352</v>
      </c>
      <c r="C119" s="706" t="s">
        <v>398</v>
      </c>
      <c r="D119" s="706" t="s">
        <v>429</v>
      </c>
      <c r="E119" s="706" t="s">
        <v>365</v>
      </c>
      <c r="F119" s="706">
        <v>1</v>
      </c>
      <c r="G119" s="706"/>
      <c r="H119" s="720"/>
      <c r="I119" s="720">
        <v>46112</v>
      </c>
      <c r="J119" s="706" t="s">
        <v>355</v>
      </c>
      <c r="K119" t="str">
        <f t="shared" si="5"/>
        <v>Switch</v>
      </c>
      <c r="M119" s="419">
        <f t="shared" si="4"/>
        <v>0</v>
      </c>
      <c r="N119" s="419">
        <f t="shared" si="6"/>
        <v>0</v>
      </c>
      <c r="O119" s="419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1">
        <f>All_Detail_v2[[#This Row],[Scheduled Date]]</f>
        <v>46112</v>
      </c>
      <c r="S119" s="421">
        <f>All_Detail_v2[[#This Row],[Install Date]]</f>
        <v>0</v>
      </c>
    </row>
    <row r="120" spans="1:19">
      <c r="A120">
        <v>116</v>
      </c>
      <c r="B120" s="704" t="s">
        <v>352</v>
      </c>
      <c r="C120" s="706" t="s">
        <v>398</v>
      </c>
      <c r="D120" s="706" t="s">
        <v>430</v>
      </c>
      <c r="E120" s="706" t="s">
        <v>360</v>
      </c>
      <c r="F120" s="706">
        <v>1</v>
      </c>
      <c r="G120" s="706"/>
      <c r="H120" s="720"/>
      <c r="I120" s="720">
        <v>46112</v>
      </c>
      <c r="J120" s="706" t="s">
        <v>355</v>
      </c>
      <c r="K120" t="str">
        <f t="shared" si="5"/>
        <v>Switch</v>
      </c>
      <c r="M120" s="419">
        <f t="shared" si="4"/>
        <v>0</v>
      </c>
      <c r="N120" s="419">
        <f t="shared" si="6"/>
        <v>0</v>
      </c>
      <c r="O120" s="419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1">
        <f>All_Detail_v2[[#This Row],[Scheduled Date]]</f>
        <v>46112</v>
      </c>
      <c r="S120" s="421">
        <f>All_Detail_v2[[#This Row],[Install Date]]</f>
        <v>0</v>
      </c>
    </row>
    <row r="121" spans="1:19">
      <c r="A121">
        <v>117</v>
      </c>
      <c r="B121" s="704" t="s">
        <v>352</v>
      </c>
      <c r="C121" s="706" t="s">
        <v>398</v>
      </c>
      <c r="D121" s="706" t="s">
        <v>430</v>
      </c>
      <c r="E121" s="706" t="s">
        <v>365</v>
      </c>
      <c r="F121" s="706">
        <v>1</v>
      </c>
      <c r="G121" s="706"/>
      <c r="H121" s="720"/>
      <c r="I121" s="720">
        <v>46112</v>
      </c>
      <c r="J121" s="706" t="s">
        <v>355</v>
      </c>
      <c r="K121" t="str">
        <f t="shared" si="5"/>
        <v>Switch</v>
      </c>
      <c r="M121" s="419">
        <f t="shared" si="4"/>
        <v>0</v>
      </c>
      <c r="N121" s="419">
        <f t="shared" si="6"/>
        <v>0</v>
      </c>
      <c r="O121" s="419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1">
        <f>All_Detail_v2[[#This Row],[Scheduled Date]]</f>
        <v>46112</v>
      </c>
      <c r="S121" s="421">
        <f>All_Detail_v2[[#This Row],[Install Date]]</f>
        <v>0</v>
      </c>
    </row>
    <row r="122" spans="1:19">
      <c r="A122">
        <v>118</v>
      </c>
      <c r="B122" s="704" t="s">
        <v>352</v>
      </c>
      <c r="C122" s="706" t="s">
        <v>398</v>
      </c>
      <c r="D122" s="706" t="s">
        <v>431</v>
      </c>
      <c r="E122" s="706" t="s">
        <v>360</v>
      </c>
      <c r="F122" s="706">
        <v>1</v>
      </c>
      <c r="G122" s="706"/>
      <c r="H122" s="720"/>
      <c r="I122" s="720">
        <v>46112</v>
      </c>
      <c r="J122" s="706" t="s">
        <v>355</v>
      </c>
      <c r="K122" t="str">
        <f t="shared" si="5"/>
        <v>Switch</v>
      </c>
      <c r="M122" s="419">
        <f t="shared" si="4"/>
        <v>0</v>
      </c>
      <c r="N122" s="419">
        <f t="shared" si="6"/>
        <v>0</v>
      </c>
      <c r="O122" s="419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1">
        <f>All_Detail_v2[[#This Row],[Scheduled Date]]</f>
        <v>46112</v>
      </c>
      <c r="S122" s="421">
        <f>All_Detail_v2[[#This Row],[Install Date]]</f>
        <v>0</v>
      </c>
    </row>
    <row r="123" spans="1:19">
      <c r="A123">
        <v>119</v>
      </c>
      <c r="B123" s="704" t="s">
        <v>352</v>
      </c>
      <c r="C123" s="706" t="s">
        <v>398</v>
      </c>
      <c r="D123" s="706" t="s">
        <v>432</v>
      </c>
      <c r="E123" s="706" t="s">
        <v>360</v>
      </c>
      <c r="F123" s="706">
        <v>1</v>
      </c>
      <c r="G123" s="706"/>
      <c r="H123" s="720"/>
      <c r="I123" s="720">
        <v>46112</v>
      </c>
      <c r="J123" s="706" t="s">
        <v>355</v>
      </c>
      <c r="K123" t="str">
        <f t="shared" si="5"/>
        <v>Switch</v>
      </c>
      <c r="M123" s="419">
        <f t="shared" si="4"/>
        <v>0</v>
      </c>
      <c r="N123" s="419">
        <f t="shared" si="6"/>
        <v>0</v>
      </c>
      <c r="O123" s="419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1">
        <f>All_Detail_v2[[#This Row],[Scheduled Date]]</f>
        <v>46112</v>
      </c>
      <c r="S123" s="421">
        <f>All_Detail_v2[[#This Row],[Install Date]]</f>
        <v>0</v>
      </c>
    </row>
    <row r="124" spans="1:19">
      <c r="A124">
        <v>120</v>
      </c>
      <c r="B124" s="704" t="s">
        <v>352</v>
      </c>
      <c r="C124" s="706" t="s">
        <v>398</v>
      </c>
      <c r="D124" s="706" t="s">
        <v>433</v>
      </c>
      <c r="E124" s="706" t="s">
        <v>360</v>
      </c>
      <c r="F124" s="706">
        <v>1</v>
      </c>
      <c r="G124" s="706"/>
      <c r="H124" s="720"/>
      <c r="I124" s="720">
        <v>46112</v>
      </c>
      <c r="J124" s="706" t="s">
        <v>355</v>
      </c>
      <c r="K124" t="str">
        <f t="shared" si="5"/>
        <v>Switch</v>
      </c>
      <c r="M124" s="419">
        <f t="shared" si="4"/>
        <v>0</v>
      </c>
      <c r="N124" s="419">
        <f t="shared" si="6"/>
        <v>0</v>
      </c>
      <c r="O124" s="419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1">
        <f>All_Detail_v2[[#This Row],[Scheduled Date]]</f>
        <v>46112</v>
      </c>
      <c r="S124" s="421">
        <f>All_Detail_v2[[#This Row],[Install Date]]</f>
        <v>0</v>
      </c>
    </row>
    <row r="125" spans="1:19">
      <c r="A125">
        <v>121</v>
      </c>
      <c r="B125" s="704" t="s">
        <v>352</v>
      </c>
      <c r="C125" s="706" t="s">
        <v>398</v>
      </c>
      <c r="D125" s="706" t="s">
        <v>434</v>
      </c>
      <c r="E125" s="706" t="s">
        <v>360</v>
      </c>
      <c r="F125" s="706">
        <v>1</v>
      </c>
      <c r="G125" s="706"/>
      <c r="H125" s="720"/>
      <c r="I125" s="720">
        <v>46112</v>
      </c>
      <c r="J125" s="706" t="s">
        <v>355</v>
      </c>
      <c r="K125" t="str">
        <f t="shared" si="5"/>
        <v>Switch</v>
      </c>
      <c r="M125" s="419">
        <f t="shared" si="4"/>
        <v>0</v>
      </c>
      <c r="N125" s="419">
        <f t="shared" si="6"/>
        <v>0</v>
      </c>
      <c r="O125" s="419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1">
        <f>All_Detail_v2[[#This Row],[Scheduled Date]]</f>
        <v>46112</v>
      </c>
      <c r="S125" s="421">
        <f>All_Detail_v2[[#This Row],[Install Date]]</f>
        <v>0</v>
      </c>
    </row>
    <row r="126" spans="1:19">
      <c r="A126">
        <v>122</v>
      </c>
      <c r="B126" s="704" t="s">
        <v>352</v>
      </c>
      <c r="C126" s="706" t="s">
        <v>398</v>
      </c>
      <c r="D126" s="706" t="s">
        <v>435</v>
      </c>
      <c r="E126" s="706" t="s">
        <v>360</v>
      </c>
      <c r="F126" s="706">
        <v>1</v>
      </c>
      <c r="G126" s="706"/>
      <c r="H126" s="720"/>
      <c r="I126" s="720">
        <v>46112</v>
      </c>
      <c r="J126" s="706" t="s">
        <v>355</v>
      </c>
      <c r="K126" t="str">
        <f t="shared" si="5"/>
        <v>Switch</v>
      </c>
      <c r="M126" s="419">
        <f t="shared" si="4"/>
        <v>0</v>
      </c>
      <c r="N126" s="419">
        <f t="shared" si="6"/>
        <v>0</v>
      </c>
      <c r="O126" s="419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1">
        <f>All_Detail_v2[[#This Row],[Scheduled Date]]</f>
        <v>46112</v>
      </c>
      <c r="S126" s="421">
        <f>All_Detail_v2[[#This Row],[Install Date]]</f>
        <v>0</v>
      </c>
    </row>
    <row r="127" spans="1:19">
      <c r="A127">
        <v>123</v>
      </c>
      <c r="B127" s="704" t="s">
        <v>352</v>
      </c>
      <c r="C127" s="706" t="s">
        <v>436</v>
      </c>
      <c r="D127" s="706" t="s">
        <v>437</v>
      </c>
      <c r="E127" s="706" t="s">
        <v>360</v>
      </c>
      <c r="F127" s="706">
        <v>2</v>
      </c>
      <c r="G127" s="706">
        <v>2</v>
      </c>
      <c r="H127" s="720">
        <v>46097</v>
      </c>
      <c r="I127" s="720">
        <v>46097</v>
      </c>
      <c r="J127" s="706" t="s">
        <v>358</v>
      </c>
      <c r="K127" t="str">
        <f t="shared" si="5"/>
        <v>Switch</v>
      </c>
      <c r="M127" s="419">
        <f t="shared" si="4"/>
        <v>2</v>
      </c>
      <c r="N127" s="419">
        <f t="shared" si="6"/>
        <v>2</v>
      </c>
      <c r="O127" s="419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1">
        <f>All_Detail_v2[[#This Row],[Scheduled Date]]</f>
        <v>46097</v>
      </c>
      <c r="S127" s="421">
        <f>All_Detail_v2[[#This Row],[Install Date]]</f>
        <v>46097</v>
      </c>
    </row>
    <row r="128" spans="1:19">
      <c r="A128">
        <v>124</v>
      </c>
      <c r="B128" s="704" t="s">
        <v>352</v>
      </c>
      <c r="C128" s="706" t="s">
        <v>436</v>
      </c>
      <c r="D128" s="706" t="s">
        <v>437</v>
      </c>
      <c r="E128" s="706" t="s">
        <v>365</v>
      </c>
      <c r="F128" s="706">
        <v>1</v>
      </c>
      <c r="G128" s="706">
        <v>1</v>
      </c>
      <c r="H128" s="720">
        <v>46097</v>
      </c>
      <c r="I128" s="720">
        <v>46097</v>
      </c>
      <c r="J128" s="706" t="s">
        <v>358</v>
      </c>
      <c r="K128" t="str">
        <f t="shared" si="5"/>
        <v>Switch</v>
      </c>
      <c r="M128" s="419">
        <f t="shared" si="4"/>
        <v>1</v>
      </c>
      <c r="N128" s="419">
        <f t="shared" si="6"/>
        <v>1</v>
      </c>
      <c r="O128" s="419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1">
        <f>All_Detail_v2[[#This Row],[Scheduled Date]]</f>
        <v>46097</v>
      </c>
      <c r="S128" s="421">
        <f>All_Detail_v2[[#This Row],[Install Date]]</f>
        <v>46097</v>
      </c>
    </row>
    <row r="129" spans="1:19">
      <c r="A129">
        <v>125</v>
      </c>
      <c r="B129" s="704" t="s">
        <v>352</v>
      </c>
      <c r="C129" s="706" t="s">
        <v>436</v>
      </c>
      <c r="D129" s="706" t="s">
        <v>437</v>
      </c>
      <c r="E129" s="706" t="s">
        <v>402</v>
      </c>
      <c r="F129" s="706">
        <v>1</v>
      </c>
      <c r="G129" s="706">
        <v>1</v>
      </c>
      <c r="H129" s="720">
        <v>46087</v>
      </c>
      <c r="I129" s="720">
        <v>46087</v>
      </c>
      <c r="J129" s="706" t="s">
        <v>358</v>
      </c>
      <c r="K129" t="str">
        <f t="shared" si="5"/>
        <v>Switch</v>
      </c>
      <c r="M129" s="419">
        <f t="shared" si="4"/>
        <v>1</v>
      </c>
      <c r="N129" s="419">
        <f t="shared" si="6"/>
        <v>1</v>
      </c>
      <c r="O129" s="419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1">
        <f>All_Detail_v2[[#This Row],[Scheduled Date]]</f>
        <v>46087</v>
      </c>
      <c r="S129" s="421">
        <f>All_Detail_v2[[#This Row],[Install Date]]</f>
        <v>46087</v>
      </c>
    </row>
    <row r="130" spans="1:19">
      <c r="A130">
        <v>126</v>
      </c>
      <c r="B130" s="704" t="s">
        <v>352</v>
      </c>
      <c r="C130" s="706" t="s">
        <v>436</v>
      </c>
      <c r="D130" s="706" t="s">
        <v>438</v>
      </c>
      <c r="E130" s="706" t="s">
        <v>360</v>
      </c>
      <c r="F130" s="706">
        <v>1</v>
      </c>
      <c r="G130" s="706">
        <v>2</v>
      </c>
      <c r="H130" s="720">
        <v>46097</v>
      </c>
      <c r="I130" s="720">
        <v>46097</v>
      </c>
      <c r="J130" s="706" t="s">
        <v>358</v>
      </c>
      <c r="K130" t="str">
        <f t="shared" si="5"/>
        <v>Switch</v>
      </c>
      <c r="M130" s="419">
        <f t="shared" ref="M130:M193" si="7">O130</f>
        <v>2</v>
      </c>
      <c r="N130" s="419">
        <f t="shared" si="6"/>
        <v>2</v>
      </c>
      <c r="O130" s="419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1">
        <f>All_Detail_v2[[#This Row],[Scheduled Date]]</f>
        <v>46097</v>
      </c>
      <c r="S130" s="421">
        <f>All_Detail_v2[[#This Row],[Install Date]]</f>
        <v>46097</v>
      </c>
    </row>
    <row r="131" spans="1:19">
      <c r="A131">
        <v>127</v>
      </c>
      <c r="B131" s="704" t="s">
        <v>352</v>
      </c>
      <c r="C131" s="706" t="s">
        <v>436</v>
      </c>
      <c r="D131" s="706" t="s">
        <v>438</v>
      </c>
      <c r="E131" s="706" t="s">
        <v>365</v>
      </c>
      <c r="F131" s="706">
        <v>1</v>
      </c>
      <c r="G131" s="706">
        <v>2</v>
      </c>
      <c r="H131" s="720">
        <v>46097</v>
      </c>
      <c r="I131" s="720">
        <v>46097</v>
      </c>
      <c r="J131" s="706" t="s">
        <v>358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9">
        <f t="shared" si="7"/>
        <v>2</v>
      </c>
      <c r="N131" s="419">
        <f t="shared" si="6"/>
        <v>2</v>
      </c>
      <c r="O131" s="419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1">
        <f>All_Detail_v2[[#This Row],[Scheduled Date]]</f>
        <v>46097</v>
      </c>
      <c r="S131" s="421">
        <f>All_Detail_v2[[#This Row],[Install Date]]</f>
        <v>46097</v>
      </c>
    </row>
    <row r="132" spans="1:19">
      <c r="A132">
        <v>128</v>
      </c>
      <c r="B132" s="704" t="s">
        <v>352</v>
      </c>
      <c r="C132" s="706" t="s">
        <v>436</v>
      </c>
      <c r="D132" s="706" t="s">
        <v>438</v>
      </c>
      <c r="E132" s="706" t="s">
        <v>402</v>
      </c>
      <c r="F132" s="706">
        <v>1</v>
      </c>
      <c r="G132" s="706">
        <v>1</v>
      </c>
      <c r="H132" s="720">
        <v>46087</v>
      </c>
      <c r="I132" s="720">
        <v>46087</v>
      </c>
      <c r="J132" s="706" t="s">
        <v>358</v>
      </c>
      <c r="K132" t="str">
        <f t="shared" si="8"/>
        <v>Switch</v>
      </c>
      <c r="M132" s="419">
        <f t="shared" si="7"/>
        <v>1</v>
      </c>
      <c r="N132" s="419">
        <f t="shared" si="6"/>
        <v>1</v>
      </c>
      <c r="O132" s="419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1">
        <f>All_Detail_v2[[#This Row],[Scheduled Date]]</f>
        <v>46087</v>
      </c>
      <c r="S132" s="421">
        <f>All_Detail_v2[[#This Row],[Install Date]]</f>
        <v>46087</v>
      </c>
    </row>
    <row r="133" spans="1:19">
      <c r="A133">
        <v>129</v>
      </c>
      <c r="B133" s="704" t="s">
        <v>352</v>
      </c>
      <c r="C133" s="706" t="s">
        <v>436</v>
      </c>
      <c r="D133" s="706" t="s">
        <v>439</v>
      </c>
      <c r="E133" s="706" t="s">
        <v>360</v>
      </c>
      <c r="F133" s="706">
        <v>1</v>
      </c>
      <c r="G133" s="706">
        <v>1</v>
      </c>
      <c r="H133" s="720">
        <v>46091</v>
      </c>
      <c r="I133" s="720">
        <v>46091</v>
      </c>
      <c r="J133" s="706" t="s">
        <v>358</v>
      </c>
      <c r="K133" t="str">
        <f t="shared" si="8"/>
        <v>Switch</v>
      </c>
      <c r="M133" s="419">
        <f t="shared" si="7"/>
        <v>1</v>
      </c>
      <c r="N133" s="419">
        <f t="shared" si="6"/>
        <v>1</v>
      </c>
      <c r="O133" s="419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1">
        <f>All_Detail_v2[[#This Row],[Scheduled Date]]</f>
        <v>46091</v>
      </c>
      <c r="S133" s="421">
        <f>All_Detail_v2[[#This Row],[Install Date]]</f>
        <v>46091</v>
      </c>
    </row>
    <row r="134" spans="1:19">
      <c r="A134">
        <v>130</v>
      </c>
      <c r="B134" s="704" t="s">
        <v>352</v>
      </c>
      <c r="C134" s="706" t="s">
        <v>436</v>
      </c>
      <c r="D134" s="706" t="s">
        <v>440</v>
      </c>
      <c r="E134" s="706" t="s">
        <v>360</v>
      </c>
      <c r="F134" s="706">
        <v>1</v>
      </c>
      <c r="G134" s="706">
        <v>1</v>
      </c>
      <c r="H134" s="720">
        <v>46091</v>
      </c>
      <c r="I134" s="720">
        <v>46091</v>
      </c>
      <c r="J134" s="706" t="s">
        <v>358</v>
      </c>
      <c r="K134" t="str">
        <f t="shared" si="8"/>
        <v>Switch</v>
      </c>
      <c r="M134" s="419">
        <f t="shared" si="7"/>
        <v>1</v>
      </c>
      <c r="N134" s="419">
        <f t="shared" ref="N134:N197" si="9">O134</f>
        <v>1</v>
      </c>
      <c r="O134" s="419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1">
        <f>All_Detail_v2[[#This Row],[Scheduled Date]]</f>
        <v>46091</v>
      </c>
      <c r="S134" s="421">
        <f>All_Detail_v2[[#This Row],[Install Date]]</f>
        <v>46091</v>
      </c>
    </row>
    <row r="135" spans="1:19">
      <c r="A135">
        <v>131</v>
      </c>
      <c r="B135" s="704" t="s">
        <v>352</v>
      </c>
      <c r="C135" s="706" t="s">
        <v>436</v>
      </c>
      <c r="D135" s="706" t="s">
        <v>440</v>
      </c>
      <c r="E135" s="706" t="s">
        <v>365</v>
      </c>
      <c r="F135" s="706">
        <v>1</v>
      </c>
      <c r="G135" s="706">
        <v>1</v>
      </c>
      <c r="H135" s="720">
        <v>46091</v>
      </c>
      <c r="I135" s="720">
        <v>46091</v>
      </c>
      <c r="J135" s="706" t="s">
        <v>358</v>
      </c>
      <c r="K135" t="str">
        <f t="shared" si="8"/>
        <v>Switch</v>
      </c>
      <c r="M135" s="419">
        <f t="shared" si="7"/>
        <v>1</v>
      </c>
      <c r="N135" s="419">
        <f t="shared" si="9"/>
        <v>1</v>
      </c>
      <c r="O135" s="419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1">
        <f>All_Detail_v2[[#This Row],[Scheduled Date]]</f>
        <v>46091</v>
      </c>
      <c r="S135" s="421">
        <f>All_Detail_v2[[#This Row],[Install Date]]</f>
        <v>46091</v>
      </c>
    </row>
    <row r="136" spans="1:19">
      <c r="A136">
        <v>132</v>
      </c>
      <c r="B136" s="704" t="s">
        <v>352</v>
      </c>
      <c r="C136" s="706" t="s">
        <v>436</v>
      </c>
      <c r="D136" s="706" t="s">
        <v>441</v>
      </c>
      <c r="E136" s="706" t="s">
        <v>360</v>
      </c>
      <c r="F136" s="706">
        <v>1</v>
      </c>
      <c r="G136" s="706">
        <v>1</v>
      </c>
      <c r="H136" s="720">
        <v>46093</v>
      </c>
      <c r="I136" s="720">
        <v>46093</v>
      </c>
      <c r="J136" s="706" t="s">
        <v>358</v>
      </c>
      <c r="K136" t="str">
        <f t="shared" si="8"/>
        <v>Switch</v>
      </c>
      <c r="M136" s="419">
        <f t="shared" si="7"/>
        <v>1</v>
      </c>
      <c r="N136" s="419">
        <f t="shared" si="9"/>
        <v>1</v>
      </c>
      <c r="O136" s="419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1">
        <f>All_Detail_v2[[#This Row],[Scheduled Date]]</f>
        <v>46093</v>
      </c>
      <c r="S136" s="421">
        <f>All_Detail_v2[[#This Row],[Install Date]]</f>
        <v>46093</v>
      </c>
    </row>
    <row r="137" spans="1:19">
      <c r="A137">
        <v>133</v>
      </c>
      <c r="B137" s="704" t="s">
        <v>352</v>
      </c>
      <c r="C137" s="706" t="s">
        <v>436</v>
      </c>
      <c r="D137" s="706" t="s">
        <v>441</v>
      </c>
      <c r="E137" s="706" t="s">
        <v>365</v>
      </c>
      <c r="F137" s="706">
        <v>1</v>
      </c>
      <c r="G137" s="706">
        <v>1</v>
      </c>
      <c r="H137" s="720">
        <v>46093</v>
      </c>
      <c r="I137" s="720">
        <v>46093</v>
      </c>
      <c r="J137" s="706" t="s">
        <v>358</v>
      </c>
      <c r="K137" t="str">
        <f t="shared" si="8"/>
        <v>Switch</v>
      </c>
      <c r="M137" s="419">
        <f t="shared" si="7"/>
        <v>1</v>
      </c>
      <c r="N137" s="419">
        <f t="shared" si="9"/>
        <v>1</v>
      </c>
      <c r="O137" s="419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1">
        <f>All_Detail_v2[[#This Row],[Scheduled Date]]</f>
        <v>46093</v>
      </c>
      <c r="S137" s="421">
        <f>All_Detail_v2[[#This Row],[Install Date]]</f>
        <v>46093</v>
      </c>
    </row>
    <row r="138" spans="1:19">
      <c r="A138">
        <v>134</v>
      </c>
      <c r="B138" s="704" t="s">
        <v>352</v>
      </c>
      <c r="C138" s="706" t="s">
        <v>436</v>
      </c>
      <c r="D138" s="706" t="s">
        <v>441</v>
      </c>
      <c r="E138" s="706" t="s">
        <v>400</v>
      </c>
      <c r="F138" s="706">
        <v>1</v>
      </c>
      <c r="G138" s="706">
        <v>1</v>
      </c>
      <c r="H138" s="720">
        <v>46087</v>
      </c>
      <c r="I138" s="720">
        <v>46087</v>
      </c>
      <c r="J138" s="706" t="s">
        <v>358</v>
      </c>
      <c r="K138" t="str">
        <f t="shared" si="8"/>
        <v>Switch</v>
      </c>
      <c r="M138" s="419">
        <f t="shared" si="7"/>
        <v>1</v>
      </c>
      <c r="N138" s="419">
        <f t="shared" si="9"/>
        <v>1</v>
      </c>
      <c r="O138" s="419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1">
        <f>All_Detail_v2[[#This Row],[Scheduled Date]]</f>
        <v>46087</v>
      </c>
      <c r="S138" s="421">
        <f>All_Detail_v2[[#This Row],[Install Date]]</f>
        <v>46087</v>
      </c>
    </row>
    <row r="139" spans="1:19">
      <c r="A139">
        <v>135</v>
      </c>
      <c r="B139" s="704" t="s">
        <v>352</v>
      </c>
      <c r="C139" s="706" t="s">
        <v>436</v>
      </c>
      <c r="D139" s="706" t="s">
        <v>442</v>
      </c>
      <c r="E139" s="706" t="s">
        <v>360</v>
      </c>
      <c r="F139" s="706">
        <v>1</v>
      </c>
      <c r="G139" s="706">
        <v>1</v>
      </c>
      <c r="H139" s="720">
        <v>46093</v>
      </c>
      <c r="I139" s="720">
        <v>46093</v>
      </c>
      <c r="J139" s="706" t="s">
        <v>358</v>
      </c>
      <c r="K139" t="str">
        <f t="shared" si="8"/>
        <v>Switch</v>
      </c>
      <c r="M139" s="419">
        <f t="shared" si="7"/>
        <v>1</v>
      </c>
      <c r="N139" s="419">
        <f t="shared" si="9"/>
        <v>1</v>
      </c>
      <c r="O139" s="419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1">
        <f>All_Detail_v2[[#This Row],[Scheduled Date]]</f>
        <v>46093</v>
      </c>
      <c r="S139" s="421">
        <f>All_Detail_v2[[#This Row],[Install Date]]</f>
        <v>46093</v>
      </c>
    </row>
    <row r="140" spans="1:19">
      <c r="A140">
        <v>136</v>
      </c>
      <c r="B140" s="704" t="s">
        <v>352</v>
      </c>
      <c r="C140" s="706" t="s">
        <v>436</v>
      </c>
      <c r="D140" s="706" t="s">
        <v>442</v>
      </c>
      <c r="E140" s="706" t="s">
        <v>365</v>
      </c>
      <c r="F140" s="706">
        <v>1</v>
      </c>
      <c r="G140" s="706">
        <v>1</v>
      </c>
      <c r="H140" s="720">
        <v>46093</v>
      </c>
      <c r="I140" s="720">
        <v>46093</v>
      </c>
      <c r="J140" s="706" t="s">
        <v>358</v>
      </c>
      <c r="K140" t="str">
        <f t="shared" si="8"/>
        <v>Switch</v>
      </c>
      <c r="M140" s="419">
        <f t="shared" si="7"/>
        <v>1</v>
      </c>
      <c r="N140" s="419">
        <f t="shared" si="9"/>
        <v>1</v>
      </c>
      <c r="O140" s="419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1">
        <f>All_Detail_v2[[#This Row],[Scheduled Date]]</f>
        <v>46093</v>
      </c>
      <c r="S140" s="421">
        <f>All_Detail_v2[[#This Row],[Install Date]]</f>
        <v>46093</v>
      </c>
    </row>
    <row r="141" spans="1:19">
      <c r="A141">
        <v>137</v>
      </c>
      <c r="B141" s="704" t="s">
        <v>352</v>
      </c>
      <c r="C141" s="706" t="s">
        <v>436</v>
      </c>
      <c r="D141" s="706" t="s">
        <v>442</v>
      </c>
      <c r="E141" s="706" t="s">
        <v>402</v>
      </c>
      <c r="F141" s="706">
        <v>1</v>
      </c>
      <c r="G141" s="706">
        <v>1</v>
      </c>
      <c r="H141" s="720">
        <v>46087</v>
      </c>
      <c r="I141" s="720">
        <v>46087</v>
      </c>
      <c r="J141" s="706" t="s">
        <v>358</v>
      </c>
      <c r="K141" t="str">
        <f t="shared" si="8"/>
        <v>Switch</v>
      </c>
      <c r="M141" s="419">
        <f t="shared" si="7"/>
        <v>1</v>
      </c>
      <c r="N141" s="419">
        <f t="shared" si="9"/>
        <v>1</v>
      </c>
      <c r="O141" s="419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1">
        <f>All_Detail_v2[[#This Row],[Scheduled Date]]</f>
        <v>46087</v>
      </c>
      <c r="S141" s="421">
        <f>All_Detail_v2[[#This Row],[Install Date]]</f>
        <v>46087</v>
      </c>
    </row>
    <row r="142" spans="1:19">
      <c r="A142">
        <v>138</v>
      </c>
      <c r="B142" s="704" t="s">
        <v>352</v>
      </c>
      <c r="C142" s="706" t="s">
        <v>436</v>
      </c>
      <c r="D142" s="706" t="s">
        <v>443</v>
      </c>
      <c r="E142" s="706" t="s">
        <v>360</v>
      </c>
      <c r="F142" s="706">
        <v>1</v>
      </c>
      <c r="G142" s="706">
        <v>1</v>
      </c>
      <c r="H142" s="720">
        <v>46092</v>
      </c>
      <c r="I142" s="720">
        <v>46092</v>
      </c>
      <c r="J142" s="706" t="s">
        <v>358</v>
      </c>
      <c r="K142" t="str">
        <f t="shared" si="8"/>
        <v>Switch</v>
      </c>
      <c r="M142" s="419">
        <f t="shared" si="7"/>
        <v>1</v>
      </c>
      <c r="N142" s="419">
        <f t="shared" si="9"/>
        <v>1</v>
      </c>
      <c r="O142" s="419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1">
        <f>All_Detail_v2[[#This Row],[Scheduled Date]]</f>
        <v>46092</v>
      </c>
      <c r="S142" s="421">
        <f>All_Detail_v2[[#This Row],[Install Date]]</f>
        <v>46092</v>
      </c>
    </row>
    <row r="143" spans="1:19">
      <c r="A143">
        <v>139</v>
      </c>
      <c r="B143" s="704" t="s">
        <v>352</v>
      </c>
      <c r="C143" s="706" t="s">
        <v>436</v>
      </c>
      <c r="D143" s="706" t="s">
        <v>444</v>
      </c>
      <c r="E143" s="706" t="s">
        <v>360</v>
      </c>
      <c r="F143" s="706">
        <v>1</v>
      </c>
      <c r="G143" s="706">
        <v>1</v>
      </c>
      <c r="H143" s="720">
        <v>46092</v>
      </c>
      <c r="I143" s="720">
        <v>46092</v>
      </c>
      <c r="J143" s="706" t="s">
        <v>358</v>
      </c>
      <c r="K143" t="str">
        <f t="shared" si="8"/>
        <v>Switch</v>
      </c>
      <c r="M143" s="419">
        <f t="shared" si="7"/>
        <v>1</v>
      </c>
      <c r="N143" s="419">
        <f t="shared" si="9"/>
        <v>1</v>
      </c>
      <c r="O143" s="419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1">
        <f>All_Detail_v2[[#This Row],[Scheduled Date]]</f>
        <v>46092</v>
      </c>
      <c r="S143" s="421">
        <f>All_Detail_v2[[#This Row],[Install Date]]</f>
        <v>46092</v>
      </c>
    </row>
    <row r="144" spans="1:19">
      <c r="A144">
        <v>140</v>
      </c>
      <c r="B144" s="704" t="s">
        <v>352</v>
      </c>
      <c r="C144" s="706" t="s">
        <v>436</v>
      </c>
      <c r="D144" s="706" t="s">
        <v>445</v>
      </c>
      <c r="E144" s="706" t="s">
        <v>360</v>
      </c>
      <c r="F144" s="706">
        <v>1</v>
      </c>
      <c r="G144" s="706">
        <v>1</v>
      </c>
      <c r="H144" s="720">
        <v>46093</v>
      </c>
      <c r="I144" s="720">
        <v>46093</v>
      </c>
      <c r="J144" s="706" t="s">
        <v>358</v>
      </c>
      <c r="K144" t="str">
        <f t="shared" si="8"/>
        <v>Switch</v>
      </c>
      <c r="M144" s="419">
        <f t="shared" si="7"/>
        <v>1</v>
      </c>
      <c r="N144" s="419">
        <f t="shared" si="9"/>
        <v>1</v>
      </c>
      <c r="O144" s="419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1">
        <f>All_Detail_v2[[#This Row],[Scheduled Date]]</f>
        <v>46093</v>
      </c>
      <c r="S144" s="421">
        <f>All_Detail_v2[[#This Row],[Install Date]]</f>
        <v>46093</v>
      </c>
    </row>
    <row r="145" spans="1:19">
      <c r="A145">
        <v>141</v>
      </c>
      <c r="B145" s="704" t="s">
        <v>352</v>
      </c>
      <c r="C145" s="706" t="s">
        <v>436</v>
      </c>
      <c r="D145" s="706" t="s">
        <v>445</v>
      </c>
      <c r="E145" s="706" t="s">
        <v>365</v>
      </c>
      <c r="F145" s="706">
        <v>1</v>
      </c>
      <c r="G145" s="706">
        <v>1</v>
      </c>
      <c r="H145" s="720">
        <v>46093</v>
      </c>
      <c r="I145" s="720">
        <v>46093</v>
      </c>
      <c r="J145" s="706" t="s">
        <v>358</v>
      </c>
      <c r="K145" t="str">
        <f t="shared" si="8"/>
        <v>Switch</v>
      </c>
      <c r="M145" s="419">
        <f t="shared" si="7"/>
        <v>1</v>
      </c>
      <c r="N145" s="419">
        <f t="shared" si="9"/>
        <v>1</v>
      </c>
      <c r="O145" s="419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1">
        <f>All_Detail_v2[[#This Row],[Scheduled Date]]</f>
        <v>46093</v>
      </c>
      <c r="S145" s="421">
        <f>All_Detail_v2[[#This Row],[Install Date]]</f>
        <v>46093</v>
      </c>
    </row>
    <row r="146" spans="1:19">
      <c r="A146">
        <v>142</v>
      </c>
      <c r="B146" s="704" t="s">
        <v>352</v>
      </c>
      <c r="C146" s="706" t="s">
        <v>436</v>
      </c>
      <c r="D146" s="706" t="s">
        <v>445</v>
      </c>
      <c r="E146" s="706" t="s">
        <v>402</v>
      </c>
      <c r="F146" s="706">
        <v>1</v>
      </c>
      <c r="G146" s="706">
        <v>1</v>
      </c>
      <c r="H146" s="720">
        <v>46087</v>
      </c>
      <c r="I146" s="720">
        <v>46087</v>
      </c>
      <c r="J146" s="706" t="s">
        <v>358</v>
      </c>
      <c r="K146" t="str">
        <f t="shared" si="8"/>
        <v>Switch</v>
      </c>
      <c r="M146" s="419">
        <f t="shared" si="7"/>
        <v>1</v>
      </c>
      <c r="N146" s="419">
        <f t="shared" si="9"/>
        <v>1</v>
      </c>
      <c r="O146" s="419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1">
        <f>All_Detail_v2[[#This Row],[Scheduled Date]]</f>
        <v>46087</v>
      </c>
      <c r="S146" s="421">
        <f>All_Detail_v2[[#This Row],[Install Date]]</f>
        <v>46087</v>
      </c>
    </row>
    <row r="147" spans="1:19">
      <c r="A147">
        <v>143</v>
      </c>
      <c r="B147" s="704" t="s">
        <v>352</v>
      </c>
      <c r="C147" s="706" t="s">
        <v>436</v>
      </c>
      <c r="D147" s="706" t="s">
        <v>446</v>
      </c>
      <c r="E147" s="706" t="s">
        <v>360</v>
      </c>
      <c r="F147" s="706">
        <v>1</v>
      </c>
      <c r="G147" s="706">
        <v>1</v>
      </c>
      <c r="H147" s="720">
        <v>46093</v>
      </c>
      <c r="I147" s="720">
        <v>46093</v>
      </c>
      <c r="J147" s="706" t="s">
        <v>358</v>
      </c>
      <c r="K147" t="str">
        <f t="shared" si="8"/>
        <v>Switch</v>
      </c>
      <c r="M147" s="419">
        <f t="shared" si="7"/>
        <v>1</v>
      </c>
      <c r="N147" s="419">
        <f t="shared" si="9"/>
        <v>1</v>
      </c>
      <c r="O147" s="419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1">
        <f>All_Detail_v2[[#This Row],[Scheduled Date]]</f>
        <v>46093</v>
      </c>
      <c r="S147" s="421">
        <f>All_Detail_v2[[#This Row],[Install Date]]</f>
        <v>46093</v>
      </c>
    </row>
    <row r="148" spans="1:19">
      <c r="A148">
        <v>144</v>
      </c>
      <c r="B148" s="704" t="s">
        <v>352</v>
      </c>
      <c r="C148" s="706" t="s">
        <v>436</v>
      </c>
      <c r="D148" s="706" t="s">
        <v>446</v>
      </c>
      <c r="E148" s="706" t="s">
        <v>365</v>
      </c>
      <c r="F148" s="706">
        <v>1</v>
      </c>
      <c r="G148" s="706">
        <v>1</v>
      </c>
      <c r="H148" s="720">
        <v>46093</v>
      </c>
      <c r="I148" s="720">
        <v>46093</v>
      </c>
      <c r="J148" s="706" t="s">
        <v>358</v>
      </c>
      <c r="K148" t="str">
        <f t="shared" si="8"/>
        <v>Switch</v>
      </c>
      <c r="M148" s="419">
        <f t="shared" si="7"/>
        <v>1</v>
      </c>
      <c r="N148" s="419">
        <f t="shared" si="9"/>
        <v>1</v>
      </c>
      <c r="O148" s="419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1">
        <f>All_Detail_v2[[#This Row],[Scheduled Date]]</f>
        <v>46093</v>
      </c>
      <c r="S148" s="421">
        <f>All_Detail_v2[[#This Row],[Install Date]]</f>
        <v>46093</v>
      </c>
    </row>
    <row r="149" spans="1:19">
      <c r="A149">
        <v>145</v>
      </c>
      <c r="B149" s="704" t="s">
        <v>352</v>
      </c>
      <c r="C149" s="706" t="s">
        <v>436</v>
      </c>
      <c r="D149" s="706" t="s">
        <v>447</v>
      </c>
      <c r="E149" s="706" t="s">
        <v>360</v>
      </c>
      <c r="F149" s="706">
        <v>2</v>
      </c>
      <c r="G149" s="706"/>
      <c r="H149" s="720"/>
      <c r="I149" s="720">
        <v>46129</v>
      </c>
      <c r="J149" s="706" t="s">
        <v>355</v>
      </c>
      <c r="K149" t="str">
        <f t="shared" si="8"/>
        <v>Switch</v>
      </c>
      <c r="L149" t="s">
        <v>448</v>
      </c>
      <c r="M149" s="419">
        <f t="shared" si="7"/>
        <v>0</v>
      </c>
      <c r="N149" s="419">
        <f t="shared" si="9"/>
        <v>0</v>
      </c>
      <c r="O149" s="419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1">
        <f>All_Detail_v2[[#This Row],[Scheduled Date]]</f>
        <v>46129</v>
      </c>
      <c r="S149" s="421">
        <f>All_Detail_v2[[#This Row],[Install Date]]</f>
        <v>0</v>
      </c>
    </row>
    <row r="150" spans="1:19">
      <c r="A150">
        <v>146</v>
      </c>
      <c r="B150" s="704" t="s">
        <v>352</v>
      </c>
      <c r="C150" s="706" t="s">
        <v>436</v>
      </c>
      <c r="D150" s="706" t="s">
        <v>447</v>
      </c>
      <c r="E150" s="706" t="s">
        <v>365</v>
      </c>
      <c r="F150" s="706">
        <v>1</v>
      </c>
      <c r="G150" s="706"/>
      <c r="H150" s="720"/>
      <c r="I150" s="720">
        <v>46129</v>
      </c>
      <c r="J150" s="706" t="s">
        <v>355</v>
      </c>
      <c r="K150" t="str">
        <f t="shared" si="8"/>
        <v>Switch</v>
      </c>
      <c r="M150" s="419">
        <f t="shared" si="7"/>
        <v>0</v>
      </c>
      <c r="N150" s="419">
        <f t="shared" si="9"/>
        <v>0</v>
      </c>
      <c r="O150" s="419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1">
        <f>All_Detail_v2[[#This Row],[Scheduled Date]]</f>
        <v>46129</v>
      </c>
      <c r="S150" s="421">
        <f>All_Detail_v2[[#This Row],[Install Date]]</f>
        <v>0</v>
      </c>
    </row>
    <row r="151" spans="1:19">
      <c r="A151">
        <v>147</v>
      </c>
      <c r="B151" s="704" t="s">
        <v>352</v>
      </c>
      <c r="C151" s="706" t="s">
        <v>436</v>
      </c>
      <c r="D151" s="706" t="s">
        <v>449</v>
      </c>
      <c r="E151" s="706" t="s">
        <v>360</v>
      </c>
      <c r="F151" s="706">
        <v>1</v>
      </c>
      <c r="G151" s="706">
        <v>1</v>
      </c>
      <c r="H151" s="720">
        <v>46092</v>
      </c>
      <c r="I151" s="720">
        <v>46092</v>
      </c>
      <c r="J151" s="706" t="s">
        <v>358</v>
      </c>
      <c r="K151" t="str">
        <f t="shared" si="8"/>
        <v>Switch</v>
      </c>
      <c r="M151" s="419">
        <f t="shared" si="7"/>
        <v>1</v>
      </c>
      <c r="N151" s="419">
        <f t="shared" si="9"/>
        <v>1</v>
      </c>
      <c r="O151" s="419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1">
        <f>All_Detail_v2[[#This Row],[Scheduled Date]]</f>
        <v>46092</v>
      </c>
      <c r="S151" s="421">
        <f>All_Detail_v2[[#This Row],[Install Date]]</f>
        <v>46092</v>
      </c>
    </row>
    <row r="152" spans="1:19">
      <c r="A152">
        <v>148</v>
      </c>
      <c r="B152" s="704" t="s">
        <v>352</v>
      </c>
      <c r="C152" s="706" t="s">
        <v>436</v>
      </c>
      <c r="D152" s="706" t="s">
        <v>449</v>
      </c>
      <c r="E152" s="706" t="s">
        <v>365</v>
      </c>
      <c r="F152" s="706">
        <v>1</v>
      </c>
      <c r="G152" s="706">
        <v>1</v>
      </c>
      <c r="H152" s="720">
        <v>46092</v>
      </c>
      <c r="I152" s="720">
        <v>46092</v>
      </c>
      <c r="J152" s="706" t="s">
        <v>358</v>
      </c>
      <c r="K152" t="str">
        <f t="shared" si="8"/>
        <v>Switch</v>
      </c>
      <c r="M152" s="419">
        <f t="shared" si="7"/>
        <v>1</v>
      </c>
      <c r="N152" s="419">
        <f t="shared" si="9"/>
        <v>1</v>
      </c>
      <c r="O152" s="419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1">
        <f>All_Detail_v2[[#This Row],[Scheduled Date]]</f>
        <v>46092</v>
      </c>
      <c r="S152" s="421">
        <f>All_Detail_v2[[#This Row],[Install Date]]</f>
        <v>46092</v>
      </c>
    </row>
    <row r="153" spans="1:19">
      <c r="A153">
        <v>149</v>
      </c>
      <c r="B153" s="704" t="s">
        <v>352</v>
      </c>
      <c r="C153" s="706" t="s">
        <v>436</v>
      </c>
      <c r="D153" s="706" t="s">
        <v>450</v>
      </c>
      <c r="E153" s="706" t="s">
        <v>360</v>
      </c>
      <c r="F153" s="706">
        <v>1</v>
      </c>
      <c r="G153" s="706">
        <v>1</v>
      </c>
      <c r="H153" s="720">
        <v>46092</v>
      </c>
      <c r="I153" s="720">
        <v>46092</v>
      </c>
      <c r="J153" s="706" t="s">
        <v>358</v>
      </c>
      <c r="K153" t="str">
        <f t="shared" si="8"/>
        <v>Switch</v>
      </c>
      <c r="M153" s="419">
        <f t="shared" si="7"/>
        <v>1</v>
      </c>
      <c r="N153" s="419">
        <f t="shared" si="9"/>
        <v>1</v>
      </c>
      <c r="O153" s="419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1">
        <f>All_Detail_v2[[#This Row],[Scheduled Date]]</f>
        <v>46092</v>
      </c>
      <c r="S153" s="421">
        <f>All_Detail_v2[[#This Row],[Install Date]]</f>
        <v>46092</v>
      </c>
    </row>
    <row r="154" spans="1:19">
      <c r="A154">
        <v>150</v>
      </c>
      <c r="B154" s="704" t="s">
        <v>352</v>
      </c>
      <c r="C154" s="706" t="s">
        <v>436</v>
      </c>
      <c r="D154" s="706" t="s">
        <v>450</v>
      </c>
      <c r="E154" s="706" t="s">
        <v>365</v>
      </c>
      <c r="F154" s="706">
        <v>1</v>
      </c>
      <c r="G154" s="706">
        <v>1</v>
      </c>
      <c r="H154" s="720">
        <v>46092</v>
      </c>
      <c r="I154" s="720">
        <v>46092</v>
      </c>
      <c r="J154" s="706" t="s">
        <v>358</v>
      </c>
      <c r="K154" t="str">
        <f t="shared" si="8"/>
        <v>Switch</v>
      </c>
      <c r="M154" s="419">
        <f t="shared" si="7"/>
        <v>1</v>
      </c>
      <c r="N154" s="419">
        <f t="shared" si="9"/>
        <v>1</v>
      </c>
      <c r="O154" s="419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1">
        <f>All_Detail_v2[[#This Row],[Scheduled Date]]</f>
        <v>46092</v>
      </c>
      <c r="S154" s="421">
        <f>All_Detail_v2[[#This Row],[Install Date]]</f>
        <v>46092</v>
      </c>
    </row>
    <row r="155" spans="1:19">
      <c r="A155">
        <v>151</v>
      </c>
      <c r="B155" s="704" t="s">
        <v>352</v>
      </c>
      <c r="C155" s="706" t="s">
        <v>436</v>
      </c>
      <c r="D155" s="706" t="s">
        <v>451</v>
      </c>
      <c r="E155" s="706" t="s">
        <v>360</v>
      </c>
      <c r="F155" s="706">
        <v>1</v>
      </c>
      <c r="G155" s="706">
        <v>1</v>
      </c>
      <c r="H155" s="720">
        <v>46092</v>
      </c>
      <c r="I155" s="720">
        <v>46092</v>
      </c>
      <c r="J155" s="706" t="s">
        <v>358</v>
      </c>
      <c r="K155" t="str">
        <f t="shared" si="8"/>
        <v>Switch</v>
      </c>
      <c r="M155" s="419">
        <f t="shared" si="7"/>
        <v>1</v>
      </c>
      <c r="N155" s="419">
        <f t="shared" si="9"/>
        <v>1</v>
      </c>
      <c r="O155" s="419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1">
        <f>All_Detail_v2[[#This Row],[Scheduled Date]]</f>
        <v>46092</v>
      </c>
      <c r="S155" s="421">
        <f>All_Detail_v2[[#This Row],[Install Date]]</f>
        <v>46092</v>
      </c>
    </row>
    <row r="156" spans="1:19">
      <c r="A156">
        <v>152</v>
      </c>
      <c r="B156" s="704" t="s">
        <v>352</v>
      </c>
      <c r="C156" s="706" t="s">
        <v>436</v>
      </c>
      <c r="D156" s="706" t="s">
        <v>451</v>
      </c>
      <c r="E156" s="706" t="s">
        <v>365</v>
      </c>
      <c r="F156" s="706">
        <v>1</v>
      </c>
      <c r="G156" s="706">
        <v>1</v>
      </c>
      <c r="H156" s="720">
        <v>46092</v>
      </c>
      <c r="I156" s="720">
        <v>46092</v>
      </c>
      <c r="J156" s="706" t="s">
        <v>358</v>
      </c>
      <c r="K156" t="str">
        <f t="shared" si="8"/>
        <v>Switch</v>
      </c>
      <c r="M156" s="419">
        <f t="shared" si="7"/>
        <v>1</v>
      </c>
      <c r="N156" s="419">
        <f t="shared" si="9"/>
        <v>1</v>
      </c>
      <c r="O156" s="419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1">
        <f>All_Detail_v2[[#This Row],[Scheduled Date]]</f>
        <v>46092</v>
      </c>
      <c r="S156" s="421">
        <f>All_Detail_v2[[#This Row],[Install Date]]</f>
        <v>46092</v>
      </c>
    </row>
    <row r="157" spans="1:19">
      <c r="A157">
        <v>153</v>
      </c>
      <c r="B157" s="704" t="s">
        <v>352</v>
      </c>
      <c r="C157" s="706" t="s">
        <v>436</v>
      </c>
      <c r="D157" s="706" t="s">
        <v>452</v>
      </c>
      <c r="E157" s="706" t="s">
        <v>360</v>
      </c>
      <c r="F157" s="706">
        <v>1</v>
      </c>
      <c r="G157" s="706">
        <v>1</v>
      </c>
      <c r="H157" s="720">
        <v>46092</v>
      </c>
      <c r="I157" s="720">
        <v>46092</v>
      </c>
      <c r="J157" s="706" t="s">
        <v>358</v>
      </c>
      <c r="K157" t="str">
        <f t="shared" si="8"/>
        <v>Switch</v>
      </c>
      <c r="M157" s="419">
        <f t="shared" si="7"/>
        <v>1</v>
      </c>
      <c r="N157" s="419">
        <f t="shared" si="9"/>
        <v>1</v>
      </c>
      <c r="O157" s="419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1">
        <f>All_Detail_v2[[#This Row],[Scheduled Date]]</f>
        <v>46092</v>
      </c>
      <c r="S157" s="421">
        <f>All_Detail_v2[[#This Row],[Install Date]]</f>
        <v>46092</v>
      </c>
    </row>
    <row r="158" spans="1:19">
      <c r="A158">
        <v>154</v>
      </c>
      <c r="B158" s="704" t="s">
        <v>352</v>
      </c>
      <c r="C158" s="706" t="s">
        <v>436</v>
      </c>
      <c r="D158" s="706" t="s">
        <v>452</v>
      </c>
      <c r="E158" s="706" t="s">
        <v>365</v>
      </c>
      <c r="F158" s="706">
        <v>1</v>
      </c>
      <c r="G158" s="706">
        <v>1</v>
      </c>
      <c r="H158" s="720">
        <v>46092</v>
      </c>
      <c r="I158" s="720">
        <v>46092</v>
      </c>
      <c r="J158" s="706" t="s">
        <v>358</v>
      </c>
      <c r="K158" t="str">
        <f t="shared" si="8"/>
        <v>Switch</v>
      </c>
      <c r="M158" s="419">
        <f t="shared" si="7"/>
        <v>1</v>
      </c>
      <c r="N158" s="419">
        <f t="shared" si="9"/>
        <v>1</v>
      </c>
      <c r="O158" s="419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1">
        <f>All_Detail_v2[[#This Row],[Scheduled Date]]</f>
        <v>46092</v>
      </c>
      <c r="S158" s="421">
        <f>All_Detail_v2[[#This Row],[Install Date]]</f>
        <v>46092</v>
      </c>
    </row>
    <row r="159" spans="1:19">
      <c r="A159">
        <v>155</v>
      </c>
      <c r="B159" s="704" t="s">
        <v>352</v>
      </c>
      <c r="C159" s="706" t="s">
        <v>436</v>
      </c>
      <c r="D159" s="706" t="s">
        <v>453</v>
      </c>
      <c r="E159" s="706" t="s">
        <v>360</v>
      </c>
      <c r="F159" s="706">
        <v>1</v>
      </c>
      <c r="G159" s="706">
        <v>1</v>
      </c>
      <c r="H159" s="720">
        <v>46092</v>
      </c>
      <c r="I159" s="720">
        <v>46092</v>
      </c>
      <c r="J159" s="706" t="s">
        <v>358</v>
      </c>
      <c r="K159" t="str">
        <f t="shared" si="8"/>
        <v>Switch</v>
      </c>
      <c r="M159" s="419">
        <f t="shared" si="7"/>
        <v>1</v>
      </c>
      <c r="N159" s="419">
        <f t="shared" si="9"/>
        <v>1</v>
      </c>
      <c r="O159" s="419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1">
        <f>All_Detail_v2[[#This Row],[Scheduled Date]]</f>
        <v>46092</v>
      </c>
      <c r="S159" s="421">
        <f>All_Detail_v2[[#This Row],[Install Date]]</f>
        <v>46092</v>
      </c>
    </row>
    <row r="160" spans="1:19">
      <c r="A160">
        <v>156</v>
      </c>
      <c r="B160" s="704" t="s">
        <v>352</v>
      </c>
      <c r="C160" s="706" t="s">
        <v>436</v>
      </c>
      <c r="D160" s="706" t="s">
        <v>453</v>
      </c>
      <c r="E160" s="706" t="s">
        <v>365</v>
      </c>
      <c r="F160" s="706">
        <v>1</v>
      </c>
      <c r="G160" s="706">
        <v>1</v>
      </c>
      <c r="H160" s="720">
        <v>46092</v>
      </c>
      <c r="I160" s="720">
        <v>46092</v>
      </c>
      <c r="J160" s="706" t="s">
        <v>358</v>
      </c>
      <c r="K160" t="str">
        <f t="shared" si="8"/>
        <v>Switch</v>
      </c>
      <c r="M160" s="419">
        <f t="shared" si="7"/>
        <v>1</v>
      </c>
      <c r="N160" s="419">
        <f t="shared" si="9"/>
        <v>1</v>
      </c>
      <c r="O160" s="419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1">
        <f>All_Detail_v2[[#This Row],[Scheduled Date]]</f>
        <v>46092</v>
      </c>
      <c r="S160" s="421">
        <f>All_Detail_v2[[#This Row],[Install Date]]</f>
        <v>46092</v>
      </c>
    </row>
    <row r="161" spans="1:19">
      <c r="A161">
        <v>157</v>
      </c>
      <c r="B161" s="704" t="s">
        <v>352</v>
      </c>
      <c r="C161" s="706" t="s">
        <v>436</v>
      </c>
      <c r="D161" s="706" t="s">
        <v>454</v>
      </c>
      <c r="E161" s="706" t="s">
        <v>360</v>
      </c>
      <c r="F161" s="706">
        <v>1</v>
      </c>
      <c r="G161" s="706">
        <v>1</v>
      </c>
      <c r="H161" s="720">
        <v>46092</v>
      </c>
      <c r="I161" s="720">
        <v>46092</v>
      </c>
      <c r="J161" s="706" t="s">
        <v>358</v>
      </c>
      <c r="K161" t="str">
        <f t="shared" si="8"/>
        <v>Switch</v>
      </c>
      <c r="M161" s="419">
        <f t="shared" si="7"/>
        <v>1</v>
      </c>
      <c r="N161" s="419">
        <f t="shared" si="9"/>
        <v>1</v>
      </c>
      <c r="O161" s="419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1">
        <f>All_Detail_v2[[#This Row],[Scheduled Date]]</f>
        <v>46092</v>
      </c>
      <c r="S161" s="421">
        <f>All_Detail_v2[[#This Row],[Install Date]]</f>
        <v>46092</v>
      </c>
    </row>
    <row r="162" spans="1:19">
      <c r="A162">
        <v>158</v>
      </c>
      <c r="B162" s="704" t="s">
        <v>352</v>
      </c>
      <c r="C162" s="706" t="s">
        <v>436</v>
      </c>
      <c r="D162" s="706" t="s">
        <v>454</v>
      </c>
      <c r="E162" s="706" t="s">
        <v>365</v>
      </c>
      <c r="F162" s="706">
        <v>1</v>
      </c>
      <c r="G162" s="706">
        <v>1</v>
      </c>
      <c r="H162" s="720">
        <v>46092</v>
      </c>
      <c r="I162" s="720">
        <v>46092</v>
      </c>
      <c r="J162" s="706" t="s">
        <v>358</v>
      </c>
      <c r="K162" t="str">
        <f t="shared" si="8"/>
        <v>Switch</v>
      </c>
      <c r="M162" s="419">
        <f t="shared" si="7"/>
        <v>1</v>
      </c>
      <c r="N162" s="419">
        <f t="shared" si="9"/>
        <v>1</v>
      </c>
      <c r="O162" s="419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1">
        <f>All_Detail_v2[[#This Row],[Scheduled Date]]</f>
        <v>46092</v>
      </c>
      <c r="S162" s="421">
        <f>All_Detail_v2[[#This Row],[Install Date]]</f>
        <v>46092</v>
      </c>
    </row>
    <row r="163" spans="1:19">
      <c r="A163">
        <v>159</v>
      </c>
      <c r="B163" s="704" t="s">
        <v>352</v>
      </c>
      <c r="C163" s="706" t="s">
        <v>436</v>
      </c>
      <c r="D163" s="706" t="s">
        <v>455</v>
      </c>
      <c r="E163" s="706" t="s">
        <v>360</v>
      </c>
      <c r="F163" s="706">
        <v>1</v>
      </c>
      <c r="G163" s="706"/>
      <c r="H163" s="720"/>
      <c r="I163" s="720">
        <v>46129</v>
      </c>
      <c r="J163" s="706" t="s">
        <v>355</v>
      </c>
      <c r="K163" t="str">
        <f t="shared" si="8"/>
        <v>Switch</v>
      </c>
      <c r="M163" s="419">
        <f t="shared" si="7"/>
        <v>0</v>
      </c>
      <c r="N163" s="419">
        <f t="shared" si="9"/>
        <v>0</v>
      </c>
      <c r="O163" s="419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1">
        <f>All_Detail_v2[[#This Row],[Scheduled Date]]</f>
        <v>46129</v>
      </c>
      <c r="S163" s="421">
        <f>All_Detail_v2[[#This Row],[Install Date]]</f>
        <v>0</v>
      </c>
    </row>
    <row r="164" spans="1:19">
      <c r="A164">
        <v>160</v>
      </c>
      <c r="B164" s="704" t="s">
        <v>352</v>
      </c>
      <c r="C164" s="706" t="s">
        <v>436</v>
      </c>
      <c r="D164" s="706" t="s">
        <v>456</v>
      </c>
      <c r="E164" s="706" t="s">
        <v>360</v>
      </c>
      <c r="F164" s="706">
        <v>1</v>
      </c>
      <c r="G164" s="706">
        <v>1</v>
      </c>
      <c r="H164" s="720">
        <v>46097</v>
      </c>
      <c r="I164" s="720">
        <v>46097</v>
      </c>
      <c r="J164" s="706" t="s">
        <v>358</v>
      </c>
      <c r="K164" t="str">
        <f t="shared" si="8"/>
        <v>Switch</v>
      </c>
      <c r="M164" s="419">
        <f t="shared" si="7"/>
        <v>1</v>
      </c>
      <c r="N164" s="419">
        <f t="shared" si="9"/>
        <v>1</v>
      </c>
      <c r="O164" s="419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1">
        <f>All_Detail_v2[[#This Row],[Scheduled Date]]</f>
        <v>46097</v>
      </c>
      <c r="S164" s="421">
        <f>All_Detail_v2[[#This Row],[Install Date]]</f>
        <v>46097</v>
      </c>
    </row>
    <row r="165" spans="1:19">
      <c r="A165">
        <v>161</v>
      </c>
      <c r="B165" s="704" t="s">
        <v>352</v>
      </c>
      <c r="C165" s="706" t="s">
        <v>436</v>
      </c>
      <c r="D165" s="706" t="s">
        <v>456</v>
      </c>
      <c r="E165" s="706" t="s">
        <v>365</v>
      </c>
      <c r="F165" s="706">
        <v>1</v>
      </c>
      <c r="G165" s="706">
        <v>1</v>
      </c>
      <c r="H165" s="720">
        <v>46097</v>
      </c>
      <c r="I165" s="720">
        <v>46097</v>
      </c>
      <c r="J165" s="706" t="s">
        <v>358</v>
      </c>
      <c r="K165" t="str">
        <f t="shared" si="8"/>
        <v>Switch</v>
      </c>
      <c r="M165" s="419">
        <f t="shared" si="7"/>
        <v>1</v>
      </c>
      <c r="N165" s="419">
        <f t="shared" si="9"/>
        <v>1</v>
      </c>
      <c r="O165" s="419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1">
        <f>All_Detail_v2[[#This Row],[Scheduled Date]]</f>
        <v>46097</v>
      </c>
      <c r="S165" s="421">
        <f>All_Detail_v2[[#This Row],[Install Date]]</f>
        <v>46097</v>
      </c>
    </row>
    <row r="166" spans="1:19">
      <c r="A166">
        <v>162</v>
      </c>
      <c r="B166" s="704" t="s">
        <v>352</v>
      </c>
      <c r="C166" s="706" t="s">
        <v>436</v>
      </c>
      <c r="D166" s="706" t="s">
        <v>457</v>
      </c>
      <c r="E166" s="706" t="s">
        <v>360</v>
      </c>
      <c r="F166" s="706">
        <v>2</v>
      </c>
      <c r="G166" s="706">
        <v>2</v>
      </c>
      <c r="H166" s="720">
        <v>46097</v>
      </c>
      <c r="I166" s="720">
        <v>46097</v>
      </c>
      <c r="J166" s="706" t="s">
        <v>358</v>
      </c>
      <c r="K166" t="str">
        <f t="shared" si="8"/>
        <v>Switch</v>
      </c>
      <c r="M166" s="419">
        <f t="shared" si="7"/>
        <v>2</v>
      </c>
      <c r="N166" s="419">
        <f t="shared" si="9"/>
        <v>2</v>
      </c>
      <c r="O166" s="419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1">
        <f>All_Detail_v2[[#This Row],[Scheduled Date]]</f>
        <v>46097</v>
      </c>
      <c r="S166" s="421">
        <f>All_Detail_v2[[#This Row],[Install Date]]</f>
        <v>46097</v>
      </c>
    </row>
    <row r="167" spans="1:19">
      <c r="A167">
        <v>163</v>
      </c>
      <c r="B167" s="704" t="s">
        <v>352</v>
      </c>
      <c r="C167" s="706" t="s">
        <v>436</v>
      </c>
      <c r="D167" s="706" t="s">
        <v>457</v>
      </c>
      <c r="E167" s="706" t="s">
        <v>365</v>
      </c>
      <c r="F167" s="706">
        <v>2</v>
      </c>
      <c r="G167" s="706">
        <v>2</v>
      </c>
      <c r="H167" s="720">
        <v>46097</v>
      </c>
      <c r="I167" s="720">
        <v>46097</v>
      </c>
      <c r="J167" s="706" t="s">
        <v>358</v>
      </c>
      <c r="K167" t="str">
        <f t="shared" si="8"/>
        <v>Switch</v>
      </c>
      <c r="M167" s="419">
        <f t="shared" si="7"/>
        <v>2</v>
      </c>
      <c r="N167" s="419">
        <f t="shared" si="9"/>
        <v>2</v>
      </c>
      <c r="O167" s="419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1">
        <f>All_Detail_v2[[#This Row],[Scheduled Date]]</f>
        <v>46097</v>
      </c>
      <c r="S167" s="421">
        <f>All_Detail_v2[[#This Row],[Install Date]]</f>
        <v>46097</v>
      </c>
    </row>
    <row r="168" spans="1:19">
      <c r="A168">
        <v>164</v>
      </c>
      <c r="B168" s="704" t="s">
        <v>352</v>
      </c>
      <c r="C168" s="706" t="s">
        <v>436</v>
      </c>
      <c r="D168" s="706" t="s">
        <v>458</v>
      </c>
      <c r="E168" s="706" t="s">
        <v>360</v>
      </c>
      <c r="F168" s="706">
        <v>1</v>
      </c>
      <c r="G168" s="706">
        <v>1</v>
      </c>
      <c r="H168" s="720">
        <v>46100</v>
      </c>
      <c r="I168" s="720">
        <v>46100</v>
      </c>
      <c r="J168" s="706" t="s">
        <v>358</v>
      </c>
      <c r="K168" t="str">
        <f t="shared" si="8"/>
        <v>Switch</v>
      </c>
      <c r="M168" s="419">
        <f t="shared" si="7"/>
        <v>1</v>
      </c>
      <c r="N168" s="419">
        <f t="shared" si="9"/>
        <v>1</v>
      </c>
      <c r="O168" s="419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1">
        <f>All_Detail_v2[[#This Row],[Scheduled Date]]</f>
        <v>46100</v>
      </c>
      <c r="S168" s="421">
        <f>All_Detail_v2[[#This Row],[Install Date]]</f>
        <v>46100</v>
      </c>
    </row>
    <row r="169" spans="1:19">
      <c r="A169">
        <v>165</v>
      </c>
      <c r="B169" s="704" t="s">
        <v>352</v>
      </c>
      <c r="C169" s="706" t="s">
        <v>436</v>
      </c>
      <c r="D169" s="706" t="s">
        <v>458</v>
      </c>
      <c r="E169" s="706" t="s">
        <v>365</v>
      </c>
      <c r="F169" s="706">
        <v>1</v>
      </c>
      <c r="G169" s="706">
        <v>1</v>
      </c>
      <c r="H169" s="720">
        <v>46100</v>
      </c>
      <c r="I169" s="720">
        <v>46100</v>
      </c>
      <c r="J169" s="706" t="s">
        <v>358</v>
      </c>
      <c r="K169" t="str">
        <f t="shared" si="8"/>
        <v>Switch</v>
      </c>
      <c r="M169" s="419">
        <f t="shared" si="7"/>
        <v>1</v>
      </c>
      <c r="N169" s="419">
        <f t="shared" si="9"/>
        <v>1</v>
      </c>
      <c r="O169" s="419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1">
        <f>All_Detail_v2[[#This Row],[Scheduled Date]]</f>
        <v>46100</v>
      </c>
      <c r="S169" s="421">
        <f>All_Detail_v2[[#This Row],[Install Date]]</f>
        <v>46100</v>
      </c>
    </row>
    <row r="170" spans="1:19">
      <c r="A170">
        <v>166</v>
      </c>
      <c r="B170" s="704" t="s">
        <v>352</v>
      </c>
      <c r="C170" s="706" t="s">
        <v>436</v>
      </c>
      <c r="D170" s="706" t="s">
        <v>458</v>
      </c>
      <c r="E170" s="706" t="s">
        <v>402</v>
      </c>
      <c r="F170" s="706">
        <v>1</v>
      </c>
      <c r="G170" s="706">
        <v>1</v>
      </c>
      <c r="H170" s="720">
        <v>46094</v>
      </c>
      <c r="I170" s="720">
        <v>46094</v>
      </c>
      <c r="J170" s="706" t="s">
        <v>358</v>
      </c>
      <c r="K170" t="str">
        <f t="shared" si="8"/>
        <v>Switch</v>
      </c>
      <c r="M170" s="419">
        <f t="shared" si="7"/>
        <v>1</v>
      </c>
      <c r="N170" s="419">
        <f t="shared" si="9"/>
        <v>1</v>
      </c>
      <c r="O170" s="419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1">
        <f>All_Detail_v2[[#This Row],[Scheduled Date]]</f>
        <v>46094</v>
      </c>
      <c r="S170" s="421">
        <f>All_Detail_v2[[#This Row],[Install Date]]</f>
        <v>46094</v>
      </c>
    </row>
    <row r="171" spans="1:19">
      <c r="A171">
        <v>167</v>
      </c>
      <c r="B171" s="704" t="s">
        <v>352</v>
      </c>
      <c r="C171" s="706" t="s">
        <v>436</v>
      </c>
      <c r="D171" s="706" t="s">
        <v>459</v>
      </c>
      <c r="E171" s="706" t="s">
        <v>360</v>
      </c>
      <c r="F171" s="706">
        <v>1</v>
      </c>
      <c r="G171" s="706">
        <v>1</v>
      </c>
      <c r="H171" s="720">
        <v>46097</v>
      </c>
      <c r="I171" s="720">
        <v>46097</v>
      </c>
      <c r="J171" s="706" t="s">
        <v>358</v>
      </c>
      <c r="K171" t="str">
        <f t="shared" si="8"/>
        <v>Switch</v>
      </c>
      <c r="M171" s="419">
        <f t="shared" si="7"/>
        <v>1</v>
      </c>
      <c r="N171" s="419">
        <f t="shared" si="9"/>
        <v>1</v>
      </c>
      <c r="O171" s="419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1">
        <f>All_Detail_v2[[#This Row],[Scheduled Date]]</f>
        <v>46097</v>
      </c>
      <c r="S171" s="421">
        <f>All_Detail_v2[[#This Row],[Install Date]]</f>
        <v>46097</v>
      </c>
    </row>
    <row r="172" spans="1:19">
      <c r="A172">
        <v>168</v>
      </c>
      <c r="B172" s="704" t="s">
        <v>352</v>
      </c>
      <c r="C172" s="706" t="s">
        <v>436</v>
      </c>
      <c r="D172" s="706" t="s">
        <v>459</v>
      </c>
      <c r="E172" s="706" t="s">
        <v>402</v>
      </c>
      <c r="F172" s="706">
        <v>1</v>
      </c>
      <c r="G172" s="706">
        <v>1</v>
      </c>
      <c r="H172" s="720">
        <v>46094</v>
      </c>
      <c r="I172" s="720">
        <v>46094</v>
      </c>
      <c r="J172" s="706" t="s">
        <v>358</v>
      </c>
      <c r="K172" t="str">
        <f t="shared" si="8"/>
        <v>Switch</v>
      </c>
      <c r="M172" s="419">
        <f t="shared" si="7"/>
        <v>1</v>
      </c>
      <c r="N172" s="419">
        <f t="shared" si="9"/>
        <v>1</v>
      </c>
      <c r="O172" s="419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1">
        <f>All_Detail_v2[[#This Row],[Scheduled Date]]</f>
        <v>46094</v>
      </c>
      <c r="S172" s="421">
        <f>All_Detail_v2[[#This Row],[Install Date]]</f>
        <v>46094</v>
      </c>
    </row>
    <row r="173" spans="1:19">
      <c r="A173">
        <v>169</v>
      </c>
      <c r="B173" s="704" t="s">
        <v>352</v>
      </c>
      <c r="C173" s="706" t="s">
        <v>436</v>
      </c>
      <c r="D173" s="706" t="s">
        <v>460</v>
      </c>
      <c r="E173" s="706" t="s">
        <v>360</v>
      </c>
      <c r="F173" s="706">
        <v>1</v>
      </c>
      <c r="G173" s="706">
        <v>1</v>
      </c>
      <c r="H173" s="720">
        <v>46097</v>
      </c>
      <c r="I173" s="720">
        <v>46097</v>
      </c>
      <c r="J173" s="706" t="s">
        <v>358</v>
      </c>
      <c r="K173" t="str">
        <f t="shared" si="8"/>
        <v>Switch</v>
      </c>
      <c r="M173" s="419">
        <f t="shared" si="7"/>
        <v>1</v>
      </c>
      <c r="N173" s="419">
        <f t="shared" si="9"/>
        <v>1</v>
      </c>
      <c r="O173" s="419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1">
        <f>All_Detail_v2[[#This Row],[Scheduled Date]]</f>
        <v>46097</v>
      </c>
      <c r="S173" s="421">
        <f>All_Detail_v2[[#This Row],[Install Date]]</f>
        <v>46097</v>
      </c>
    </row>
    <row r="174" spans="1:19">
      <c r="A174">
        <v>170</v>
      </c>
      <c r="B174" s="704" t="s">
        <v>352</v>
      </c>
      <c r="C174" s="706" t="s">
        <v>436</v>
      </c>
      <c r="D174" s="706" t="s">
        <v>460</v>
      </c>
      <c r="E174" s="706" t="s">
        <v>402</v>
      </c>
      <c r="F174" s="706">
        <v>1</v>
      </c>
      <c r="G174" s="706">
        <v>1</v>
      </c>
      <c r="H174" s="720">
        <v>46094</v>
      </c>
      <c r="I174" s="720">
        <v>46094</v>
      </c>
      <c r="J174" s="706" t="s">
        <v>358</v>
      </c>
      <c r="K174" t="str">
        <f t="shared" si="8"/>
        <v>Switch</v>
      </c>
      <c r="M174" s="419">
        <f t="shared" si="7"/>
        <v>1</v>
      </c>
      <c r="N174" s="419">
        <f t="shared" si="9"/>
        <v>1</v>
      </c>
      <c r="O174" s="419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1">
        <f>All_Detail_v2[[#This Row],[Scheduled Date]]</f>
        <v>46094</v>
      </c>
      <c r="S174" s="421">
        <f>All_Detail_v2[[#This Row],[Install Date]]</f>
        <v>46094</v>
      </c>
    </row>
    <row r="175" spans="1:19">
      <c r="A175">
        <v>171</v>
      </c>
      <c r="B175" s="704" t="s">
        <v>352</v>
      </c>
      <c r="C175" s="706" t="s">
        <v>436</v>
      </c>
      <c r="D175" s="706" t="s">
        <v>461</v>
      </c>
      <c r="E175" s="706" t="s">
        <v>360</v>
      </c>
      <c r="F175" s="706">
        <v>2</v>
      </c>
      <c r="G175" s="706"/>
      <c r="H175" s="720"/>
      <c r="I175" s="720">
        <v>46129</v>
      </c>
      <c r="J175" s="706" t="s">
        <v>355</v>
      </c>
      <c r="K175" t="str">
        <f t="shared" si="8"/>
        <v>Switch</v>
      </c>
      <c r="M175" s="419">
        <f t="shared" si="7"/>
        <v>0</v>
      </c>
      <c r="N175" s="419">
        <f t="shared" si="9"/>
        <v>0</v>
      </c>
      <c r="O175" s="419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1">
        <f>All_Detail_v2[[#This Row],[Scheduled Date]]</f>
        <v>46129</v>
      </c>
      <c r="S175" s="421">
        <f>All_Detail_v2[[#This Row],[Install Date]]</f>
        <v>0</v>
      </c>
    </row>
    <row r="176" spans="1:19">
      <c r="A176">
        <v>172</v>
      </c>
      <c r="B176" s="704" t="s">
        <v>352</v>
      </c>
      <c r="C176" s="706" t="s">
        <v>436</v>
      </c>
      <c r="D176" s="706" t="s">
        <v>461</v>
      </c>
      <c r="E176" s="706" t="s">
        <v>365</v>
      </c>
      <c r="F176" s="706">
        <v>1</v>
      </c>
      <c r="G176" s="706"/>
      <c r="H176" s="720"/>
      <c r="I176" s="720">
        <v>46129</v>
      </c>
      <c r="J176" s="706" t="s">
        <v>355</v>
      </c>
      <c r="K176" t="str">
        <f t="shared" si="8"/>
        <v>Switch</v>
      </c>
      <c r="M176" s="419">
        <f t="shared" si="7"/>
        <v>0</v>
      </c>
      <c r="N176" s="419">
        <f t="shared" si="9"/>
        <v>0</v>
      </c>
      <c r="O176" s="419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1">
        <f>All_Detail_v2[[#This Row],[Scheduled Date]]</f>
        <v>46129</v>
      </c>
      <c r="S176" s="421">
        <f>All_Detail_v2[[#This Row],[Install Date]]</f>
        <v>0</v>
      </c>
    </row>
    <row r="177" spans="1:19">
      <c r="A177">
        <v>173</v>
      </c>
      <c r="B177" s="704" t="s">
        <v>352</v>
      </c>
      <c r="C177" s="706" t="s">
        <v>436</v>
      </c>
      <c r="D177" s="706" t="s">
        <v>462</v>
      </c>
      <c r="E177" s="706" t="s">
        <v>360</v>
      </c>
      <c r="F177" s="706">
        <v>1</v>
      </c>
      <c r="G177" s="706"/>
      <c r="H177" s="720"/>
      <c r="I177" s="720">
        <v>46129</v>
      </c>
      <c r="J177" s="706" t="s">
        <v>355</v>
      </c>
      <c r="K177" t="str">
        <f t="shared" si="8"/>
        <v>Switch</v>
      </c>
      <c r="M177" s="419">
        <f t="shared" si="7"/>
        <v>0</v>
      </c>
      <c r="N177" s="419">
        <f t="shared" si="9"/>
        <v>0</v>
      </c>
      <c r="O177" s="419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1">
        <f>All_Detail_v2[[#This Row],[Scheduled Date]]</f>
        <v>46129</v>
      </c>
      <c r="S177" s="421">
        <f>All_Detail_v2[[#This Row],[Install Date]]</f>
        <v>0</v>
      </c>
    </row>
    <row r="178" spans="1:19">
      <c r="A178">
        <v>174</v>
      </c>
      <c r="B178" s="704" t="s">
        <v>352</v>
      </c>
      <c r="C178" s="706" t="s">
        <v>436</v>
      </c>
      <c r="D178" s="706" t="s">
        <v>462</v>
      </c>
      <c r="E178" s="706" t="s">
        <v>365</v>
      </c>
      <c r="F178" s="706">
        <v>1</v>
      </c>
      <c r="G178" s="706"/>
      <c r="H178" s="720"/>
      <c r="I178" s="720">
        <v>46129</v>
      </c>
      <c r="J178" s="706" t="s">
        <v>355</v>
      </c>
      <c r="K178" t="str">
        <f t="shared" si="8"/>
        <v>Switch</v>
      </c>
      <c r="M178" s="419">
        <f t="shared" si="7"/>
        <v>0</v>
      </c>
      <c r="N178" s="419">
        <f t="shared" si="9"/>
        <v>0</v>
      </c>
      <c r="O178" s="419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1">
        <f>All_Detail_v2[[#This Row],[Scheduled Date]]</f>
        <v>46129</v>
      </c>
      <c r="S178" s="421">
        <f>All_Detail_v2[[#This Row],[Install Date]]</f>
        <v>0</v>
      </c>
    </row>
    <row r="179" spans="1:19">
      <c r="A179">
        <v>175</v>
      </c>
      <c r="B179" s="704" t="s">
        <v>352</v>
      </c>
      <c r="C179" s="706" t="s">
        <v>436</v>
      </c>
      <c r="D179" s="706" t="s">
        <v>463</v>
      </c>
      <c r="E179" s="706" t="s">
        <v>360</v>
      </c>
      <c r="F179" s="706">
        <v>1</v>
      </c>
      <c r="G179" s="706"/>
      <c r="H179" s="720"/>
      <c r="I179" s="720">
        <v>46129</v>
      </c>
      <c r="J179" s="706" t="s">
        <v>355</v>
      </c>
      <c r="K179" t="str">
        <f t="shared" si="8"/>
        <v>Switch</v>
      </c>
      <c r="M179" s="419">
        <f t="shared" si="7"/>
        <v>0</v>
      </c>
      <c r="N179" s="419">
        <f t="shared" si="9"/>
        <v>0</v>
      </c>
      <c r="O179" s="419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1">
        <f>All_Detail_v2[[#This Row],[Scheduled Date]]</f>
        <v>46129</v>
      </c>
      <c r="S179" s="421">
        <f>All_Detail_v2[[#This Row],[Install Date]]</f>
        <v>0</v>
      </c>
    </row>
    <row r="180" spans="1:19">
      <c r="A180">
        <v>176</v>
      </c>
      <c r="B180" s="704" t="s">
        <v>352</v>
      </c>
      <c r="C180" s="706" t="s">
        <v>436</v>
      </c>
      <c r="D180" s="706" t="s">
        <v>463</v>
      </c>
      <c r="E180" s="706" t="s">
        <v>365</v>
      </c>
      <c r="F180" s="706">
        <v>1</v>
      </c>
      <c r="G180" s="706"/>
      <c r="H180" s="720"/>
      <c r="I180" s="720">
        <v>46129</v>
      </c>
      <c r="J180" s="706" t="s">
        <v>355</v>
      </c>
      <c r="K180" t="str">
        <f t="shared" si="8"/>
        <v>Switch</v>
      </c>
      <c r="M180" s="419">
        <f t="shared" si="7"/>
        <v>0</v>
      </c>
      <c r="N180" s="419">
        <f t="shared" si="9"/>
        <v>0</v>
      </c>
      <c r="O180" s="419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1">
        <f>All_Detail_v2[[#This Row],[Scheduled Date]]</f>
        <v>46129</v>
      </c>
      <c r="S180" s="421">
        <f>All_Detail_v2[[#This Row],[Install Date]]</f>
        <v>0</v>
      </c>
    </row>
    <row r="181" spans="1:19">
      <c r="A181">
        <v>177</v>
      </c>
      <c r="B181" s="704" t="s">
        <v>352</v>
      </c>
      <c r="C181" s="706" t="s">
        <v>436</v>
      </c>
      <c r="D181" s="706" t="s">
        <v>463</v>
      </c>
      <c r="E181" s="706" t="s">
        <v>402</v>
      </c>
      <c r="F181" s="706">
        <v>1</v>
      </c>
      <c r="G181" s="706">
        <v>1</v>
      </c>
      <c r="H181" s="720">
        <v>46094</v>
      </c>
      <c r="I181" s="720">
        <v>46094</v>
      </c>
      <c r="J181" s="706" t="s">
        <v>358</v>
      </c>
      <c r="K181" t="str">
        <f t="shared" si="8"/>
        <v>Switch</v>
      </c>
      <c r="M181" s="419">
        <f t="shared" si="7"/>
        <v>1</v>
      </c>
      <c r="N181" s="419">
        <f t="shared" si="9"/>
        <v>1</v>
      </c>
      <c r="O181" s="419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1">
        <f>All_Detail_v2[[#This Row],[Scheduled Date]]</f>
        <v>46094</v>
      </c>
      <c r="S181" s="421">
        <f>All_Detail_v2[[#This Row],[Install Date]]</f>
        <v>46094</v>
      </c>
    </row>
    <row r="182" spans="1:19">
      <c r="A182">
        <v>178</v>
      </c>
      <c r="B182" s="704" t="s">
        <v>352</v>
      </c>
      <c r="C182" s="706" t="s">
        <v>436</v>
      </c>
      <c r="D182" s="706" t="s">
        <v>464</v>
      </c>
      <c r="E182" s="706" t="s">
        <v>360</v>
      </c>
      <c r="F182" s="706">
        <v>1</v>
      </c>
      <c r="G182" s="706"/>
      <c r="H182" s="720"/>
      <c r="I182" s="720">
        <v>46129</v>
      </c>
      <c r="J182" s="706" t="s">
        <v>355</v>
      </c>
      <c r="K182" t="str">
        <f t="shared" si="8"/>
        <v>Switch</v>
      </c>
      <c r="M182" s="419">
        <f t="shared" si="7"/>
        <v>0</v>
      </c>
      <c r="N182" s="419">
        <f t="shared" si="9"/>
        <v>0</v>
      </c>
      <c r="O182" s="419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1">
        <f>All_Detail_v2[[#This Row],[Scheduled Date]]</f>
        <v>46129</v>
      </c>
      <c r="S182" s="421">
        <f>All_Detail_v2[[#This Row],[Install Date]]</f>
        <v>0</v>
      </c>
    </row>
    <row r="183" spans="1:19">
      <c r="A183">
        <v>179</v>
      </c>
      <c r="B183" s="704" t="s">
        <v>352</v>
      </c>
      <c r="C183" s="706" t="s">
        <v>436</v>
      </c>
      <c r="D183" s="706" t="s">
        <v>464</v>
      </c>
      <c r="E183" s="706" t="s">
        <v>365</v>
      </c>
      <c r="F183" s="706">
        <v>1</v>
      </c>
      <c r="G183" s="706"/>
      <c r="H183" s="720"/>
      <c r="I183" s="720">
        <v>46129</v>
      </c>
      <c r="J183" s="706" t="s">
        <v>355</v>
      </c>
      <c r="K183" t="str">
        <f t="shared" si="8"/>
        <v>Switch</v>
      </c>
      <c r="M183" s="419">
        <f t="shared" si="7"/>
        <v>0</v>
      </c>
      <c r="N183" s="419">
        <f t="shared" si="9"/>
        <v>0</v>
      </c>
      <c r="O183" s="419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1">
        <f>All_Detail_v2[[#This Row],[Scheduled Date]]</f>
        <v>46129</v>
      </c>
      <c r="S183" s="421">
        <f>All_Detail_v2[[#This Row],[Install Date]]</f>
        <v>0</v>
      </c>
    </row>
    <row r="184" spans="1:19">
      <c r="A184">
        <v>180</v>
      </c>
      <c r="B184" s="704" t="s">
        <v>352</v>
      </c>
      <c r="C184" s="706" t="s">
        <v>436</v>
      </c>
      <c r="D184" s="706" t="s">
        <v>464</v>
      </c>
      <c r="E184" s="706" t="s">
        <v>402</v>
      </c>
      <c r="F184" s="706">
        <v>1</v>
      </c>
      <c r="G184" s="706">
        <v>1</v>
      </c>
      <c r="H184" s="720">
        <v>46094</v>
      </c>
      <c r="I184" s="720">
        <v>46094</v>
      </c>
      <c r="J184" s="706" t="s">
        <v>358</v>
      </c>
      <c r="K184" t="str">
        <f t="shared" si="8"/>
        <v>Switch</v>
      </c>
      <c r="M184" s="419">
        <f t="shared" si="7"/>
        <v>1</v>
      </c>
      <c r="N184" s="419">
        <f t="shared" si="9"/>
        <v>1</v>
      </c>
      <c r="O184" s="419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1">
        <f>All_Detail_v2[[#This Row],[Scheduled Date]]</f>
        <v>46094</v>
      </c>
      <c r="S184" s="421">
        <f>All_Detail_v2[[#This Row],[Install Date]]</f>
        <v>46094</v>
      </c>
    </row>
    <row r="185" spans="1:19">
      <c r="A185">
        <v>181</v>
      </c>
      <c r="B185" s="704" t="s">
        <v>352</v>
      </c>
      <c r="C185" s="706" t="s">
        <v>436</v>
      </c>
      <c r="D185" s="706" t="s">
        <v>465</v>
      </c>
      <c r="E185" s="706" t="s">
        <v>365</v>
      </c>
      <c r="F185" s="706">
        <v>1</v>
      </c>
      <c r="G185" s="706">
        <v>1</v>
      </c>
      <c r="H185" s="720">
        <v>46100</v>
      </c>
      <c r="I185" s="720">
        <v>46100</v>
      </c>
      <c r="J185" s="706" t="s">
        <v>358</v>
      </c>
      <c r="K185" t="str">
        <f t="shared" si="8"/>
        <v>Switch</v>
      </c>
      <c r="M185" s="419">
        <f t="shared" si="7"/>
        <v>1</v>
      </c>
      <c r="N185" s="419">
        <f t="shared" si="9"/>
        <v>1</v>
      </c>
      <c r="O185" s="419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1">
        <f>All_Detail_v2[[#This Row],[Scheduled Date]]</f>
        <v>46100</v>
      </c>
      <c r="S185" s="421">
        <f>All_Detail_v2[[#This Row],[Install Date]]</f>
        <v>46100</v>
      </c>
    </row>
    <row r="186" spans="1:19">
      <c r="A186">
        <v>182</v>
      </c>
      <c r="B186" s="704" t="s">
        <v>352</v>
      </c>
      <c r="C186" s="706" t="s">
        <v>436</v>
      </c>
      <c r="D186" s="706" t="s">
        <v>466</v>
      </c>
      <c r="E186" s="706" t="s">
        <v>360</v>
      </c>
      <c r="F186" s="706">
        <v>1</v>
      </c>
      <c r="G186" s="706">
        <v>1</v>
      </c>
      <c r="H186" s="720">
        <v>46100</v>
      </c>
      <c r="I186" s="720">
        <v>46100</v>
      </c>
      <c r="J186" s="706" t="s">
        <v>358</v>
      </c>
      <c r="K186" t="str">
        <f t="shared" si="8"/>
        <v>Switch</v>
      </c>
      <c r="M186" s="419">
        <f t="shared" si="7"/>
        <v>1</v>
      </c>
      <c r="N186" s="419">
        <f t="shared" si="9"/>
        <v>1</v>
      </c>
      <c r="O186" s="419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1">
        <f>All_Detail_v2[[#This Row],[Scheduled Date]]</f>
        <v>46100</v>
      </c>
      <c r="S186" s="421">
        <f>All_Detail_v2[[#This Row],[Install Date]]</f>
        <v>46100</v>
      </c>
    </row>
    <row r="187" spans="1:19">
      <c r="A187">
        <v>183</v>
      </c>
      <c r="B187" s="704" t="s">
        <v>352</v>
      </c>
      <c r="C187" s="706" t="s">
        <v>436</v>
      </c>
      <c r="D187" s="706" t="s">
        <v>466</v>
      </c>
      <c r="E187" s="706" t="s">
        <v>365</v>
      </c>
      <c r="F187" s="706">
        <v>1</v>
      </c>
      <c r="G187" s="706">
        <v>1</v>
      </c>
      <c r="H187" s="720">
        <v>46100</v>
      </c>
      <c r="I187" s="720">
        <v>46100</v>
      </c>
      <c r="J187" s="706" t="s">
        <v>358</v>
      </c>
      <c r="K187" t="str">
        <f t="shared" si="8"/>
        <v>Switch</v>
      </c>
      <c r="M187" s="419">
        <f t="shared" si="7"/>
        <v>1</v>
      </c>
      <c r="N187" s="419">
        <f t="shared" si="9"/>
        <v>1</v>
      </c>
      <c r="O187" s="419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1">
        <f>All_Detail_v2[[#This Row],[Scheduled Date]]</f>
        <v>46100</v>
      </c>
      <c r="S187" s="421">
        <f>All_Detail_v2[[#This Row],[Install Date]]</f>
        <v>46100</v>
      </c>
    </row>
    <row r="188" spans="1:19">
      <c r="A188">
        <v>184</v>
      </c>
      <c r="B188" s="704" t="s">
        <v>352</v>
      </c>
      <c r="C188" s="706" t="s">
        <v>436</v>
      </c>
      <c r="D188" s="706" t="s">
        <v>467</v>
      </c>
      <c r="E188" s="706" t="s">
        <v>360</v>
      </c>
      <c r="F188" s="706">
        <v>1</v>
      </c>
      <c r="G188" s="706">
        <v>1</v>
      </c>
      <c r="H188" s="720">
        <v>46100</v>
      </c>
      <c r="I188" s="720">
        <v>46100</v>
      </c>
      <c r="J188" s="706" t="s">
        <v>358</v>
      </c>
      <c r="K188" t="str">
        <f t="shared" si="8"/>
        <v>Switch</v>
      </c>
      <c r="M188" s="419">
        <f t="shared" si="7"/>
        <v>1</v>
      </c>
      <c r="N188" s="419">
        <f t="shared" si="9"/>
        <v>1</v>
      </c>
      <c r="O188" s="419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1">
        <f>All_Detail_v2[[#This Row],[Scheduled Date]]</f>
        <v>46100</v>
      </c>
      <c r="S188" s="421">
        <f>All_Detail_v2[[#This Row],[Install Date]]</f>
        <v>46100</v>
      </c>
    </row>
    <row r="189" spans="1:19">
      <c r="A189">
        <v>185</v>
      </c>
      <c r="B189" s="704" t="s">
        <v>352</v>
      </c>
      <c r="C189" s="706" t="s">
        <v>436</v>
      </c>
      <c r="D189" s="706" t="s">
        <v>468</v>
      </c>
      <c r="E189" s="706" t="s">
        <v>360</v>
      </c>
      <c r="F189" s="706">
        <v>1</v>
      </c>
      <c r="G189" s="706">
        <v>1</v>
      </c>
      <c r="H189" s="720">
        <v>46100</v>
      </c>
      <c r="I189" s="720">
        <v>46100</v>
      </c>
      <c r="J189" s="706" t="s">
        <v>358</v>
      </c>
      <c r="K189" t="str">
        <f t="shared" si="8"/>
        <v>Switch</v>
      </c>
      <c r="M189" s="419">
        <f t="shared" si="7"/>
        <v>1</v>
      </c>
      <c r="N189" s="419">
        <f t="shared" si="9"/>
        <v>1</v>
      </c>
      <c r="O189" s="419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1">
        <f>All_Detail_v2[[#This Row],[Scheduled Date]]</f>
        <v>46100</v>
      </c>
      <c r="S189" s="421">
        <f>All_Detail_v2[[#This Row],[Install Date]]</f>
        <v>46100</v>
      </c>
    </row>
    <row r="190" spans="1:19">
      <c r="A190">
        <v>186</v>
      </c>
      <c r="B190" s="704" t="s">
        <v>352</v>
      </c>
      <c r="C190" s="706" t="s">
        <v>436</v>
      </c>
      <c r="D190" s="706" t="s">
        <v>469</v>
      </c>
      <c r="E190" s="706" t="s">
        <v>360</v>
      </c>
      <c r="F190" s="706">
        <v>1</v>
      </c>
      <c r="G190" s="706">
        <v>1</v>
      </c>
      <c r="H190" s="720">
        <v>46100</v>
      </c>
      <c r="I190" s="720">
        <v>46100</v>
      </c>
      <c r="J190" s="706" t="s">
        <v>358</v>
      </c>
      <c r="K190" t="str">
        <f t="shared" si="8"/>
        <v>Switch</v>
      </c>
      <c r="M190" s="419">
        <f t="shared" si="7"/>
        <v>1</v>
      </c>
      <c r="N190" s="419">
        <f t="shared" si="9"/>
        <v>1</v>
      </c>
      <c r="O190" s="419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1">
        <f>All_Detail_v2[[#This Row],[Scheduled Date]]</f>
        <v>46100</v>
      </c>
      <c r="S190" s="421">
        <f>All_Detail_v2[[#This Row],[Install Date]]</f>
        <v>46100</v>
      </c>
    </row>
    <row r="191" spans="1:19">
      <c r="A191">
        <v>187</v>
      </c>
      <c r="B191" s="704" t="s">
        <v>352</v>
      </c>
      <c r="C191" s="706" t="s">
        <v>436</v>
      </c>
      <c r="D191" s="706" t="s">
        <v>469</v>
      </c>
      <c r="E191" s="706" t="s">
        <v>365</v>
      </c>
      <c r="F191" s="706">
        <v>1</v>
      </c>
      <c r="G191" s="706">
        <v>1</v>
      </c>
      <c r="H191" s="720">
        <v>46100</v>
      </c>
      <c r="I191" s="720">
        <v>46100</v>
      </c>
      <c r="J191" s="706" t="s">
        <v>358</v>
      </c>
      <c r="K191" t="str">
        <f t="shared" si="8"/>
        <v>Switch</v>
      </c>
      <c r="M191" s="419">
        <f t="shared" si="7"/>
        <v>1</v>
      </c>
      <c r="N191" s="419">
        <f t="shared" si="9"/>
        <v>1</v>
      </c>
      <c r="O191" s="419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1">
        <f>All_Detail_v2[[#This Row],[Scheduled Date]]</f>
        <v>46100</v>
      </c>
      <c r="S191" s="421">
        <f>All_Detail_v2[[#This Row],[Install Date]]</f>
        <v>46100</v>
      </c>
    </row>
    <row r="192" spans="1:19">
      <c r="A192">
        <v>188</v>
      </c>
      <c r="B192" s="704" t="s">
        <v>352</v>
      </c>
      <c r="C192" s="706" t="s">
        <v>436</v>
      </c>
      <c r="D192" s="706" t="s">
        <v>470</v>
      </c>
      <c r="E192" s="706" t="s">
        <v>360</v>
      </c>
      <c r="F192" s="706">
        <v>1</v>
      </c>
      <c r="G192" s="706">
        <v>1</v>
      </c>
      <c r="H192" s="720">
        <v>46100</v>
      </c>
      <c r="I192" s="720">
        <v>46100</v>
      </c>
      <c r="J192" s="706" t="s">
        <v>358</v>
      </c>
      <c r="K192" t="str">
        <f t="shared" si="8"/>
        <v>Switch</v>
      </c>
      <c r="M192" s="419">
        <f t="shared" si="7"/>
        <v>1</v>
      </c>
      <c r="N192" s="419">
        <f t="shared" si="9"/>
        <v>1</v>
      </c>
      <c r="O192" s="419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1">
        <f>All_Detail_v2[[#This Row],[Scheduled Date]]</f>
        <v>46100</v>
      </c>
      <c r="S192" s="421">
        <f>All_Detail_v2[[#This Row],[Install Date]]</f>
        <v>46100</v>
      </c>
    </row>
    <row r="193" spans="1:19">
      <c r="A193">
        <v>189</v>
      </c>
      <c r="B193" s="704" t="s">
        <v>352</v>
      </c>
      <c r="C193" s="706" t="s">
        <v>471</v>
      </c>
      <c r="D193" s="706" t="s">
        <v>40</v>
      </c>
      <c r="E193" s="706" t="s">
        <v>354</v>
      </c>
      <c r="F193" s="706">
        <v>19</v>
      </c>
      <c r="G193" s="706"/>
      <c r="H193" s="720"/>
      <c r="I193" s="720">
        <v>46113</v>
      </c>
      <c r="J193" s="706" t="s">
        <v>355</v>
      </c>
      <c r="K193" t="str">
        <f t="shared" si="8"/>
        <v>AP</v>
      </c>
      <c r="M193" s="419">
        <f t="shared" si="7"/>
        <v>0</v>
      </c>
      <c r="N193" s="419">
        <f t="shared" si="9"/>
        <v>0</v>
      </c>
      <c r="O193" s="419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1">
        <f>All_Detail_v2[[#This Row],[Scheduled Date]]</f>
        <v>46113</v>
      </c>
      <c r="S193" s="421">
        <f>All_Detail_v2[[#This Row],[Install Date]]</f>
        <v>0</v>
      </c>
    </row>
    <row r="194" spans="1:19">
      <c r="A194">
        <v>190</v>
      </c>
      <c r="B194" s="704" t="s">
        <v>352</v>
      </c>
      <c r="C194" s="706" t="s">
        <v>471</v>
      </c>
      <c r="D194" s="706" t="s">
        <v>472</v>
      </c>
      <c r="E194" s="706" t="s">
        <v>360</v>
      </c>
      <c r="F194" s="706">
        <v>2</v>
      </c>
      <c r="G194" s="706">
        <v>1</v>
      </c>
      <c r="H194" s="720">
        <v>46063</v>
      </c>
      <c r="I194" s="720">
        <v>46114</v>
      </c>
      <c r="J194" s="706" t="s">
        <v>355</v>
      </c>
      <c r="K194" t="str">
        <f t="shared" si="8"/>
        <v>Switch</v>
      </c>
      <c r="M194" s="419">
        <f t="shared" ref="M194:M257" si="10">O194</f>
        <v>1</v>
      </c>
      <c r="N194" s="419">
        <f t="shared" si="9"/>
        <v>1</v>
      </c>
      <c r="O194" s="419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1">
        <f>All_Detail_v2[[#This Row],[Scheduled Date]]</f>
        <v>46114</v>
      </c>
      <c r="S194" s="421">
        <f>All_Detail_v2[[#This Row],[Install Date]]</f>
        <v>46063</v>
      </c>
    </row>
    <row r="195" spans="1:19">
      <c r="A195">
        <v>191</v>
      </c>
      <c r="B195" s="704" t="s">
        <v>352</v>
      </c>
      <c r="C195" s="706" t="s">
        <v>471</v>
      </c>
      <c r="D195" s="706" t="s">
        <v>472</v>
      </c>
      <c r="E195" s="706" t="s">
        <v>365</v>
      </c>
      <c r="F195" s="706">
        <v>1</v>
      </c>
      <c r="G195" s="706"/>
      <c r="H195" s="720"/>
      <c r="I195" s="720">
        <v>46114</v>
      </c>
      <c r="J195" s="706" t="s">
        <v>355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9">
        <f t="shared" si="10"/>
        <v>0</v>
      </c>
      <c r="N195" s="419">
        <f t="shared" si="9"/>
        <v>0</v>
      </c>
      <c r="O195" s="419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1">
        <f>All_Detail_v2[[#This Row],[Scheduled Date]]</f>
        <v>46114</v>
      </c>
      <c r="S195" s="421">
        <f>All_Detail_v2[[#This Row],[Install Date]]</f>
        <v>0</v>
      </c>
    </row>
    <row r="196" spans="1:19">
      <c r="A196">
        <v>192</v>
      </c>
      <c r="B196" s="704" t="s">
        <v>352</v>
      </c>
      <c r="C196" s="706" t="s">
        <v>471</v>
      </c>
      <c r="D196" s="706" t="s">
        <v>473</v>
      </c>
      <c r="E196" s="706" t="s">
        <v>360</v>
      </c>
      <c r="F196" s="706">
        <v>2</v>
      </c>
      <c r="G196" s="706"/>
      <c r="H196" s="720"/>
      <c r="I196" s="720">
        <v>46114</v>
      </c>
      <c r="J196" s="706" t="s">
        <v>355</v>
      </c>
      <c r="K196" t="str">
        <f t="shared" si="11"/>
        <v>Switch</v>
      </c>
      <c r="M196" s="419">
        <f t="shared" si="10"/>
        <v>0</v>
      </c>
      <c r="N196" s="419">
        <f t="shared" si="9"/>
        <v>0</v>
      </c>
      <c r="O196" s="419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1">
        <f>All_Detail_v2[[#This Row],[Scheduled Date]]</f>
        <v>46114</v>
      </c>
      <c r="S196" s="421">
        <f>All_Detail_v2[[#This Row],[Install Date]]</f>
        <v>0</v>
      </c>
    </row>
    <row r="197" spans="1:19">
      <c r="A197">
        <v>193</v>
      </c>
      <c r="B197" s="704" t="s">
        <v>352</v>
      </c>
      <c r="C197" s="706" t="s">
        <v>471</v>
      </c>
      <c r="D197" s="706" t="s">
        <v>474</v>
      </c>
      <c r="E197" s="706" t="s">
        <v>360</v>
      </c>
      <c r="F197" s="706">
        <v>1</v>
      </c>
      <c r="G197" s="706"/>
      <c r="H197" s="720"/>
      <c r="I197" s="720">
        <v>46114</v>
      </c>
      <c r="J197" s="706" t="s">
        <v>355</v>
      </c>
      <c r="K197" t="str">
        <f t="shared" si="11"/>
        <v>Switch</v>
      </c>
      <c r="M197" s="419">
        <f t="shared" si="10"/>
        <v>0</v>
      </c>
      <c r="N197" s="419">
        <f t="shared" si="9"/>
        <v>0</v>
      </c>
      <c r="O197" s="419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1">
        <f>All_Detail_v2[[#This Row],[Scheduled Date]]</f>
        <v>46114</v>
      </c>
      <c r="S197" s="421">
        <f>All_Detail_v2[[#This Row],[Install Date]]</f>
        <v>0</v>
      </c>
    </row>
    <row r="198" spans="1:19">
      <c r="A198">
        <v>194</v>
      </c>
      <c r="B198" s="704" t="s">
        <v>352</v>
      </c>
      <c r="C198" s="706" t="s">
        <v>471</v>
      </c>
      <c r="D198" s="706" t="s">
        <v>474</v>
      </c>
      <c r="E198" s="706" t="s">
        <v>365</v>
      </c>
      <c r="F198" s="706">
        <v>1</v>
      </c>
      <c r="G198" s="706"/>
      <c r="H198" s="720"/>
      <c r="I198" s="720">
        <v>46114</v>
      </c>
      <c r="J198" s="706" t="s">
        <v>355</v>
      </c>
      <c r="K198" t="str">
        <f t="shared" si="11"/>
        <v>Switch</v>
      </c>
      <c r="M198" s="419">
        <f t="shared" si="10"/>
        <v>0</v>
      </c>
      <c r="N198" s="419">
        <f t="shared" ref="N198:N261" si="12">O198</f>
        <v>0</v>
      </c>
      <c r="O198" s="419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1">
        <f>All_Detail_v2[[#This Row],[Scheduled Date]]</f>
        <v>46114</v>
      </c>
      <c r="S198" s="421">
        <f>All_Detail_v2[[#This Row],[Install Date]]</f>
        <v>0</v>
      </c>
    </row>
    <row r="199" spans="1:19">
      <c r="A199">
        <v>195</v>
      </c>
      <c r="B199" s="704" t="s">
        <v>352</v>
      </c>
      <c r="C199" s="706" t="s">
        <v>471</v>
      </c>
      <c r="D199" s="706" t="s">
        <v>475</v>
      </c>
      <c r="E199" s="706" t="s">
        <v>476</v>
      </c>
      <c r="F199" s="706">
        <v>4</v>
      </c>
      <c r="G199" s="706">
        <v>4</v>
      </c>
      <c r="H199" s="720">
        <v>46063</v>
      </c>
      <c r="I199" s="720">
        <v>46063</v>
      </c>
      <c r="J199" s="706" t="s">
        <v>358</v>
      </c>
      <c r="K199" t="str">
        <f t="shared" si="11"/>
        <v>Switch</v>
      </c>
      <c r="M199" s="419">
        <f t="shared" si="10"/>
        <v>4</v>
      </c>
      <c r="N199" s="419">
        <f t="shared" si="12"/>
        <v>4</v>
      </c>
      <c r="O199" s="419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1">
        <f>All_Detail_v2[[#This Row],[Scheduled Date]]</f>
        <v>46063</v>
      </c>
      <c r="S199" s="421">
        <f>All_Detail_v2[[#This Row],[Install Date]]</f>
        <v>46063</v>
      </c>
    </row>
    <row r="200" spans="1:19">
      <c r="A200">
        <v>196</v>
      </c>
      <c r="B200" s="704" t="s">
        <v>352</v>
      </c>
      <c r="C200" s="706" t="s">
        <v>471</v>
      </c>
      <c r="D200" s="706" t="s">
        <v>475</v>
      </c>
      <c r="E200" s="706" t="s">
        <v>360</v>
      </c>
      <c r="F200" s="706">
        <v>10</v>
      </c>
      <c r="G200" s="706"/>
      <c r="H200" s="720"/>
      <c r="I200" s="720">
        <v>46119</v>
      </c>
      <c r="J200" s="706" t="s">
        <v>355</v>
      </c>
      <c r="K200" t="str">
        <f t="shared" si="11"/>
        <v>Switch</v>
      </c>
      <c r="M200" s="419">
        <f t="shared" si="10"/>
        <v>0</v>
      </c>
      <c r="N200" s="419">
        <f t="shared" si="12"/>
        <v>0</v>
      </c>
      <c r="O200" s="419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1">
        <f>All_Detail_v2[[#This Row],[Scheduled Date]]</f>
        <v>46119</v>
      </c>
      <c r="S200" s="421">
        <f>All_Detail_v2[[#This Row],[Install Date]]</f>
        <v>0</v>
      </c>
    </row>
    <row r="201" spans="1:19">
      <c r="A201">
        <v>197</v>
      </c>
      <c r="B201" s="704" t="s">
        <v>352</v>
      </c>
      <c r="C201" s="706" t="s">
        <v>471</v>
      </c>
      <c r="D201" s="706" t="s">
        <v>475</v>
      </c>
      <c r="E201" s="706" t="s">
        <v>365</v>
      </c>
      <c r="F201" s="706">
        <v>2</v>
      </c>
      <c r="G201" s="706"/>
      <c r="H201" s="720"/>
      <c r="I201" s="720">
        <v>46119</v>
      </c>
      <c r="J201" s="706" t="s">
        <v>355</v>
      </c>
      <c r="K201" t="str">
        <f t="shared" si="11"/>
        <v>Switch</v>
      </c>
      <c r="M201" s="419">
        <f t="shared" si="10"/>
        <v>0</v>
      </c>
      <c r="N201" s="419">
        <f t="shared" si="12"/>
        <v>0</v>
      </c>
      <c r="O201" s="419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1">
        <f>All_Detail_v2[[#This Row],[Scheduled Date]]</f>
        <v>46119</v>
      </c>
      <c r="S201" s="421">
        <f>All_Detail_v2[[#This Row],[Install Date]]</f>
        <v>0</v>
      </c>
    </row>
    <row r="202" spans="1:19">
      <c r="A202">
        <v>198</v>
      </c>
      <c r="B202" s="704" t="s">
        <v>352</v>
      </c>
      <c r="C202" s="706" t="s">
        <v>471</v>
      </c>
      <c r="D202" s="706" t="s">
        <v>475</v>
      </c>
      <c r="E202" s="706" t="s">
        <v>402</v>
      </c>
      <c r="F202" s="706">
        <v>2</v>
      </c>
      <c r="G202" s="706"/>
      <c r="H202" s="720"/>
      <c r="I202" s="720">
        <v>46119</v>
      </c>
      <c r="J202" s="706" t="s">
        <v>355</v>
      </c>
      <c r="K202" t="str">
        <f t="shared" si="11"/>
        <v>Switch</v>
      </c>
      <c r="M202" s="419">
        <f t="shared" si="10"/>
        <v>0</v>
      </c>
      <c r="N202" s="419">
        <f t="shared" si="12"/>
        <v>0</v>
      </c>
      <c r="O202" s="419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1">
        <f>All_Detail_v2[[#This Row],[Scheduled Date]]</f>
        <v>46119</v>
      </c>
      <c r="S202" s="421">
        <f>All_Detail_v2[[#This Row],[Install Date]]</f>
        <v>0</v>
      </c>
    </row>
    <row r="203" spans="1:19">
      <c r="A203">
        <v>199</v>
      </c>
      <c r="B203" s="704" t="s">
        <v>352</v>
      </c>
      <c r="C203" s="706" t="s">
        <v>471</v>
      </c>
      <c r="D203" s="706" t="s">
        <v>475</v>
      </c>
      <c r="E203" s="706" t="s">
        <v>477</v>
      </c>
      <c r="F203" s="706">
        <v>2</v>
      </c>
      <c r="G203" s="706">
        <v>2</v>
      </c>
      <c r="H203" s="720">
        <v>46063</v>
      </c>
      <c r="I203" s="720">
        <v>46063</v>
      </c>
      <c r="J203" s="706" t="s">
        <v>358</v>
      </c>
      <c r="K203" t="str">
        <f t="shared" si="11"/>
        <v>Infra</v>
      </c>
      <c r="M203" s="419">
        <f t="shared" si="10"/>
        <v>2</v>
      </c>
      <c r="N203" s="419">
        <f t="shared" si="12"/>
        <v>2</v>
      </c>
      <c r="O203" s="419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1">
        <f>All_Detail_v2[[#This Row],[Scheduled Date]]</f>
        <v>46063</v>
      </c>
      <c r="S203" s="421">
        <f>All_Detail_v2[[#This Row],[Install Date]]</f>
        <v>46063</v>
      </c>
    </row>
    <row r="204" spans="1:19">
      <c r="A204">
        <v>200</v>
      </c>
      <c r="B204" s="704" t="s">
        <v>352</v>
      </c>
      <c r="C204" s="706" t="s">
        <v>471</v>
      </c>
      <c r="D204" s="706" t="s">
        <v>475</v>
      </c>
      <c r="E204" s="706" t="s">
        <v>478</v>
      </c>
      <c r="F204" s="706">
        <v>3</v>
      </c>
      <c r="G204" s="706">
        <v>3</v>
      </c>
      <c r="H204" s="720">
        <v>46063</v>
      </c>
      <c r="I204" s="720">
        <v>46063</v>
      </c>
      <c r="J204" s="706" t="s">
        <v>358</v>
      </c>
      <c r="K204" t="str">
        <f t="shared" si="11"/>
        <v>Infra</v>
      </c>
      <c r="M204" s="419">
        <f t="shared" si="10"/>
        <v>3</v>
      </c>
      <c r="N204" s="419">
        <f t="shared" si="12"/>
        <v>3</v>
      </c>
      <c r="O204" s="419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1">
        <f>All_Detail_v2[[#This Row],[Scheduled Date]]</f>
        <v>46063</v>
      </c>
      <c r="S204" s="421">
        <f>All_Detail_v2[[#This Row],[Install Date]]</f>
        <v>46063</v>
      </c>
    </row>
    <row r="205" spans="1:19">
      <c r="A205">
        <v>201</v>
      </c>
      <c r="B205" s="704" t="s">
        <v>352</v>
      </c>
      <c r="C205" s="706" t="s">
        <v>471</v>
      </c>
      <c r="D205" s="706" t="s">
        <v>475</v>
      </c>
      <c r="E205" s="706" t="s">
        <v>479</v>
      </c>
      <c r="F205" s="706">
        <v>1</v>
      </c>
      <c r="G205" s="706">
        <v>1</v>
      </c>
      <c r="H205" s="720">
        <v>46063</v>
      </c>
      <c r="I205" s="720">
        <v>46063</v>
      </c>
      <c r="J205" s="706" t="s">
        <v>358</v>
      </c>
      <c r="K205" t="str">
        <f t="shared" si="11"/>
        <v>Infra</v>
      </c>
      <c r="L205" s="649" t="s">
        <v>416</v>
      </c>
      <c r="M205" s="419">
        <f t="shared" si="10"/>
        <v>1</v>
      </c>
      <c r="N205" s="419">
        <f t="shared" si="12"/>
        <v>1</v>
      </c>
      <c r="O205" s="419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1">
        <f>All_Detail_v2[[#This Row],[Scheduled Date]]</f>
        <v>46063</v>
      </c>
      <c r="S205" s="421">
        <f>All_Detail_v2[[#This Row],[Install Date]]</f>
        <v>46063</v>
      </c>
    </row>
    <row r="206" spans="1:19">
      <c r="A206">
        <v>202</v>
      </c>
      <c r="B206" s="704" t="s">
        <v>352</v>
      </c>
      <c r="C206" s="706" t="s">
        <v>471</v>
      </c>
      <c r="D206" s="706" t="s">
        <v>480</v>
      </c>
      <c r="E206" s="706" t="s">
        <v>360</v>
      </c>
      <c r="F206" s="706">
        <v>1</v>
      </c>
      <c r="G206" s="706"/>
      <c r="H206" s="720"/>
      <c r="I206" s="720">
        <v>46120</v>
      </c>
      <c r="J206" s="706" t="s">
        <v>355</v>
      </c>
      <c r="K206" t="str">
        <f t="shared" si="11"/>
        <v>Switch</v>
      </c>
      <c r="M206" s="419">
        <f t="shared" si="10"/>
        <v>0</v>
      </c>
      <c r="N206" s="419">
        <f t="shared" si="12"/>
        <v>0</v>
      </c>
      <c r="O206" s="419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1">
        <f>All_Detail_v2[[#This Row],[Scheduled Date]]</f>
        <v>46120</v>
      </c>
      <c r="S206" s="421">
        <f>All_Detail_v2[[#This Row],[Install Date]]</f>
        <v>0</v>
      </c>
    </row>
    <row r="207" spans="1:19">
      <c r="A207">
        <v>203</v>
      </c>
      <c r="B207" s="704" t="s">
        <v>352</v>
      </c>
      <c r="C207" s="706" t="s">
        <v>471</v>
      </c>
      <c r="D207" s="706" t="s">
        <v>480</v>
      </c>
      <c r="E207" s="706" t="s">
        <v>365</v>
      </c>
      <c r="F207" s="706">
        <v>1</v>
      </c>
      <c r="G207" s="706"/>
      <c r="H207" s="720"/>
      <c r="I207" s="720">
        <v>46120</v>
      </c>
      <c r="J207" s="706" t="s">
        <v>355</v>
      </c>
      <c r="K207" t="str">
        <f t="shared" si="11"/>
        <v>Switch</v>
      </c>
      <c r="M207" s="419">
        <f t="shared" si="10"/>
        <v>0</v>
      </c>
      <c r="N207" s="419">
        <f t="shared" si="12"/>
        <v>0</v>
      </c>
      <c r="O207" s="419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1">
        <f>All_Detail_v2[[#This Row],[Scheduled Date]]</f>
        <v>46120</v>
      </c>
      <c r="S207" s="421">
        <f>All_Detail_v2[[#This Row],[Install Date]]</f>
        <v>0</v>
      </c>
    </row>
    <row r="208" spans="1:19">
      <c r="A208">
        <v>204</v>
      </c>
      <c r="B208" s="704" t="s">
        <v>352</v>
      </c>
      <c r="C208" s="706" t="s">
        <v>471</v>
      </c>
      <c r="D208" s="706" t="s">
        <v>481</v>
      </c>
      <c r="E208" s="706" t="s">
        <v>360</v>
      </c>
      <c r="F208" s="706">
        <v>1</v>
      </c>
      <c r="G208" s="706"/>
      <c r="H208" s="720"/>
      <c r="I208" s="720">
        <v>46120</v>
      </c>
      <c r="J208" s="706" t="s">
        <v>355</v>
      </c>
      <c r="K208" t="str">
        <f t="shared" si="11"/>
        <v>Switch</v>
      </c>
      <c r="M208" s="419">
        <f t="shared" si="10"/>
        <v>0</v>
      </c>
      <c r="N208" s="419">
        <f t="shared" si="12"/>
        <v>0</v>
      </c>
      <c r="O208" s="419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1">
        <f>All_Detail_v2[[#This Row],[Scheduled Date]]</f>
        <v>46120</v>
      </c>
      <c r="S208" s="421">
        <f>All_Detail_v2[[#This Row],[Install Date]]</f>
        <v>0</v>
      </c>
    </row>
    <row r="209" spans="1:19">
      <c r="A209">
        <v>205</v>
      </c>
      <c r="B209" s="704" t="s">
        <v>352</v>
      </c>
      <c r="C209" s="706" t="s">
        <v>471</v>
      </c>
      <c r="D209" s="706" t="s">
        <v>481</v>
      </c>
      <c r="E209" s="706" t="s">
        <v>365</v>
      </c>
      <c r="F209" s="706">
        <v>1</v>
      </c>
      <c r="G209" s="706"/>
      <c r="H209" s="720"/>
      <c r="I209" s="720">
        <v>46120</v>
      </c>
      <c r="J209" s="706" t="s">
        <v>355</v>
      </c>
      <c r="K209" t="str">
        <f t="shared" si="11"/>
        <v>Switch</v>
      </c>
      <c r="M209" s="419">
        <f t="shared" si="10"/>
        <v>0</v>
      </c>
      <c r="N209" s="419">
        <f t="shared" si="12"/>
        <v>0</v>
      </c>
      <c r="O209" s="419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1">
        <f>All_Detail_v2[[#This Row],[Scheduled Date]]</f>
        <v>46120</v>
      </c>
      <c r="S209" s="421">
        <f>All_Detail_v2[[#This Row],[Install Date]]</f>
        <v>0</v>
      </c>
    </row>
    <row r="210" spans="1:19">
      <c r="A210">
        <v>206</v>
      </c>
      <c r="B210" s="704" t="s">
        <v>352</v>
      </c>
      <c r="C210" s="706" t="s">
        <v>471</v>
      </c>
      <c r="D210" s="706" t="s">
        <v>482</v>
      </c>
      <c r="E210" s="706" t="s">
        <v>360</v>
      </c>
      <c r="F210" s="706">
        <v>1</v>
      </c>
      <c r="G210" s="706"/>
      <c r="H210" s="720"/>
      <c r="I210" s="720">
        <v>46120</v>
      </c>
      <c r="J210" s="706" t="s">
        <v>355</v>
      </c>
      <c r="K210" t="str">
        <f t="shared" si="11"/>
        <v>Switch</v>
      </c>
      <c r="M210" s="419">
        <f t="shared" si="10"/>
        <v>0</v>
      </c>
      <c r="N210" s="419">
        <f t="shared" si="12"/>
        <v>0</v>
      </c>
      <c r="O210" s="419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1">
        <f>All_Detail_v2[[#This Row],[Scheduled Date]]</f>
        <v>46120</v>
      </c>
      <c r="S210" s="421">
        <f>All_Detail_v2[[#This Row],[Install Date]]</f>
        <v>0</v>
      </c>
    </row>
    <row r="211" spans="1:19">
      <c r="A211">
        <v>207</v>
      </c>
      <c r="B211" s="704" t="s">
        <v>352</v>
      </c>
      <c r="C211" s="706" t="s">
        <v>471</v>
      </c>
      <c r="D211" s="706" t="s">
        <v>482</v>
      </c>
      <c r="E211" s="706" t="s">
        <v>365</v>
      </c>
      <c r="F211" s="706">
        <v>1</v>
      </c>
      <c r="G211" s="706"/>
      <c r="H211" s="720"/>
      <c r="I211" s="720">
        <v>46120</v>
      </c>
      <c r="J211" s="706" t="s">
        <v>355</v>
      </c>
      <c r="K211" t="str">
        <f t="shared" si="11"/>
        <v>Switch</v>
      </c>
      <c r="M211" s="419">
        <f t="shared" si="10"/>
        <v>0</v>
      </c>
      <c r="N211" s="419">
        <f t="shared" si="12"/>
        <v>0</v>
      </c>
      <c r="O211" s="419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1">
        <f>All_Detail_v2[[#This Row],[Scheduled Date]]</f>
        <v>46120</v>
      </c>
      <c r="S211" s="421">
        <f>All_Detail_v2[[#This Row],[Install Date]]</f>
        <v>0</v>
      </c>
    </row>
    <row r="212" spans="1:19">
      <c r="A212">
        <v>208</v>
      </c>
      <c r="B212" s="704" t="s">
        <v>352</v>
      </c>
      <c r="C212" s="706" t="s">
        <v>471</v>
      </c>
      <c r="D212" s="705" t="s">
        <v>483</v>
      </c>
      <c r="E212" s="706" t="s">
        <v>360</v>
      </c>
      <c r="F212" s="706">
        <v>4</v>
      </c>
      <c r="G212" s="706"/>
      <c r="H212" s="720"/>
      <c r="I212" s="720">
        <v>46120</v>
      </c>
      <c r="J212" s="706" t="s">
        <v>355</v>
      </c>
      <c r="K212" t="str">
        <f t="shared" si="11"/>
        <v>Switch</v>
      </c>
      <c r="M212" s="419">
        <f t="shared" si="10"/>
        <v>0</v>
      </c>
      <c r="N212" s="419">
        <f t="shared" si="12"/>
        <v>0</v>
      </c>
      <c r="O212" s="419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1">
        <f>All_Detail_v2[[#This Row],[Scheduled Date]]</f>
        <v>46120</v>
      </c>
      <c r="S212" s="421">
        <f>All_Detail_v2[[#This Row],[Install Date]]</f>
        <v>0</v>
      </c>
    </row>
    <row r="213" spans="1:19">
      <c r="A213">
        <v>209</v>
      </c>
      <c r="B213" s="704" t="s">
        <v>352</v>
      </c>
      <c r="C213" s="706" t="s">
        <v>471</v>
      </c>
      <c r="D213" s="705" t="s">
        <v>483</v>
      </c>
      <c r="E213" s="706" t="s">
        <v>365</v>
      </c>
      <c r="F213" s="706">
        <v>4</v>
      </c>
      <c r="G213" s="706"/>
      <c r="H213" s="720"/>
      <c r="I213" s="720">
        <v>46120</v>
      </c>
      <c r="J213" s="706" t="s">
        <v>355</v>
      </c>
      <c r="K213" t="str">
        <f t="shared" si="11"/>
        <v>Switch</v>
      </c>
      <c r="M213" s="419">
        <f t="shared" si="10"/>
        <v>0</v>
      </c>
      <c r="N213" s="419">
        <f t="shared" si="12"/>
        <v>0</v>
      </c>
      <c r="O213" s="419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1">
        <f>All_Detail_v2[[#This Row],[Scheduled Date]]</f>
        <v>46120</v>
      </c>
      <c r="S213" s="421">
        <f>All_Detail_v2[[#This Row],[Install Date]]</f>
        <v>0</v>
      </c>
    </row>
    <row r="214" spans="1:19">
      <c r="A214">
        <v>210</v>
      </c>
      <c r="B214" s="704" t="s">
        <v>352</v>
      </c>
      <c r="C214" s="706" t="s">
        <v>484</v>
      </c>
      <c r="D214" s="706" t="s">
        <v>485</v>
      </c>
      <c r="E214" s="706" t="s">
        <v>360</v>
      </c>
      <c r="F214" s="706">
        <v>2</v>
      </c>
      <c r="G214" s="706">
        <v>2</v>
      </c>
      <c r="H214" s="720">
        <v>46097</v>
      </c>
      <c r="I214" s="720">
        <v>46097</v>
      </c>
      <c r="J214" s="706" t="s">
        <v>358</v>
      </c>
      <c r="K214" t="str">
        <f t="shared" si="11"/>
        <v>Switch</v>
      </c>
      <c r="M214" s="419">
        <f t="shared" si="10"/>
        <v>2</v>
      </c>
      <c r="N214" s="419">
        <f t="shared" si="12"/>
        <v>2</v>
      </c>
      <c r="O214" s="419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1">
        <f>All_Detail_v2[[#This Row],[Scheduled Date]]</f>
        <v>46097</v>
      </c>
      <c r="S214" s="421">
        <f>All_Detail_v2[[#This Row],[Install Date]]</f>
        <v>46097</v>
      </c>
    </row>
    <row r="215" spans="1:19">
      <c r="A215">
        <v>211</v>
      </c>
      <c r="B215" s="704" t="s">
        <v>352</v>
      </c>
      <c r="C215" s="706" t="s">
        <v>484</v>
      </c>
      <c r="D215" s="706" t="s">
        <v>485</v>
      </c>
      <c r="E215" s="706" t="s">
        <v>365</v>
      </c>
      <c r="F215" s="706">
        <v>1</v>
      </c>
      <c r="G215" s="706">
        <v>1</v>
      </c>
      <c r="H215" s="720">
        <v>46097</v>
      </c>
      <c r="I215" s="720">
        <v>46097</v>
      </c>
      <c r="J215" s="706" t="s">
        <v>358</v>
      </c>
      <c r="K215" t="str">
        <f t="shared" si="11"/>
        <v>Switch</v>
      </c>
      <c r="M215" s="419">
        <f t="shared" si="10"/>
        <v>1</v>
      </c>
      <c r="N215" s="419">
        <f t="shared" si="12"/>
        <v>1</v>
      </c>
      <c r="O215" s="419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1">
        <f>All_Detail_v2[[#This Row],[Scheduled Date]]</f>
        <v>46097</v>
      </c>
      <c r="S215" s="421">
        <f>All_Detail_v2[[#This Row],[Install Date]]</f>
        <v>46097</v>
      </c>
    </row>
    <row r="216" spans="1:19">
      <c r="A216">
        <v>212</v>
      </c>
      <c r="B216" s="704" t="s">
        <v>352</v>
      </c>
      <c r="C216" s="706" t="s">
        <v>484</v>
      </c>
      <c r="D216" s="706" t="s">
        <v>485</v>
      </c>
      <c r="E216" s="706" t="s">
        <v>400</v>
      </c>
      <c r="F216" s="706">
        <v>1</v>
      </c>
      <c r="G216" s="706">
        <v>1</v>
      </c>
      <c r="H216" s="720">
        <v>46087</v>
      </c>
      <c r="I216" s="720">
        <v>46087</v>
      </c>
      <c r="J216" s="706" t="s">
        <v>358</v>
      </c>
      <c r="K216" t="str">
        <f t="shared" si="11"/>
        <v>Switch</v>
      </c>
      <c r="M216" s="419">
        <f t="shared" si="10"/>
        <v>1</v>
      </c>
      <c r="N216" s="419">
        <f t="shared" si="12"/>
        <v>1</v>
      </c>
      <c r="O216" s="419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1">
        <f>All_Detail_v2[[#This Row],[Scheduled Date]]</f>
        <v>46087</v>
      </c>
      <c r="S216" s="421">
        <f>All_Detail_v2[[#This Row],[Install Date]]</f>
        <v>46087</v>
      </c>
    </row>
    <row r="217" spans="1:19">
      <c r="A217">
        <v>213</v>
      </c>
      <c r="B217" s="704" t="s">
        <v>352</v>
      </c>
      <c r="C217" s="706" t="s">
        <v>484</v>
      </c>
      <c r="D217" s="706" t="s">
        <v>486</v>
      </c>
      <c r="E217" s="706" t="s">
        <v>360</v>
      </c>
      <c r="F217" s="706">
        <v>1</v>
      </c>
      <c r="G217" s="706">
        <v>1</v>
      </c>
      <c r="H217" s="720">
        <v>46097</v>
      </c>
      <c r="I217" s="720">
        <v>46097</v>
      </c>
      <c r="J217" s="706" t="s">
        <v>358</v>
      </c>
      <c r="K217" t="str">
        <f t="shared" si="11"/>
        <v>Switch</v>
      </c>
      <c r="M217" s="419">
        <f t="shared" si="10"/>
        <v>1</v>
      </c>
      <c r="N217" s="419">
        <f t="shared" si="12"/>
        <v>1</v>
      </c>
      <c r="O217" s="419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1">
        <f>All_Detail_v2[[#This Row],[Scheduled Date]]</f>
        <v>46097</v>
      </c>
      <c r="S217" s="421">
        <f>All_Detail_v2[[#This Row],[Install Date]]</f>
        <v>46097</v>
      </c>
    </row>
    <row r="218" spans="1:19">
      <c r="A218">
        <v>214</v>
      </c>
      <c r="B218" s="704" t="s">
        <v>352</v>
      </c>
      <c r="C218" s="706" t="s">
        <v>484</v>
      </c>
      <c r="D218" s="706" t="s">
        <v>486</v>
      </c>
      <c r="E218" s="706" t="s">
        <v>365</v>
      </c>
      <c r="F218" s="706">
        <v>1</v>
      </c>
      <c r="G218" s="706">
        <v>1</v>
      </c>
      <c r="H218" s="720">
        <v>46097</v>
      </c>
      <c r="I218" s="720">
        <v>46097</v>
      </c>
      <c r="J218" s="706" t="s">
        <v>358</v>
      </c>
      <c r="K218" t="str">
        <f t="shared" si="11"/>
        <v>Switch</v>
      </c>
      <c r="M218" s="419">
        <f t="shared" si="10"/>
        <v>1</v>
      </c>
      <c r="N218" s="419">
        <f t="shared" si="12"/>
        <v>1</v>
      </c>
      <c r="O218" s="419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1">
        <f>All_Detail_v2[[#This Row],[Scheduled Date]]</f>
        <v>46097</v>
      </c>
      <c r="S218" s="421">
        <f>All_Detail_v2[[#This Row],[Install Date]]</f>
        <v>46097</v>
      </c>
    </row>
    <row r="219" spans="1:19">
      <c r="A219">
        <v>215</v>
      </c>
      <c r="B219" s="704" t="s">
        <v>352</v>
      </c>
      <c r="C219" s="706" t="s">
        <v>484</v>
      </c>
      <c r="D219" s="706" t="s">
        <v>486</v>
      </c>
      <c r="E219" s="706" t="s">
        <v>400</v>
      </c>
      <c r="F219" s="706">
        <v>1</v>
      </c>
      <c r="G219" s="706">
        <v>1</v>
      </c>
      <c r="H219" s="720">
        <v>46087</v>
      </c>
      <c r="I219" s="720">
        <v>46087</v>
      </c>
      <c r="J219" s="706" t="s">
        <v>358</v>
      </c>
      <c r="K219" t="str">
        <f t="shared" si="11"/>
        <v>Switch</v>
      </c>
      <c r="M219" s="419">
        <f t="shared" si="10"/>
        <v>1</v>
      </c>
      <c r="N219" s="419">
        <f t="shared" si="12"/>
        <v>1</v>
      </c>
      <c r="O219" s="419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1">
        <f>All_Detail_v2[[#This Row],[Scheduled Date]]</f>
        <v>46087</v>
      </c>
      <c r="S219" s="421">
        <f>All_Detail_v2[[#This Row],[Install Date]]</f>
        <v>46087</v>
      </c>
    </row>
    <row r="220" spans="1:19">
      <c r="A220">
        <v>216</v>
      </c>
      <c r="B220" s="704" t="s">
        <v>352</v>
      </c>
      <c r="C220" s="706" t="s">
        <v>484</v>
      </c>
      <c r="D220" s="706" t="s">
        <v>487</v>
      </c>
      <c r="E220" s="706" t="s">
        <v>360</v>
      </c>
      <c r="F220" s="706">
        <v>2</v>
      </c>
      <c r="G220" s="706">
        <v>2</v>
      </c>
      <c r="H220" s="720">
        <v>46099</v>
      </c>
      <c r="I220" s="720">
        <v>46099</v>
      </c>
      <c r="J220" s="706" t="s">
        <v>358</v>
      </c>
      <c r="K220" t="str">
        <f t="shared" si="11"/>
        <v>Switch</v>
      </c>
      <c r="M220" s="419">
        <f t="shared" si="10"/>
        <v>2</v>
      </c>
      <c r="N220" s="419">
        <f t="shared" si="12"/>
        <v>2</v>
      </c>
      <c r="O220" s="419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1">
        <f>All_Detail_v2[[#This Row],[Scheduled Date]]</f>
        <v>46099</v>
      </c>
      <c r="S220" s="421">
        <f>All_Detail_v2[[#This Row],[Install Date]]</f>
        <v>46099</v>
      </c>
    </row>
    <row r="221" spans="1:19">
      <c r="A221">
        <v>217</v>
      </c>
      <c r="B221" s="704" t="s">
        <v>352</v>
      </c>
      <c r="C221" s="706" t="s">
        <v>484</v>
      </c>
      <c r="D221" s="706" t="s">
        <v>487</v>
      </c>
      <c r="E221" s="706" t="s">
        <v>365</v>
      </c>
      <c r="F221" s="706">
        <v>1</v>
      </c>
      <c r="G221" s="706">
        <v>1</v>
      </c>
      <c r="H221" s="720">
        <v>46099</v>
      </c>
      <c r="I221" s="720">
        <v>46099</v>
      </c>
      <c r="J221" s="706" t="s">
        <v>358</v>
      </c>
      <c r="K221" t="str">
        <f t="shared" si="11"/>
        <v>Switch</v>
      </c>
      <c r="M221" s="419">
        <f t="shared" si="10"/>
        <v>1</v>
      </c>
      <c r="N221" s="419">
        <f t="shared" si="12"/>
        <v>1</v>
      </c>
      <c r="O221" s="419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1">
        <f>All_Detail_v2[[#This Row],[Scheduled Date]]</f>
        <v>46099</v>
      </c>
      <c r="S221" s="421">
        <f>All_Detail_v2[[#This Row],[Install Date]]</f>
        <v>46099</v>
      </c>
    </row>
    <row r="222" spans="1:19">
      <c r="A222">
        <v>218</v>
      </c>
      <c r="B222" s="704" t="s">
        <v>352</v>
      </c>
      <c r="C222" s="706" t="s">
        <v>484</v>
      </c>
      <c r="D222" s="706" t="s">
        <v>487</v>
      </c>
      <c r="E222" s="706" t="s">
        <v>400</v>
      </c>
      <c r="F222" s="706">
        <v>1</v>
      </c>
      <c r="G222" s="706">
        <v>1</v>
      </c>
      <c r="H222" s="720">
        <v>46087</v>
      </c>
      <c r="I222" s="720">
        <v>46087</v>
      </c>
      <c r="J222" s="706" t="s">
        <v>358</v>
      </c>
      <c r="K222" t="str">
        <f t="shared" si="11"/>
        <v>Switch</v>
      </c>
      <c r="M222" s="419">
        <f t="shared" si="10"/>
        <v>1</v>
      </c>
      <c r="N222" s="419">
        <f t="shared" si="12"/>
        <v>1</v>
      </c>
      <c r="O222" s="419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1">
        <f>All_Detail_v2[[#This Row],[Scheduled Date]]</f>
        <v>46087</v>
      </c>
      <c r="S222" s="421">
        <f>All_Detail_v2[[#This Row],[Install Date]]</f>
        <v>46087</v>
      </c>
    </row>
    <row r="223" spans="1:19">
      <c r="A223">
        <v>219</v>
      </c>
      <c r="B223" s="704" t="s">
        <v>352</v>
      </c>
      <c r="C223" s="706" t="s">
        <v>484</v>
      </c>
      <c r="D223" s="706" t="s">
        <v>488</v>
      </c>
      <c r="E223" s="706" t="s">
        <v>360</v>
      </c>
      <c r="F223" s="706">
        <v>1</v>
      </c>
      <c r="G223" s="706">
        <v>1</v>
      </c>
      <c r="H223" s="720">
        <v>46097</v>
      </c>
      <c r="I223" s="720">
        <v>46097</v>
      </c>
      <c r="J223" s="706" t="s">
        <v>358</v>
      </c>
      <c r="K223" t="str">
        <f t="shared" si="11"/>
        <v>Switch</v>
      </c>
      <c r="M223" s="419">
        <f t="shared" si="10"/>
        <v>1</v>
      </c>
      <c r="N223" s="419">
        <f t="shared" si="12"/>
        <v>1</v>
      </c>
      <c r="O223" s="419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1">
        <f>All_Detail_v2[[#This Row],[Scheduled Date]]</f>
        <v>46097</v>
      </c>
      <c r="S223" s="421">
        <f>All_Detail_v2[[#This Row],[Install Date]]</f>
        <v>46097</v>
      </c>
    </row>
    <row r="224" spans="1:19">
      <c r="A224">
        <v>220</v>
      </c>
      <c r="B224" s="704" t="s">
        <v>352</v>
      </c>
      <c r="C224" s="706" t="s">
        <v>484</v>
      </c>
      <c r="D224" s="706" t="s">
        <v>488</v>
      </c>
      <c r="E224" s="706" t="s">
        <v>365</v>
      </c>
      <c r="F224" s="706">
        <v>1</v>
      </c>
      <c r="G224" s="706">
        <v>1</v>
      </c>
      <c r="H224" s="720">
        <v>46097</v>
      </c>
      <c r="I224" s="720">
        <v>46097</v>
      </c>
      <c r="J224" s="706" t="s">
        <v>358</v>
      </c>
      <c r="K224" t="str">
        <f t="shared" si="11"/>
        <v>Switch</v>
      </c>
      <c r="M224" s="419">
        <f t="shared" si="10"/>
        <v>1</v>
      </c>
      <c r="N224" s="419">
        <f t="shared" si="12"/>
        <v>1</v>
      </c>
      <c r="O224" s="419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1">
        <f>All_Detail_v2[[#This Row],[Scheduled Date]]</f>
        <v>46097</v>
      </c>
      <c r="S224" s="421">
        <f>All_Detail_v2[[#This Row],[Install Date]]</f>
        <v>46097</v>
      </c>
    </row>
    <row r="225" spans="1:19">
      <c r="A225">
        <v>221</v>
      </c>
      <c r="B225" s="704" t="s">
        <v>352</v>
      </c>
      <c r="C225" s="706" t="s">
        <v>484</v>
      </c>
      <c r="D225" s="706" t="s">
        <v>488</v>
      </c>
      <c r="E225" s="706" t="s">
        <v>400</v>
      </c>
      <c r="F225" s="706">
        <v>1</v>
      </c>
      <c r="G225" s="706">
        <v>1</v>
      </c>
      <c r="H225" s="720">
        <v>46087</v>
      </c>
      <c r="I225" s="720">
        <v>46087</v>
      </c>
      <c r="J225" s="706" t="s">
        <v>358</v>
      </c>
      <c r="K225" t="str">
        <f t="shared" si="11"/>
        <v>Switch</v>
      </c>
      <c r="M225" s="419">
        <f t="shared" si="10"/>
        <v>1</v>
      </c>
      <c r="N225" s="419">
        <f t="shared" si="12"/>
        <v>1</v>
      </c>
      <c r="O225" s="419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1">
        <f>All_Detail_v2[[#This Row],[Scheduled Date]]</f>
        <v>46087</v>
      </c>
      <c r="S225" s="421">
        <f>All_Detail_v2[[#This Row],[Install Date]]</f>
        <v>46087</v>
      </c>
    </row>
    <row r="226" spans="1:19">
      <c r="A226">
        <v>222</v>
      </c>
      <c r="B226" s="704" t="s">
        <v>352</v>
      </c>
      <c r="C226" s="706" t="s">
        <v>484</v>
      </c>
      <c r="D226" s="706" t="s">
        <v>489</v>
      </c>
      <c r="E226" s="706" t="s">
        <v>360</v>
      </c>
      <c r="F226" s="706">
        <v>1</v>
      </c>
      <c r="G226" s="706">
        <v>1</v>
      </c>
      <c r="H226" s="720">
        <v>46097</v>
      </c>
      <c r="I226" s="720">
        <v>46097</v>
      </c>
      <c r="J226" s="706" t="s">
        <v>358</v>
      </c>
      <c r="K226" t="str">
        <f t="shared" si="11"/>
        <v>Switch</v>
      </c>
      <c r="M226" s="419">
        <f t="shared" si="10"/>
        <v>1</v>
      </c>
      <c r="N226" s="419">
        <f t="shared" si="12"/>
        <v>1</v>
      </c>
      <c r="O226" s="419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1">
        <f>All_Detail_v2[[#This Row],[Scheduled Date]]</f>
        <v>46097</v>
      </c>
      <c r="S226" s="421">
        <f>All_Detail_v2[[#This Row],[Install Date]]</f>
        <v>46097</v>
      </c>
    </row>
    <row r="227" spans="1:19">
      <c r="A227">
        <v>223</v>
      </c>
      <c r="B227" s="704" t="s">
        <v>352</v>
      </c>
      <c r="C227" s="706" t="s">
        <v>484</v>
      </c>
      <c r="D227" s="706" t="s">
        <v>489</v>
      </c>
      <c r="E227" s="706" t="s">
        <v>365</v>
      </c>
      <c r="F227" s="706">
        <v>2</v>
      </c>
      <c r="G227" s="706">
        <v>2</v>
      </c>
      <c r="H227" s="720">
        <v>46097</v>
      </c>
      <c r="I227" s="720">
        <v>46097</v>
      </c>
      <c r="J227" s="706" t="s">
        <v>358</v>
      </c>
      <c r="K227" t="str">
        <f t="shared" si="11"/>
        <v>Switch</v>
      </c>
      <c r="M227" s="419">
        <f t="shared" si="10"/>
        <v>2</v>
      </c>
      <c r="N227" s="419">
        <f t="shared" si="12"/>
        <v>2</v>
      </c>
      <c r="O227" s="419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1">
        <f>All_Detail_v2[[#This Row],[Scheduled Date]]</f>
        <v>46097</v>
      </c>
      <c r="S227" s="421">
        <f>All_Detail_v2[[#This Row],[Install Date]]</f>
        <v>46097</v>
      </c>
    </row>
    <row r="228" spans="1:19">
      <c r="A228">
        <v>224</v>
      </c>
      <c r="B228" s="704" t="s">
        <v>352</v>
      </c>
      <c r="C228" s="706" t="s">
        <v>484</v>
      </c>
      <c r="D228" s="706" t="s">
        <v>489</v>
      </c>
      <c r="E228" s="706" t="s">
        <v>400</v>
      </c>
      <c r="F228" s="706">
        <v>1</v>
      </c>
      <c r="G228" s="706">
        <v>1</v>
      </c>
      <c r="H228" s="720">
        <v>46087</v>
      </c>
      <c r="I228" s="720">
        <v>46087</v>
      </c>
      <c r="J228" s="706" t="s">
        <v>358</v>
      </c>
      <c r="K228" t="str">
        <f t="shared" si="11"/>
        <v>Switch</v>
      </c>
      <c r="M228" s="419">
        <f t="shared" si="10"/>
        <v>1</v>
      </c>
      <c r="N228" s="419">
        <f t="shared" si="12"/>
        <v>1</v>
      </c>
      <c r="O228" s="419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1">
        <f>All_Detail_v2[[#This Row],[Scheduled Date]]</f>
        <v>46087</v>
      </c>
      <c r="S228" s="421">
        <f>All_Detail_v2[[#This Row],[Install Date]]</f>
        <v>46087</v>
      </c>
    </row>
    <row r="229" spans="1:19">
      <c r="A229">
        <v>225</v>
      </c>
      <c r="B229" s="704" t="s">
        <v>352</v>
      </c>
      <c r="C229" s="706" t="s">
        <v>484</v>
      </c>
      <c r="D229" s="706" t="s">
        <v>490</v>
      </c>
      <c r="E229" s="706" t="s">
        <v>360</v>
      </c>
      <c r="F229" s="706">
        <v>1</v>
      </c>
      <c r="G229" s="706">
        <v>1</v>
      </c>
      <c r="H229" s="720">
        <v>46070</v>
      </c>
      <c r="I229" s="720">
        <v>46070</v>
      </c>
      <c r="J229" s="706" t="s">
        <v>358</v>
      </c>
      <c r="K229" t="str">
        <f t="shared" si="11"/>
        <v>Switch</v>
      </c>
      <c r="M229" s="419">
        <f t="shared" si="10"/>
        <v>1</v>
      </c>
      <c r="N229" s="419">
        <f t="shared" si="12"/>
        <v>1</v>
      </c>
      <c r="O229" s="419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1">
        <f>All_Detail_v2[[#This Row],[Scheduled Date]]</f>
        <v>46070</v>
      </c>
      <c r="S229" s="421">
        <f>All_Detail_v2[[#This Row],[Install Date]]</f>
        <v>46070</v>
      </c>
    </row>
    <row r="230" spans="1:19">
      <c r="A230">
        <v>226</v>
      </c>
      <c r="B230" s="704" t="s">
        <v>352</v>
      </c>
      <c r="C230" s="706" t="s">
        <v>484</v>
      </c>
      <c r="D230" s="706" t="s">
        <v>490</v>
      </c>
      <c r="E230" s="706" t="s">
        <v>365</v>
      </c>
      <c r="F230" s="706">
        <v>1</v>
      </c>
      <c r="G230" s="706">
        <v>1</v>
      </c>
      <c r="H230" s="720">
        <v>46070</v>
      </c>
      <c r="I230" s="720">
        <v>46070</v>
      </c>
      <c r="J230" s="706" t="s">
        <v>358</v>
      </c>
      <c r="K230" t="str">
        <f t="shared" si="11"/>
        <v>Switch</v>
      </c>
      <c r="M230" s="419">
        <f t="shared" si="10"/>
        <v>1</v>
      </c>
      <c r="N230" s="419">
        <f t="shared" si="12"/>
        <v>1</v>
      </c>
      <c r="O230" s="419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1">
        <f>All_Detail_v2[[#This Row],[Scheduled Date]]</f>
        <v>46070</v>
      </c>
      <c r="S230" s="421">
        <f>All_Detail_v2[[#This Row],[Install Date]]</f>
        <v>46070</v>
      </c>
    </row>
    <row r="231" spans="1:19">
      <c r="A231">
        <v>227</v>
      </c>
      <c r="B231" s="704" t="s">
        <v>352</v>
      </c>
      <c r="C231" s="706" t="s">
        <v>484</v>
      </c>
      <c r="D231" s="706" t="s">
        <v>491</v>
      </c>
      <c r="E231" s="706" t="s">
        <v>360</v>
      </c>
      <c r="F231" s="706">
        <v>1</v>
      </c>
      <c r="G231" s="706"/>
      <c r="H231" s="720"/>
      <c r="I231" s="720">
        <v>46132</v>
      </c>
      <c r="J231" s="706" t="s">
        <v>355</v>
      </c>
      <c r="K231" t="str">
        <f t="shared" si="11"/>
        <v>Switch</v>
      </c>
      <c r="M231" s="419">
        <f t="shared" si="10"/>
        <v>0</v>
      </c>
      <c r="N231" s="419">
        <f t="shared" si="12"/>
        <v>0</v>
      </c>
      <c r="O231" s="419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1">
        <f>All_Detail_v2[[#This Row],[Scheduled Date]]</f>
        <v>46132</v>
      </c>
      <c r="S231" s="421">
        <f>All_Detail_v2[[#This Row],[Install Date]]</f>
        <v>0</v>
      </c>
    </row>
    <row r="232" spans="1:19">
      <c r="A232">
        <v>228</v>
      </c>
      <c r="B232" s="704" t="s">
        <v>352</v>
      </c>
      <c r="C232" s="706" t="s">
        <v>484</v>
      </c>
      <c r="D232" s="706" t="s">
        <v>491</v>
      </c>
      <c r="E232" s="706" t="s">
        <v>365</v>
      </c>
      <c r="F232" s="706">
        <v>1</v>
      </c>
      <c r="G232" s="706"/>
      <c r="H232" s="720"/>
      <c r="I232" s="720">
        <v>46132</v>
      </c>
      <c r="J232" s="706" t="s">
        <v>355</v>
      </c>
      <c r="K232" t="str">
        <f t="shared" si="11"/>
        <v>Switch</v>
      </c>
      <c r="M232" s="419">
        <f t="shared" si="10"/>
        <v>0</v>
      </c>
      <c r="N232" s="419">
        <f t="shared" si="12"/>
        <v>0</v>
      </c>
      <c r="O232" s="419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1">
        <f>All_Detail_v2[[#This Row],[Scheduled Date]]</f>
        <v>46132</v>
      </c>
      <c r="S232" s="421">
        <f>All_Detail_v2[[#This Row],[Install Date]]</f>
        <v>0</v>
      </c>
    </row>
    <row r="233" spans="1:19">
      <c r="A233">
        <v>229</v>
      </c>
      <c r="B233" s="704" t="s">
        <v>352</v>
      </c>
      <c r="C233" s="706" t="s">
        <v>484</v>
      </c>
      <c r="D233" s="706" t="s">
        <v>492</v>
      </c>
      <c r="E233" s="706" t="s">
        <v>360</v>
      </c>
      <c r="F233" s="706">
        <v>1</v>
      </c>
      <c r="G233" s="706">
        <v>1</v>
      </c>
      <c r="H233" s="720">
        <v>46100</v>
      </c>
      <c r="I233" s="720">
        <v>46100</v>
      </c>
      <c r="J233" s="706" t="s">
        <v>358</v>
      </c>
      <c r="K233" t="str">
        <f t="shared" si="11"/>
        <v>Switch</v>
      </c>
      <c r="M233" s="419">
        <f t="shared" si="10"/>
        <v>1</v>
      </c>
      <c r="N233" s="419">
        <f t="shared" si="12"/>
        <v>1</v>
      </c>
      <c r="O233" s="419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1">
        <f>All_Detail_v2[[#This Row],[Scheduled Date]]</f>
        <v>46100</v>
      </c>
      <c r="S233" s="421">
        <f>All_Detail_v2[[#This Row],[Install Date]]</f>
        <v>46100</v>
      </c>
    </row>
    <row r="234" spans="1:19">
      <c r="A234">
        <v>230</v>
      </c>
      <c r="B234" s="704" t="s">
        <v>352</v>
      </c>
      <c r="C234" s="706" t="s">
        <v>484</v>
      </c>
      <c r="D234" s="706" t="s">
        <v>492</v>
      </c>
      <c r="E234" s="706" t="s">
        <v>365</v>
      </c>
      <c r="F234" s="706">
        <v>1</v>
      </c>
      <c r="G234" s="706">
        <v>1</v>
      </c>
      <c r="H234" s="720">
        <v>46100</v>
      </c>
      <c r="I234" s="720">
        <v>46100</v>
      </c>
      <c r="J234" s="706" t="s">
        <v>358</v>
      </c>
      <c r="K234" t="str">
        <f t="shared" si="11"/>
        <v>Switch</v>
      </c>
      <c r="M234" s="419">
        <f t="shared" si="10"/>
        <v>1</v>
      </c>
      <c r="N234" s="419">
        <f t="shared" si="12"/>
        <v>1</v>
      </c>
      <c r="O234" s="419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1">
        <f>All_Detail_v2[[#This Row],[Scheduled Date]]</f>
        <v>46100</v>
      </c>
      <c r="S234" s="421">
        <f>All_Detail_v2[[#This Row],[Install Date]]</f>
        <v>46100</v>
      </c>
    </row>
    <row r="235" spans="1:19">
      <c r="A235">
        <v>231</v>
      </c>
      <c r="B235" s="704" t="s">
        <v>352</v>
      </c>
      <c r="C235" s="706" t="s">
        <v>484</v>
      </c>
      <c r="D235" s="706" t="s">
        <v>493</v>
      </c>
      <c r="E235" s="706" t="s">
        <v>360</v>
      </c>
      <c r="F235" s="706">
        <v>1</v>
      </c>
      <c r="G235" s="706">
        <v>1</v>
      </c>
      <c r="H235" s="720">
        <v>46100</v>
      </c>
      <c r="I235" s="720">
        <v>46100</v>
      </c>
      <c r="J235" s="706" t="s">
        <v>358</v>
      </c>
      <c r="K235" t="str">
        <f t="shared" si="11"/>
        <v>Switch</v>
      </c>
      <c r="M235" s="419">
        <f t="shared" si="10"/>
        <v>1</v>
      </c>
      <c r="N235" s="419">
        <f t="shared" si="12"/>
        <v>1</v>
      </c>
      <c r="O235" s="419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1">
        <f>All_Detail_v2[[#This Row],[Scheduled Date]]</f>
        <v>46100</v>
      </c>
      <c r="S235" s="421">
        <f>All_Detail_v2[[#This Row],[Install Date]]</f>
        <v>46100</v>
      </c>
    </row>
    <row r="236" spans="1:19">
      <c r="A236">
        <v>232</v>
      </c>
      <c r="B236" s="704" t="s">
        <v>352</v>
      </c>
      <c r="C236" s="706" t="s">
        <v>484</v>
      </c>
      <c r="D236" s="706" t="s">
        <v>493</v>
      </c>
      <c r="E236" s="706" t="s">
        <v>365</v>
      </c>
      <c r="F236" s="706">
        <v>1</v>
      </c>
      <c r="G236" s="706">
        <v>1</v>
      </c>
      <c r="H236" s="720">
        <v>46100</v>
      </c>
      <c r="I236" s="720">
        <v>46100</v>
      </c>
      <c r="J236" s="706" t="s">
        <v>358</v>
      </c>
      <c r="K236" t="str">
        <f t="shared" si="11"/>
        <v>Switch</v>
      </c>
      <c r="M236" s="419">
        <f t="shared" si="10"/>
        <v>1</v>
      </c>
      <c r="N236" s="419">
        <f t="shared" si="12"/>
        <v>1</v>
      </c>
      <c r="O236" s="419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1">
        <f>All_Detail_v2[[#This Row],[Scheduled Date]]</f>
        <v>46100</v>
      </c>
      <c r="S236" s="421">
        <f>All_Detail_v2[[#This Row],[Install Date]]</f>
        <v>46100</v>
      </c>
    </row>
    <row r="237" spans="1:19">
      <c r="A237">
        <v>233</v>
      </c>
      <c r="B237" s="704" t="s">
        <v>352</v>
      </c>
      <c r="C237" s="706" t="s">
        <v>484</v>
      </c>
      <c r="D237" s="706" t="s">
        <v>494</v>
      </c>
      <c r="E237" s="706" t="s">
        <v>360</v>
      </c>
      <c r="F237" s="706">
        <v>1</v>
      </c>
      <c r="G237" s="706">
        <v>1</v>
      </c>
      <c r="H237" s="720">
        <v>46101</v>
      </c>
      <c r="I237" s="720">
        <v>46133</v>
      </c>
      <c r="J237" s="706" t="s">
        <v>355</v>
      </c>
      <c r="K237" t="str">
        <f t="shared" si="11"/>
        <v>Switch</v>
      </c>
      <c r="M237" s="419">
        <f t="shared" si="10"/>
        <v>1</v>
      </c>
      <c r="N237" s="419">
        <f t="shared" si="12"/>
        <v>1</v>
      </c>
      <c r="O237" s="419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1">
        <f>All_Detail_v2[[#This Row],[Scheduled Date]]</f>
        <v>46133</v>
      </c>
      <c r="S237" s="421">
        <f>All_Detail_v2[[#This Row],[Install Date]]</f>
        <v>46101</v>
      </c>
    </row>
    <row r="238" spans="1:19">
      <c r="A238">
        <v>234</v>
      </c>
      <c r="B238" s="704" t="s">
        <v>352</v>
      </c>
      <c r="C238" s="706" t="s">
        <v>484</v>
      </c>
      <c r="D238" s="706" t="s">
        <v>494</v>
      </c>
      <c r="E238" s="706" t="s">
        <v>365</v>
      </c>
      <c r="F238" s="706">
        <v>1</v>
      </c>
      <c r="G238" s="706">
        <v>1</v>
      </c>
      <c r="H238" s="720">
        <v>46101</v>
      </c>
      <c r="I238" s="720">
        <v>46133</v>
      </c>
      <c r="J238" s="706" t="s">
        <v>355</v>
      </c>
      <c r="K238" t="str">
        <f t="shared" si="11"/>
        <v>Switch</v>
      </c>
      <c r="M238" s="419">
        <f t="shared" si="10"/>
        <v>1</v>
      </c>
      <c r="N238" s="419">
        <f t="shared" si="12"/>
        <v>1</v>
      </c>
      <c r="O238" s="419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1">
        <f>All_Detail_v2[[#This Row],[Scheduled Date]]</f>
        <v>46133</v>
      </c>
      <c r="S238" s="421">
        <f>All_Detail_v2[[#This Row],[Install Date]]</f>
        <v>46101</v>
      </c>
    </row>
    <row r="239" spans="1:19">
      <c r="A239">
        <v>235</v>
      </c>
      <c r="B239" s="704" t="s">
        <v>352</v>
      </c>
      <c r="C239" s="706" t="s">
        <v>484</v>
      </c>
      <c r="D239" s="706" t="s">
        <v>495</v>
      </c>
      <c r="E239" s="706" t="s">
        <v>360</v>
      </c>
      <c r="F239" s="706">
        <v>1</v>
      </c>
      <c r="G239" s="706">
        <v>1</v>
      </c>
      <c r="H239" s="720">
        <v>46101</v>
      </c>
      <c r="I239" s="720">
        <v>46133</v>
      </c>
      <c r="J239" s="706" t="s">
        <v>355</v>
      </c>
      <c r="K239" t="str">
        <f t="shared" si="11"/>
        <v>Switch</v>
      </c>
      <c r="M239" s="419">
        <f t="shared" si="10"/>
        <v>1</v>
      </c>
      <c r="N239" s="419">
        <f t="shared" si="12"/>
        <v>1</v>
      </c>
      <c r="O239" s="419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1">
        <f>All_Detail_v2[[#This Row],[Scheduled Date]]</f>
        <v>46133</v>
      </c>
      <c r="S239" s="421">
        <f>All_Detail_v2[[#This Row],[Install Date]]</f>
        <v>46101</v>
      </c>
    </row>
    <row r="240" spans="1:19">
      <c r="A240">
        <v>236</v>
      </c>
      <c r="B240" s="704" t="s">
        <v>352</v>
      </c>
      <c r="C240" s="706" t="s">
        <v>484</v>
      </c>
      <c r="D240" s="706" t="s">
        <v>495</v>
      </c>
      <c r="E240" s="706" t="s">
        <v>365</v>
      </c>
      <c r="F240" s="706">
        <v>1</v>
      </c>
      <c r="G240" s="706">
        <v>1</v>
      </c>
      <c r="H240" s="720">
        <v>46101</v>
      </c>
      <c r="I240" s="720">
        <v>46133</v>
      </c>
      <c r="J240" s="706" t="s">
        <v>355</v>
      </c>
      <c r="K240" t="str">
        <f t="shared" si="11"/>
        <v>Switch</v>
      </c>
      <c r="M240" s="419">
        <f t="shared" si="10"/>
        <v>1</v>
      </c>
      <c r="N240" s="419">
        <f t="shared" si="12"/>
        <v>1</v>
      </c>
      <c r="O240" s="419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1">
        <f>All_Detail_v2[[#This Row],[Scheduled Date]]</f>
        <v>46133</v>
      </c>
      <c r="S240" s="421">
        <f>All_Detail_v2[[#This Row],[Install Date]]</f>
        <v>46101</v>
      </c>
    </row>
    <row r="241" spans="1:19">
      <c r="A241">
        <v>237</v>
      </c>
      <c r="B241" s="704" t="s">
        <v>352</v>
      </c>
      <c r="C241" s="706" t="s">
        <v>484</v>
      </c>
      <c r="D241" s="706" t="s">
        <v>496</v>
      </c>
      <c r="E241" s="706" t="s">
        <v>360</v>
      </c>
      <c r="F241" s="706">
        <v>1</v>
      </c>
      <c r="G241" s="706">
        <v>1</v>
      </c>
      <c r="H241" s="720">
        <v>46101</v>
      </c>
      <c r="I241" s="720">
        <v>46133</v>
      </c>
      <c r="J241" s="706" t="s">
        <v>355</v>
      </c>
      <c r="K241" t="str">
        <f t="shared" si="11"/>
        <v>Switch</v>
      </c>
      <c r="M241" s="419">
        <f t="shared" si="10"/>
        <v>1</v>
      </c>
      <c r="N241" s="419">
        <f t="shared" si="12"/>
        <v>1</v>
      </c>
      <c r="O241" s="419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1">
        <f>All_Detail_v2[[#This Row],[Scheduled Date]]</f>
        <v>46133</v>
      </c>
      <c r="S241" s="421">
        <f>All_Detail_v2[[#This Row],[Install Date]]</f>
        <v>46101</v>
      </c>
    </row>
    <row r="242" spans="1:19">
      <c r="A242">
        <v>238</v>
      </c>
      <c r="B242" s="704" t="s">
        <v>352</v>
      </c>
      <c r="C242" s="706" t="s">
        <v>484</v>
      </c>
      <c r="D242" s="706" t="s">
        <v>496</v>
      </c>
      <c r="E242" s="706" t="s">
        <v>365</v>
      </c>
      <c r="F242" s="706">
        <v>1</v>
      </c>
      <c r="G242" s="706">
        <v>1</v>
      </c>
      <c r="H242" s="720">
        <v>46101</v>
      </c>
      <c r="I242" s="720">
        <v>46133</v>
      </c>
      <c r="J242" s="706" t="s">
        <v>355</v>
      </c>
      <c r="K242" t="str">
        <f t="shared" si="11"/>
        <v>Switch</v>
      </c>
      <c r="M242" s="419">
        <f t="shared" si="10"/>
        <v>1</v>
      </c>
      <c r="N242" s="419">
        <f t="shared" si="12"/>
        <v>1</v>
      </c>
      <c r="O242" s="419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1">
        <f>All_Detail_v2[[#This Row],[Scheduled Date]]</f>
        <v>46133</v>
      </c>
      <c r="S242" s="421">
        <f>All_Detail_v2[[#This Row],[Install Date]]</f>
        <v>46101</v>
      </c>
    </row>
    <row r="243" spans="1:19">
      <c r="A243">
        <v>239</v>
      </c>
      <c r="B243" s="704" t="s">
        <v>352</v>
      </c>
      <c r="C243" s="706" t="s">
        <v>484</v>
      </c>
      <c r="D243" s="706" t="s">
        <v>496</v>
      </c>
      <c r="E243" s="706" t="s">
        <v>400</v>
      </c>
      <c r="F243" s="706">
        <v>1</v>
      </c>
      <c r="G243" s="706">
        <v>1</v>
      </c>
      <c r="H243" s="720">
        <v>46101</v>
      </c>
      <c r="I243" s="720">
        <v>46133</v>
      </c>
      <c r="J243" s="706" t="s">
        <v>355</v>
      </c>
      <c r="K243" t="str">
        <f t="shared" si="11"/>
        <v>Switch</v>
      </c>
      <c r="M243" s="419">
        <f t="shared" si="10"/>
        <v>1</v>
      </c>
      <c r="N243" s="419">
        <f t="shared" si="12"/>
        <v>1</v>
      </c>
      <c r="O243" s="419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1">
        <f>All_Detail_v2[[#This Row],[Scheduled Date]]</f>
        <v>46133</v>
      </c>
      <c r="S243" s="421">
        <f>All_Detail_v2[[#This Row],[Install Date]]</f>
        <v>46101</v>
      </c>
    </row>
    <row r="244" spans="1:19">
      <c r="A244">
        <v>240</v>
      </c>
      <c r="B244" s="704" t="s">
        <v>352</v>
      </c>
      <c r="C244" s="706" t="s">
        <v>484</v>
      </c>
      <c r="D244" s="706" t="s">
        <v>497</v>
      </c>
      <c r="E244" s="706" t="s">
        <v>360</v>
      </c>
      <c r="F244" s="706">
        <v>1</v>
      </c>
      <c r="G244" s="706">
        <v>1</v>
      </c>
      <c r="H244" s="720">
        <v>46101</v>
      </c>
      <c r="I244" s="720">
        <v>46133</v>
      </c>
      <c r="J244" s="706" t="s">
        <v>355</v>
      </c>
      <c r="K244" t="str">
        <f t="shared" si="11"/>
        <v>Switch</v>
      </c>
      <c r="M244" s="419">
        <f t="shared" si="10"/>
        <v>1</v>
      </c>
      <c r="N244" s="419">
        <f t="shared" si="12"/>
        <v>1</v>
      </c>
      <c r="O244" s="419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1">
        <f>All_Detail_v2[[#This Row],[Scheduled Date]]</f>
        <v>46133</v>
      </c>
      <c r="S244" s="421">
        <f>All_Detail_v2[[#This Row],[Install Date]]</f>
        <v>46101</v>
      </c>
    </row>
    <row r="245" spans="1:19">
      <c r="A245">
        <v>241</v>
      </c>
      <c r="B245" s="704" t="s">
        <v>352</v>
      </c>
      <c r="C245" s="706" t="s">
        <v>484</v>
      </c>
      <c r="D245" s="706" t="s">
        <v>497</v>
      </c>
      <c r="E245" s="706" t="s">
        <v>365</v>
      </c>
      <c r="F245" s="706">
        <v>1</v>
      </c>
      <c r="G245" s="706">
        <v>1</v>
      </c>
      <c r="H245" s="720">
        <v>46101</v>
      </c>
      <c r="I245" s="720">
        <v>46133</v>
      </c>
      <c r="J245" s="706" t="s">
        <v>355</v>
      </c>
      <c r="K245" t="str">
        <f t="shared" si="11"/>
        <v>Switch</v>
      </c>
      <c r="M245" s="419">
        <f t="shared" si="10"/>
        <v>1</v>
      </c>
      <c r="N245" s="419">
        <f t="shared" si="12"/>
        <v>1</v>
      </c>
      <c r="O245" s="419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1">
        <f>All_Detail_v2[[#This Row],[Scheduled Date]]</f>
        <v>46133</v>
      </c>
      <c r="S245" s="421">
        <f>All_Detail_v2[[#This Row],[Install Date]]</f>
        <v>46101</v>
      </c>
    </row>
    <row r="246" spans="1:19">
      <c r="A246">
        <v>242</v>
      </c>
      <c r="B246" s="704" t="s">
        <v>352</v>
      </c>
      <c r="C246" s="706" t="s">
        <v>498</v>
      </c>
      <c r="D246" s="706" t="s">
        <v>499</v>
      </c>
      <c r="E246" s="706" t="s">
        <v>360</v>
      </c>
      <c r="F246" s="706">
        <v>1</v>
      </c>
      <c r="G246" s="706">
        <v>1</v>
      </c>
      <c r="H246" s="720">
        <v>46070</v>
      </c>
      <c r="I246" s="720">
        <v>46069</v>
      </c>
      <c r="J246" s="706" t="s">
        <v>358</v>
      </c>
      <c r="K246" t="str">
        <f t="shared" si="11"/>
        <v>Switch</v>
      </c>
      <c r="M246" s="419">
        <f t="shared" ref="M246" si="13">O246</f>
        <v>1</v>
      </c>
      <c r="N246" s="419">
        <f t="shared" ref="N246" si="14">O246</f>
        <v>1</v>
      </c>
      <c r="O246" s="419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1">
        <f>All_Detail_v2[[#This Row],[Scheduled Date]]</f>
        <v>46069</v>
      </c>
      <c r="S246" s="421">
        <f>All_Detail_v2[[#This Row],[Install Date]]</f>
        <v>46070</v>
      </c>
    </row>
    <row r="247" spans="1:19">
      <c r="A247">
        <v>243</v>
      </c>
      <c r="B247" s="704" t="s">
        <v>352</v>
      </c>
      <c r="C247" s="706" t="s">
        <v>498</v>
      </c>
      <c r="D247" s="706" t="s">
        <v>499</v>
      </c>
      <c r="E247" s="706" t="s">
        <v>365</v>
      </c>
      <c r="F247" s="706">
        <v>1</v>
      </c>
      <c r="G247" s="706">
        <v>1</v>
      </c>
      <c r="H247" s="720">
        <v>46070</v>
      </c>
      <c r="I247" s="720">
        <v>46069</v>
      </c>
      <c r="J247" s="706" t="s">
        <v>358</v>
      </c>
      <c r="K247" t="str">
        <f t="shared" si="11"/>
        <v>Switch</v>
      </c>
      <c r="M247" s="419">
        <f t="shared" si="10"/>
        <v>1</v>
      </c>
      <c r="N247" s="419">
        <f t="shared" si="12"/>
        <v>1</v>
      </c>
      <c r="O247" s="419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1">
        <f>All_Detail_v2[[#This Row],[Scheduled Date]]</f>
        <v>46069</v>
      </c>
      <c r="S247" s="421">
        <f>All_Detail_v2[[#This Row],[Install Date]]</f>
        <v>46070</v>
      </c>
    </row>
    <row r="248" spans="1:19">
      <c r="A248">
        <v>244</v>
      </c>
      <c r="B248" s="704" t="s">
        <v>352</v>
      </c>
      <c r="C248" s="706" t="s">
        <v>498</v>
      </c>
      <c r="D248" s="706" t="s">
        <v>499</v>
      </c>
      <c r="E248" s="706" t="s">
        <v>402</v>
      </c>
      <c r="F248" s="706">
        <v>2</v>
      </c>
      <c r="G248" s="706">
        <v>1</v>
      </c>
      <c r="H248" s="720">
        <v>46062</v>
      </c>
      <c r="I248" s="720">
        <v>46174</v>
      </c>
      <c r="J248" s="706" t="s">
        <v>388</v>
      </c>
      <c r="K248" t="str">
        <f t="shared" si="11"/>
        <v>Switch</v>
      </c>
      <c r="L248" s="648" t="s">
        <v>500</v>
      </c>
      <c r="M248" s="419">
        <f t="shared" si="10"/>
        <v>1</v>
      </c>
      <c r="N248" s="419">
        <f t="shared" si="12"/>
        <v>1</v>
      </c>
      <c r="O248" s="419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1">
        <f>All_Detail_v2[[#This Row],[Scheduled Date]]</f>
        <v>46174</v>
      </c>
      <c r="S248" s="421">
        <f>All_Detail_v2[[#This Row],[Install Date]]</f>
        <v>46062</v>
      </c>
    </row>
    <row r="249" spans="1:19">
      <c r="A249">
        <v>245</v>
      </c>
      <c r="B249" s="704" t="s">
        <v>352</v>
      </c>
      <c r="C249" s="706" t="s">
        <v>498</v>
      </c>
      <c r="D249" s="706" t="s">
        <v>501</v>
      </c>
      <c r="E249" s="706" t="s">
        <v>360</v>
      </c>
      <c r="F249" s="706">
        <v>1</v>
      </c>
      <c r="G249" s="706">
        <v>1</v>
      </c>
      <c r="H249" s="720">
        <v>46099</v>
      </c>
      <c r="I249" s="720">
        <v>46099</v>
      </c>
      <c r="J249" s="706" t="s">
        <v>358</v>
      </c>
      <c r="K249" t="str">
        <f t="shared" si="11"/>
        <v>Switch</v>
      </c>
      <c r="M249" s="419">
        <f t="shared" si="10"/>
        <v>1</v>
      </c>
      <c r="N249" s="419">
        <f t="shared" si="12"/>
        <v>1</v>
      </c>
      <c r="O249" s="419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1">
        <f>All_Detail_v2[[#This Row],[Scheduled Date]]</f>
        <v>46099</v>
      </c>
      <c r="S249" s="421">
        <f>All_Detail_v2[[#This Row],[Install Date]]</f>
        <v>46099</v>
      </c>
    </row>
    <row r="250" spans="1:19">
      <c r="A250">
        <v>246</v>
      </c>
      <c r="B250" s="704" t="s">
        <v>352</v>
      </c>
      <c r="C250" s="706" t="s">
        <v>498</v>
      </c>
      <c r="D250" s="706" t="s">
        <v>501</v>
      </c>
      <c r="E250" s="706" t="s">
        <v>365</v>
      </c>
      <c r="F250" s="706">
        <v>1</v>
      </c>
      <c r="G250" s="706">
        <v>1</v>
      </c>
      <c r="H250" s="720">
        <v>46099</v>
      </c>
      <c r="I250" s="720">
        <v>46099</v>
      </c>
      <c r="J250" s="706" t="s">
        <v>358</v>
      </c>
      <c r="K250" t="str">
        <f t="shared" si="11"/>
        <v>Switch</v>
      </c>
      <c r="M250" s="419">
        <f t="shared" si="10"/>
        <v>1</v>
      </c>
      <c r="N250" s="419">
        <f t="shared" si="12"/>
        <v>1</v>
      </c>
      <c r="O250" s="419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1">
        <f>All_Detail_v2[[#This Row],[Scheduled Date]]</f>
        <v>46099</v>
      </c>
      <c r="S250" s="421">
        <f>All_Detail_v2[[#This Row],[Install Date]]</f>
        <v>46099</v>
      </c>
    </row>
    <row r="251" spans="1:19">
      <c r="A251">
        <v>247</v>
      </c>
      <c r="B251" s="704" t="s">
        <v>352</v>
      </c>
      <c r="C251" s="706" t="s">
        <v>498</v>
      </c>
      <c r="D251" s="706" t="s">
        <v>501</v>
      </c>
      <c r="E251" s="706" t="s">
        <v>400</v>
      </c>
      <c r="F251" s="706">
        <v>1</v>
      </c>
      <c r="G251" s="706">
        <v>1</v>
      </c>
      <c r="H251" s="720">
        <v>46087</v>
      </c>
      <c r="I251" s="720">
        <v>46087</v>
      </c>
      <c r="J251" s="706" t="s">
        <v>358</v>
      </c>
      <c r="K251" t="str">
        <f t="shared" si="11"/>
        <v>Switch</v>
      </c>
      <c r="M251" s="419">
        <f t="shared" si="10"/>
        <v>1</v>
      </c>
      <c r="N251" s="419">
        <f t="shared" si="12"/>
        <v>1</v>
      </c>
      <c r="O251" s="419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1">
        <f>All_Detail_v2[[#This Row],[Scheduled Date]]</f>
        <v>46087</v>
      </c>
      <c r="S251" s="421">
        <f>All_Detail_v2[[#This Row],[Install Date]]</f>
        <v>46087</v>
      </c>
    </row>
    <row r="252" spans="1:19">
      <c r="A252">
        <v>248</v>
      </c>
      <c r="B252" s="704" t="s">
        <v>352</v>
      </c>
      <c r="C252" s="706" t="s">
        <v>498</v>
      </c>
      <c r="D252" s="706" t="s">
        <v>502</v>
      </c>
      <c r="E252" s="706" t="s">
        <v>360</v>
      </c>
      <c r="F252" s="706">
        <v>1</v>
      </c>
      <c r="G252" s="706"/>
      <c r="H252" s="720"/>
      <c r="I252" s="720">
        <v>46135</v>
      </c>
      <c r="J252" s="706" t="s">
        <v>355</v>
      </c>
      <c r="K252" t="str">
        <f t="shared" si="11"/>
        <v>Switch</v>
      </c>
      <c r="M252" s="419">
        <f t="shared" si="10"/>
        <v>0</v>
      </c>
      <c r="N252" s="419">
        <f t="shared" si="12"/>
        <v>0</v>
      </c>
      <c r="O252" s="419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1">
        <f>All_Detail_v2[[#This Row],[Scheduled Date]]</f>
        <v>46135</v>
      </c>
      <c r="S252" s="421">
        <f>All_Detail_v2[[#This Row],[Install Date]]</f>
        <v>0</v>
      </c>
    </row>
    <row r="253" spans="1:19">
      <c r="A253">
        <v>249</v>
      </c>
      <c r="B253" s="704" t="s">
        <v>352</v>
      </c>
      <c r="C253" s="706" t="s">
        <v>498</v>
      </c>
      <c r="D253" s="706" t="s">
        <v>502</v>
      </c>
      <c r="E253" s="706" t="s">
        <v>365</v>
      </c>
      <c r="F253" s="706">
        <v>1</v>
      </c>
      <c r="G253" s="706"/>
      <c r="H253" s="720"/>
      <c r="I253" s="720">
        <v>46135</v>
      </c>
      <c r="J253" s="706" t="s">
        <v>355</v>
      </c>
      <c r="K253" t="str">
        <f t="shared" si="11"/>
        <v>Switch</v>
      </c>
      <c r="M253" s="419">
        <f t="shared" si="10"/>
        <v>0</v>
      </c>
      <c r="N253" s="419">
        <f t="shared" si="12"/>
        <v>0</v>
      </c>
      <c r="O253" s="419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1">
        <f>All_Detail_v2[[#This Row],[Scheduled Date]]</f>
        <v>46135</v>
      </c>
      <c r="S253" s="421">
        <f>All_Detail_v2[[#This Row],[Install Date]]</f>
        <v>0</v>
      </c>
    </row>
    <row r="254" spans="1:19">
      <c r="A254">
        <v>250</v>
      </c>
      <c r="B254" s="704" t="s">
        <v>352</v>
      </c>
      <c r="C254" s="706" t="s">
        <v>498</v>
      </c>
      <c r="D254" s="706" t="s">
        <v>502</v>
      </c>
      <c r="E254" s="706" t="s">
        <v>400</v>
      </c>
      <c r="F254" s="706">
        <v>1</v>
      </c>
      <c r="G254" s="706">
        <v>1</v>
      </c>
      <c r="H254" s="720">
        <v>46087</v>
      </c>
      <c r="I254" s="720">
        <v>46087</v>
      </c>
      <c r="J254" s="706" t="s">
        <v>358</v>
      </c>
      <c r="K254" t="str">
        <f t="shared" si="11"/>
        <v>Switch</v>
      </c>
      <c r="M254" s="419">
        <f t="shared" si="10"/>
        <v>1</v>
      </c>
      <c r="N254" s="419">
        <f t="shared" si="12"/>
        <v>1</v>
      </c>
      <c r="O254" s="419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1">
        <f>All_Detail_v2[[#This Row],[Scheduled Date]]</f>
        <v>46087</v>
      </c>
      <c r="S254" s="421">
        <f>All_Detail_v2[[#This Row],[Install Date]]</f>
        <v>46087</v>
      </c>
    </row>
    <row r="255" spans="1:19">
      <c r="A255">
        <v>251</v>
      </c>
      <c r="B255" s="704" t="s">
        <v>352</v>
      </c>
      <c r="C255" s="706" t="s">
        <v>498</v>
      </c>
      <c r="D255" s="706" t="s">
        <v>503</v>
      </c>
      <c r="E255" s="706" t="s">
        <v>360</v>
      </c>
      <c r="F255" s="706">
        <v>2</v>
      </c>
      <c r="G255" s="706">
        <v>2</v>
      </c>
      <c r="H255" s="720">
        <v>46070</v>
      </c>
      <c r="I255" s="720">
        <v>46069</v>
      </c>
      <c r="J255" s="706" t="s">
        <v>358</v>
      </c>
      <c r="K255" t="str">
        <f t="shared" si="11"/>
        <v>Switch</v>
      </c>
      <c r="M255" s="419">
        <f t="shared" si="10"/>
        <v>2</v>
      </c>
      <c r="N255" s="419">
        <f t="shared" si="12"/>
        <v>2</v>
      </c>
      <c r="O255" s="419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1">
        <f>All_Detail_v2[[#This Row],[Scheduled Date]]</f>
        <v>46069</v>
      </c>
      <c r="S255" s="421">
        <f>All_Detail_v2[[#This Row],[Install Date]]</f>
        <v>46070</v>
      </c>
    </row>
    <row r="256" spans="1:19">
      <c r="A256">
        <v>252</v>
      </c>
      <c r="B256" s="704" t="s">
        <v>352</v>
      </c>
      <c r="C256" s="706" t="s">
        <v>498</v>
      </c>
      <c r="D256" s="706" t="s">
        <v>503</v>
      </c>
      <c r="E256" s="706" t="s">
        <v>365</v>
      </c>
      <c r="F256" s="706">
        <v>1</v>
      </c>
      <c r="G256" s="706">
        <v>1</v>
      </c>
      <c r="H256" s="720">
        <v>46070</v>
      </c>
      <c r="I256" s="720">
        <v>46069</v>
      </c>
      <c r="J256" s="706" t="s">
        <v>358</v>
      </c>
      <c r="K256" t="str">
        <f t="shared" si="11"/>
        <v>Switch</v>
      </c>
      <c r="M256" s="419">
        <f t="shared" si="10"/>
        <v>1</v>
      </c>
      <c r="N256" s="419">
        <f t="shared" si="12"/>
        <v>1</v>
      </c>
      <c r="O256" s="419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1">
        <f>All_Detail_v2[[#This Row],[Scheduled Date]]</f>
        <v>46069</v>
      </c>
      <c r="S256" s="421">
        <f>All_Detail_v2[[#This Row],[Install Date]]</f>
        <v>46070</v>
      </c>
    </row>
    <row r="257" spans="1:19">
      <c r="A257">
        <v>253</v>
      </c>
      <c r="B257" s="704" t="s">
        <v>352</v>
      </c>
      <c r="C257" s="706" t="s">
        <v>498</v>
      </c>
      <c r="D257" s="706" t="s">
        <v>504</v>
      </c>
      <c r="E257" s="706" t="s">
        <v>360</v>
      </c>
      <c r="F257" s="706">
        <v>1</v>
      </c>
      <c r="G257" s="706"/>
      <c r="H257" s="720"/>
      <c r="I257" s="720">
        <v>46174</v>
      </c>
      <c r="J257" s="706" t="s">
        <v>388</v>
      </c>
      <c r="K257" t="str">
        <f t="shared" si="11"/>
        <v>Switch</v>
      </c>
      <c r="L257" t="s">
        <v>448</v>
      </c>
      <c r="M257" s="419">
        <f t="shared" si="10"/>
        <v>0</v>
      </c>
      <c r="N257" s="419">
        <f t="shared" si="12"/>
        <v>0</v>
      </c>
      <c r="O257" s="419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1">
        <f>All_Detail_v2[[#This Row],[Scheduled Date]]</f>
        <v>46174</v>
      </c>
      <c r="S257" s="421">
        <f>All_Detail_v2[[#This Row],[Install Date]]</f>
        <v>0</v>
      </c>
    </row>
    <row r="258" spans="1:19">
      <c r="A258">
        <v>254</v>
      </c>
      <c r="B258" s="704" t="s">
        <v>352</v>
      </c>
      <c r="C258" s="706" t="s">
        <v>498</v>
      </c>
      <c r="D258" s="706" t="s">
        <v>504</v>
      </c>
      <c r="E258" s="706" t="s">
        <v>365</v>
      </c>
      <c r="F258" s="706">
        <v>1</v>
      </c>
      <c r="G258" s="706"/>
      <c r="H258" s="720"/>
      <c r="I258" s="720">
        <v>46174</v>
      </c>
      <c r="J258" s="706" t="s">
        <v>388</v>
      </c>
      <c r="K258" t="str">
        <f t="shared" si="11"/>
        <v>Switch</v>
      </c>
      <c r="M258" s="419">
        <f t="shared" ref="M258:M321" si="15">O258</f>
        <v>0</v>
      </c>
      <c r="N258" s="419">
        <f t="shared" si="12"/>
        <v>0</v>
      </c>
      <c r="O258" s="419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1">
        <f>All_Detail_v2[[#This Row],[Scheduled Date]]</f>
        <v>46174</v>
      </c>
      <c r="S258" s="421">
        <f>All_Detail_v2[[#This Row],[Install Date]]</f>
        <v>0</v>
      </c>
    </row>
    <row r="259" spans="1:19">
      <c r="A259">
        <v>255</v>
      </c>
      <c r="B259" s="704" t="s">
        <v>352</v>
      </c>
      <c r="C259" s="706" t="s">
        <v>498</v>
      </c>
      <c r="D259" s="706" t="s">
        <v>505</v>
      </c>
      <c r="E259" s="706" t="s">
        <v>360</v>
      </c>
      <c r="F259" s="706">
        <v>1</v>
      </c>
      <c r="G259" s="706">
        <v>1</v>
      </c>
      <c r="H259" s="720">
        <v>46097</v>
      </c>
      <c r="I259" s="720">
        <v>46097</v>
      </c>
      <c r="J259" s="706" t="s">
        <v>358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9">
        <f t="shared" si="15"/>
        <v>1</v>
      </c>
      <c r="N259" s="419">
        <f t="shared" si="12"/>
        <v>1</v>
      </c>
      <c r="O259" s="419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1">
        <f>All_Detail_v2[[#This Row],[Scheduled Date]]</f>
        <v>46097</v>
      </c>
      <c r="S259" s="421">
        <f>All_Detail_v2[[#This Row],[Install Date]]</f>
        <v>46097</v>
      </c>
    </row>
    <row r="260" spans="1:19">
      <c r="A260">
        <v>256</v>
      </c>
      <c r="B260" s="704" t="s">
        <v>352</v>
      </c>
      <c r="C260" s="706" t="s">
        <v>498</v>
      </c>
      <c r="D260" s="706" t="s">
        <v>505</v>
      </c>
      <c r="E260" s="706" t="s">
        <v>365</v>
      </c>
      <c r="F260" s="706">
        <v>1</v>
      </c>
      <c r="G260" s="706">
        <v>1</v>
      </c>
      <c r="H260" s="720">
        <v>46097</v>
      </c>
      <c r="I260" s="720">
        <v>46097</v>
      </c>
      <c r="J260" s="706" t="s">
        <v>358</v>
      </c>
      <c r="K260" t="str">
        <f t="shared" si="16"/>
        <v>Switch</v>
      </c>
      <c r="M260" s="419">
        <f t="shared" si="15"/>
        <v>1</v>
      </c>
      <c r="N260" s="419">
        <f t="shared" si="12"/>
        <v>1</v>
      </c>
      <c r="O260" s="419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1">
        <f>All_Detail_v2[[#This Row],[Scheduled Date]]</f>
        <v>46097</v>
      </c>
      <c r="S260" s="421">
        <f>All_Detail_v2[[#This Row],[Install Date]]</f>
        <v>46097</v>
      </c>
    </row>
    <row r="261" spans="1:19">
      <c r="A261">
        <v>257</v>
      </c>
      <c r="B261" s="704" t="s">
        <v>352</v>
      </c>
      <c r="C261" s="706" t="s">
        <v>498</v>
      </c>
      <c r="D261" s="706" t="s">
        <v>506</v>
      </c>
      <c r="E261" s="706" t="s">
        <v>360</v>
      </c>
      <c r="F261" s="706">
        <v>1</v>
      </c>
      <c r="G261" s="706">
        <v>1</v>
      </c>
      <c r="H261" s="720">
        <v>46097</v>
      </c>
      <c r="I261" s="720">
        <v>46097</v>
      </c>
      <c r="J261" s="706" t="s">
        <v>358</v>
      </c>
      <c r="K261" t="str">
        <f t="shared" si="16"/>
        <v>Switch</v>
      </c>
      <c r="M261" s="419">
        <f t="shared" si="15"/>
        <v>1</v>
      </c>
      <c r="N261" s="419">
        <f t="shared" si="12"/>
        <v>1</v>
      </c>
      <c r="O261" s="419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1">
        <f>All_Detail_v2[[#This Row],[Scheduled Date]]</f>
        <v>46097</v>
      </c>
      <c r="S261" s="421">
        <f>All_Detail_v2[[#This Row],[Install Date]]</f>
        <v>46097</v>
      </c>
    </row>
    <row r="262" spans="1:19">
      <c r="A262">
        <v>258</v>
      </c>
      <c r="B262" s="704" t="s">
        <v>352</v>
      </c>
      <c r="C262" s="706" t="s">
        <v>498</v>
      </c>
      <c r="D262" s="706" t="s">
        <v>506</v>
      </c>
      <c r="E262" s="706" t="s">
        <v>365</v>
      </c>
      <c r="F262" s="706">
        <v>1</v>
      </c>
      <c r="G262" s="706">
        <v>1</v>
      </c>
      <c r="H262" s="720">
        <v>46097</v>
      </c>
      <c r="I262" s="720">
        <v>46097</v>
      </c>
      <c r="J262" s="706" t="s">
        <v>358</v>
      </c>
      <c r="K262" t="str">
        <f t="shared" si="16"/>
        <v>Switch</v>
      </c>
      <c r="M262" s="419">
        <f t="shared" si="15"/>
        <v>1</v>
      </c>
      <c r="N262" s="419">
        <f t="shared" ref="N262:N325" si="17">O262</f>
        <v>1</v>
      </c>
      <c r="O262" s="419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1">
        <f>All_Detail_v2[[#This Row],[Scheduled Date]]</f>
        <v>46097</v>
      </c>
      <c r="S262" s="421">
        <f>All_Detail_v2[[#This Row],[Install Date]]</f>
        <v>46097</v>
      </c>
    </row>
    <row r="263" spans="1:19">
      <c r="A263">
        <v>259</v>
      </c>
      <c r="B263" s="704" t="s">
        <v>352</v>
      </c>
      <c r="C263" s="706" t="s">
        <v>498</v>
      </c>
      <c r="D263" s="706" t="s">
        <v>507</v>
      </c>
      <c r="E263" s="706" t="s">
        <v>360</v>
      </c>
      <c r="F263" s="706">
        <v>2</v>
      </c>
      <c r="G263" s="706">
        <v>2</v>
      </c>
      <c r="H263" s="720">
        <v>46101</v>
      </c>
      <c r="I263" s="720">
        <v>46135</v>
      </c>
      <c r="J263" s="706" t="s">
        <v>355</v>
      </c>
      <c r="K263" t="str">
        <f t="shared" si="16"/>
        <v>Switch</v>
      </c>
      <c r="M263" s="419">
        <f t="shared" si="15"/>
        <v>2</v>
      </c>
      <c r="N263" s="419">
        <f t="shared" si="17"/>
        <v>2</v>
      </c>
      <c r="O263" s="419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1">
        <f>All_Detail_v2[[#This Row],[Scheduled Date]]</f>
        <v>46135</v>
      </c>
      <c r="S263" s="421">
        <f>All_Detail_v2[[#This Row],[Install Date]]</f>
        <v>46101</v>
      </c>
    </row>
    <row r="264" spans="1:19">
      <c r="A264">
        <v>260</v>
      </c>
      <c r="B264" s="704" t="s">
        <v>352</v>
      </c>
      <c r="C264" s="706" t="s">
        <v>498</v>
      </c>
      <c r="D264" s="706" t="s">
        <v>507</v>
      </c>
      <c r="E264" s="706" t="s">
        <v>365</v>
      </c>
      <c r="F264" s="706">
        <v>2</v>
      </c>
      <c r="G264" s="706">
        <v>2</v>
      </c>
      <c r="H264" s="720">
        <v>46101</v>
      </c>
      <c r="I264" s="720">
        <v>46135</v>
      </c>
      <c r="J264" s="706" t="s">
        <v>355</v>
      </c>
      <c r="K264" t="str">
        <f t="shared" si="16"/>
        <v>Switch</v>
      </c>
      <c r="M264" s="419">
        <f t="shared" si="15"/>
        <v>2</v>
      </c>
      <c r="N264" s="419">
        <f t="shared" si="17"/>
        <v>2</v>
      </c>
      <c r="O264" s="419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1">
        <f>All_Detail_v2[[#This Row],[Scheduled Date]]</f>
        <v>46135</v>
      </c>
      <c r="S264" s="421">
        <f>All_Detail_v2[[#This Row],[Install Date]]</f>
        <v>46101</v>
      </c>
    </row>
    <row r="265" spans="1:19">
      <c r="A265">
        <v>261</v>
      </c>
      <c r="B265" s="704" t="s">
        <v>352</v>
      </c>
      <c r="C265" s="706" t="s">
        <v>498</v>
      </c>
      <c r="D265" s="706" t="s">
        <v>507</v>
      </c>
      <c r="E265" s="706" t="s">
        <v>400</v>
      </c>
      <c r="F265" s="706">
        <v>1</v>
      </c>
      <c r="G265" s="706">
        <v>1</v>
      </c>
      <c r="H265" s="720">
        <v>46101</v>
      </c>
      <c r="I265" s="720">
        <v>46135</v>
      </c>
      <c r="J265" s="706" t="s">
        <v>355</v>
      </c>
      <c r="K265" t="str">
        <f t="shared" si="16"/>
        <v>Switch</v>
      </c>
      <c r="M265" s="419">
        <f t="shared" si="15"/>
        <v>1</v>
      </c>
      <c r="N265" s="419">
        <f t="shared" si="17"/>
        <v>1</v>
      </c>
      <c r="O265" s="419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1">
        <f>All_Detail_v2[[#This Row],[Scheduled Date]]</f>
        <v>46135</v>
      </c>
      <c r="S265" s="421">
        <f>All_Detail_v2[[#This Row],[Install Date]]</f>
        <v>46101</v>
      </c>
    </row>
    <row r="266" spans="1:19">
      <c r="A266">
        <v>262</v>
      </c>
      <c r="B266" s="704" t="s">
        <v>352</v>
      </c>
      <c r="C266" s="706" t="s">
        <v>498</v>
      </c>
      <c r="D266" s="706" t="s">
        <v>508</v>
      </c>
      <c r="E266" s="706" t="s">
        <v>360</v>
      </c>
      <c r="F266" s="706">
        <v>1</v>
      </c>
      <c r="G266" s="706">
        <v>1</v>
      </c>
      <c r="H266" s="720">
        <v>46101</v>
      </c>
      <c r="I266" s="720">
        <v>46135</v>
      </c>
      <c r="J266" s="706" t="s">
        <v>355</v>
      </c>
      <c r="K266" t="str">
        <f t="shared" si="16"/>
        <v>Switch</v>
      </c>
      <c r="M266" s="419">
        <f t="shared" si="15"/>
        <v>1</v>
      </c>
      <c r="N266" s="419">
        <f t="shared" si="17"/>
        <v>1</v>
      </c>
      <c r="O266" s="419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1">
        <f>All_Detail_v2[[#This Row],[Scheduled Date]]</f>
        <v>46135</v>
      </c>
      <c r="S266" s="421">
        <f>All_Detail_v2[[#This Row],[Install Date]]</f>
        <v>46101</v>
      </c>
    </row>
    <row r="267" spans="1:19">
      <c r="A267">
        <v>263</v>
      </c>
      <c r="B267" s="704" t="s">
        <v>352</v>
      </c>
      <c r="C267" s="706" t="s">
        <v>498</v>
      </c>
      <c r="D267" s="706" t="s">
        <v>508</v>
      </c>
      <c r="E267" s="706" t="s">
        <v>365</v>
      </c>
      <c r="F267" s="706">
        <v>1</v>
      </c>
      <c r="G267" s="706">
        <v>1</v>
      </c>
      <c r="H267" s="720">
        <v>46101</v>
      </c>
      <c r="I267" s="720">
        <v>46135</v>
      </c>
      <c r="J267" s="706" t="s">
        <v>355</v>
      </c>
      <c r="K267" t="str">
        <f t="shared" si="16"/>
        <v>Switch</v>
      </c>
      <c r="M267" s="419">
        <f t="shared" si="15"/>
        <v>1</v>
      </c>
      <c r="N267" s="419">
        <f t="shared" si="17"/>
        <v>1</v>
      </c>
      <c r="O267" s="419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1">
        <f>All_Detail_v2[[#This Row],[Scheduled Date]]</f>
        <v>46135</v>
      </c>
      <c r="S267" s="421">
        <f>All_Detail_v2[[#This Row],[Install Date]]</f>
        <v>46101</v>
      </c>
    </row>
    <row r="268" spans="1:19">
      <c r="A268">
        <v>264</v>
      </c>
      <c r="B268" s="704" t="s">
        <v>352</v>
      </c>
      <c r="C268" s="705" t="s">
        <v>509</v>
      </c>
      <c r="D268" s="706" t="s">
        <v>40</v>
      </c>
      <c r="E268" s="706" t="s">
        <v>354</v>
      </c>
      <c r="F268" s="706">
        <v>11</v>
      </c>
      <c r="G268" s="706"/>
      <c r="H268" s="720"/>
      <c r="I268" s="720">
        <v>46121</v>
      </c>
      <c r="J268" s="706" t="s">
        <v>355</v>
      </c>
      <c r="K268" t="str">
        <f t="shared" si="16"/>
        <v>AP</v>
      </c>
      <c r="M268" s="419">
        <f t="shared" si="15"/>
        <v>0</v>
      </c>
      <c r="N268" s="419">
        <f t="shared" si="17"/>
        <v>0</v>
      </c>
      <c r="O268" s="419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1">
        <f>All_Detail_v2[[#This Row],[Scheduled Date]]</f>
        <v>46121</v>
      </c>
      <c r="S268" s="421">
        <f>All_Detail_v2[[#This Row],[Install Date]]</f>
        <v>0</v>
      </c>
    </row>
    <row r="269" spans="1:19">
      <c r="A269">
        <v>265</v>
      </c>
      <c r="B269" s="704" t="s">
        <v>352</v>
      </c>
      <c r="C269" s="705" t="s">
        <v>509</v>
      </c>
      <c r="D269" s="706" t="s">
        <v>510</v>
      </c>
      <c r="E269" s="706" t="s">
        <v>400</v>
      </c>
      <c r="F269" s="706">
        <v>1</v>
      </c>
      <c r="G269" s="706"/>
      <c r="H269" s="720"/>
      <c r="I269" s="720">
        <v>46122</v>
      </c>
      <c r="J269" s="706" t="s">
        <v>355</v>
      </c>
      <c r="K269" t="str">
        <f t="shared" si="16"/>
        <v>Switch</v>
      </c>
      <c r="M269" s="419">
        <f t="shared" si="15"/>
        <v>0</v>
      </c>
      <c r="N269" s="419">
        <f t="shared" si="17"/>
        <v>0</v>
      </c>
      <c r="O269" s="419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1">
        <f>All_Detail_v2[[#This Row],[Scheduled Date]]</f>
        <v>46122</v>
      </c>
      <c r="S269" s="421">
        <f>All_Detail_v2[[#This Row],[Install Date]]</f>
        <v>0</v>
      </c>
    </row>
    <row r="270" spans="1:19">
      <c r="A270">
        <v>266</v>
      </c>
      <c r="B270" s="704" t="s">
        <v>352</v>
      </c>
      <c r="C270" s="705" t="s">
        <v>509</v>
      </c>
      <c r="D270" s="706" t="s">
        <v>511</v>
      </c>
      <c r="E270" s="706" t="s">
        <v>365</v>
      </c>
      <c r="F270" s="706">
        <v>1</v>
      </c>
      <c r="G270" s="706"/>
      <c r="H270" s="720"/>
      <c r="I270" s="720">
        <v>46122</v>
      </c>
      <c r="J270" s="706" t="s">
        <v>355</v>
      </c>
      <c r="K270" t="str">
        <f t="shared" si="16"/>
        <v>Switch</v>
      </c>
      <c r="M270" s="419">
        <f t="shared" si="15"/>
        <v>0</v>
      </c>
      <c r="N270" s="419">
        <f t="shared" si="17"/>
        <v>0</v>
      </c>
      <c r="O270" s="419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1">
        <f>All_Detail_v2[[#This Row],[Scheduled Date]]</f>
        <v>46122</v>
      </c>
      <c r="S270" s="421">
        <f>All_Detail_v2[[#This Row],[Install Date]]</f>
        <v>0</v>
      </c>
    </row>
    <row r="271" spans="1:19">
      <c r="A271">
        <v>267</v>
      </c>
      <c r="B271" s="704" t="s">
        <v>352</v>
      </c>
      <c r="C271" s="705" t="s">
        <v>509</v>
      </c>
      <c r="D271" s="705" t="s">
        <v>512</v>
      </c>
      <c r="E271" s="706" t="s">
        <v>360</v>
      </c>
      <c r="F271" s="706">
        <v>1</v>
      </c>
      <c r="G271" s="706"/>
      <c r="H271" s="720"/>
      <c r="I271" s="720">
        <v>46122</v>
      </c>
      <c r="J271" s="706" t="s">
        <v>355</v>
      </c>
      <c r="K271" t="str">
        <f t="shared" si="16"/>
        <v>Switch</v>
      </c>
      <c r="M271" s="419">
        <f t="shared" si="15"/>
        <v>0</v>
      </c>
      <c r="N271" s="419">
        <f t="shared" si="17"/>
        <v>0</v>
      </c>
      <c r="O271" s="419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1">
        <f>All_Detail_v2[[#This Row],[Scheduled Date]]</f>
        <v>46122</v>
      </c>
      <c r="S271" s="421">
        <f>All_Detail_v2[[#This Row],[Install Date]]</f>
        <v>0</v>
      </c>
    </row>
    <row r="272" spans="1:19">
      <c r="A272">
        <v>268</v>
      </c>
      <c r="B272" s="704" t="s">
        <v>352</v>
      </c>
      <c r="C272" s="705" t="s">
        <v>509</v>
      </c>
      <c r="D272" s="705" t="s">
        <v>512</v>
      </c>
      <c r="E272" s="706" t="s">
        <v>365</v>
      </c>
      <c r="F272" s="706">
        <v>1</v>
      </c>
      <c r="G272" s="706"/>
      <c r="H272" s="720"/>
      <c r="I272" s="720">
        <v>46122</v>
      </c>
      <c r="J272" s="706" t="s">
        <v>355</v>
      </c>
      <c r="K272" t="str">
        <f t="shared" si="16"/>
        <v>Switch</v>
      </c>
      <c r="M272" s="419">
        <f t="shared" si="15"/>
        <v>0</v>
      </c>
      <c r="N272" s="419">
        <f t="shared" si="17"/>
        <v>0</v>
      </c>
      <c r="O272" s="419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1">
        <f>All_Detail_v2[[#This Row],[Scheduled Date]]</f>
        <v>46122</v>
      </c>
      <c r="S272" s="421">
        <f>All_Detail_v2[[#This Row],[Install Date]]</f>
        <v>0</v>
      </c>
    </row>
    <row r="273" spans="1:19">
      <c r="A273">
        <v>269</v>
      </c>
      <c r="B273" s="704" t="s">
        <v>352</v>
      </c>
      <c r="C273" s="705" t="s">
        <v>509</v>
      </c>
      <c r="D273" s="705" t="s">
        <v>114</v>
      </c>
      <c r="E273" s="706" t="s">
        <v>360</v>
      </c>
      <c r="F273" s="706">
        <v>1</v>
      </c>
      <c r="G273" s="706"/>
      <c r="H273" s="720"/>
      <c r="I273" s="720">
        <v>46122</v>
      </c>
      <c r="J273" s="706" t="s">
        <v>355</v>
      </c>
      <c r="K273" t="str">
        <f t="shared" si="16"/>
        <v>Switch</v>
      </c>
      <c r="M273" s="419">
        <f t="shared" si="15"/>
        <v>0</v>
      </c>
      <c r="N273" s="419">
        <f t="shared" si="17"/>
        <v>0</v>
      </c>
      <c r="O273" s="419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1">
        <f>All_Detail_v2[[#This Row],[Scheduled Date]]</f>
        <v>46122</v>
      </c>
      <c r="S273" s="421">
        <f>All_Detail_v2[[#This Row],[Install Date]]</f>
        <v>0</v>
      </c>
    </row>
    <row r="274" spans="1:19">
      <c r="A274">
        <v>270</v>
      </c>
      <c r="B274" s="704" t="s">
        <v>352</v>
      </c>
      <c r="C274" s="705" t="s">
        <v>509</v>
      </c>
      <c r="D274" s="705" t="s">
        <v>69</v>
      </c>
      <c r="E274" s="706" t="s">
        <v>360</v>
      </c>
      <c r="F274" s="706">
        <v>1</v>
      </c>
      <c r="G274" s="706"/>
      <c r="H274" s="720"/>
      <c r="I274" s="720">
        <v>46122</v>
      </c>
      <c r="J274" s="706" t="s">
        <v>355</v>
      </c>
      <c r="K274" t="str">
        <f t="shared" si="16"/>
        <v>Switch</v>
      </c>
      <c r="M274" s="419">
        <f t="shared" si="15"/>
        <v>0</v>
      </c>
      <c r="N274" s="419">
        <f t="shared" si="17"/>
        <v>0</v>
      </c>
      <c r="O274" s="419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1">
        <f>All_Detail_v2[[#This Row],[Scheduled Date]]</f>
        <v>46122</v>
      </c>
      <c r="S274" s="421">
        <f>All_Detail_v2[[#This Row],[Install Date]]</f>
        <v>0</v>
      </c>
    </row>
    <row r="275" spans="1:19">
      <c r="A275">
        <v>271</v>
      </c>
      <c r="B275" s="704" t="s">
        <v>352</v>
      </c>
      <c r="C275" s="705" t="s">
        <v>509</v>
      </c>
      <c r="D275" s="705" t="s">
        <v>69</v>
      </c>
      <c r="E275" s="706" t="s">
        <v>365</v>
      </c>
      <c r="F275" s="706">
        <v>1</v>
      </c>
      <c r="G275" s="706"/>
      <c r="H275" s="720"/>
      <c r="I275" s="720">
        <v>46122</v>
      </c>
      <c r="J275" s="706" t="s">
        <v>355</v>
      </c>
      <c r="K275" t="str">
        <f t="shared" si="16"/>
        <v>Switch</v>
      </c>
      <c r="M275" s="419">
        <f t="shared" si="15"/>
        <v>0</v>
      </c>
      <c r="N275" s="419">
        <f t="shared" si="17"/>
        <v>0</v>
      </c>
      <c r="O275" s="419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1">
        <f>All_Detail_v2[[#This Row],[Scheduled Date]]</f>
        <v>46122</v>
      </c>
      <c r="S275" s="421">
        <f>All_Detail_v2[[#This Row],[Install Date]]</f>
        <v>0</v>
      </c>
    </row>
    <row r="276" spans="1:19">
      <c r="A276">
        <v>272</v>
      </c>
      <c r="B276" s="704" t="s">
        <v>352</v>
      </c>
      <c r="C276" s="705" t="s">
        <v>513</v>
      </c>
      <c r="D276" s="706" t="s">
        <v>40</v>
      </c>
      <c r="E276" s="706" t="s">
        <v>354</v>
      </c>
      <c r="F276" s="706">
        <v>4</v>
      </c>
      <c r="G276" s="706"/>
      <c r="H276" s="720"/>
      <c r="I276" s="720">
        <v>46122</v>
      </c>
      <c r="J276" s="706" t="s">
        <v>355</v>
      </c>
      <c r="K276" t="str">
        <f t="shared" si="16"/>
        <v>AP</v>
      </c>
      <c r="M276" s="419">
        <f t="shared" si="15"/>
        <v>0</v>
      </c>
      <c r="N276" s="419">
        <f t="shared" si="17"/>
        <v>0</v>
      </c>
      <c r="O276" s="419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1">
        <f>All_Detail_v2[[#This Row],[Scheduled Date]]</f>
        <v>46122</v>
      </c>
      <c r="S276" s="421">
        <f>All_Detail_v2[[#This Row],[Install Date]]</f>
        <v>0</v>
      </c>
    </row>
    <row r="277" spans="1:19">
      <c r="A277">
        <v>273</v>
      </c>
      <c r="B277" s="704" t="s">
        <v>352</v>
      </c>
      <c r="C277" s="705" t="s">
        <v>513</v>
      </c>
      <c r="D277" s="706" t="s">
        <v>514</v>
      </c>
      <c r="E277" s="706" t="s">
        <v>360</v>
      </c>
      <c r="F277" s="706">
        <v>6</v>
      </c>
      <c r="G277" s="706"/>
      <c r="H277" s="720"/>
      <c r="I277" s="720">
        <v>46128</v>
      </c>
      <c r="J277" s="706" t="s">
        <v>355</v>
      </c>
      <c r="K277" t="str">
        <f t="shared" si="16"/>
        <v>Switch</v>
      </c>
      <c r="M277" s="419">
        <f t="shared" si="15"/>
        <v>0</v>
      </c>
      <c r="N277" s="419">
        <f t="shared" si="17"/>
        <v>0</v>
      </c>
      <c r="O277" s="419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1">
        <f>All_Detail_v2[[#This Row],[Scheduled Date]]</f>
        <v>46128</v>
      </c>
      <c r="S277" s="421">
        <f>All_Detail_v2[[#This Row],[Install Date]]</f>
        <v>0</v>
      </c>
    </row>
    <row r="278" spans="1:19">
      <c r="A278">
        <v>274</v>
      </c>
      <c r="B278" s="704" t="s">
        <v>352</v>
      </c>
      <c r="C278" s="705" t="s">
        <v>513</v>
      </c>
      <c r="D278" s="706" t="s">
        <v>514</v>
      </c>
      <c r="E278" s="706" t="s">
        <v>365</v>
      </c>
      <c r="F278" s="706">
        <v>4</v>
      </c>
      <c r="G278" s="706"/>
      <c r="H278" s="720"/>
      <c r="I278" s="720">
        <v>46128</v>
      </c>
      <c r="J278" s="706" t="s">
        <v>355</v>
      </c>
      <c r="K278" t="str">
        <f t="shared" si="16"/>
        <v>Switch</v>
      </c>
      <c r="M278" s="419">
        <f t="shared" si="15"/>
        <v>0</v>
      </c>
      <c r="N278" s="419">
        <f t="shared" si="17"/>
        <v>0</v>
      </c>
      <c r="O278" s="419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1">
        <f>All_Detail_v2[[#This Row],[Scheduled Date]]</f>
        <v>46128</v>
      </c>
      <c r="S278" s="421">
        <f>All_Detail_v2[[#This Row],[Install Date]]</f>
        <v>0</v>
      </c>
    </row>
    <row r="279" spans="1:19">
      <c r="A279">
        <v>275</v>
      </c>
      <c r="B279" s="704" t="s">
        <v>352</v>
      </c>
      <c r="C279" s="705" t="s">
        <v>515</v>
      </c>
      <c r="D279" s="706" t="s">
        <v>40</v>
      </c>
      <c r="E279" s="706" t="s">
        <v>354</v>
      </c>
      <c r="F279" s="706">
        <v>9</v>
      </c>
      <c r="G279" s="706"/>
      <c r="H279" s="720"/>
      <c r="I279" s="720">
        <v>46132</v>
      </c>
      <c r="J279" s="706" t="s">
        <v>355</v>
      </c>
      <c r="K279" t="str">
        <f t="shared" si="16"/>
        <v>AP</v>
      </c>
      <c r="M279" s="419">
        <f t="shared" si="15"/>
        <v>0</v>
      </c>
      <c r="N279" s="419">
        <f t="shared" si="17"/>
        <v>0</v>
      </c>
      <c r="O279" s="419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1">
        <f>All_Detail_v2[[#This Row],[Scheduled Date]]</f>
        <v>46132</v>
      </c>
      <c r="S279" s="421">
        <f>All_Detail_v2[[#This Row],[Install Date]]</f>
        <v>0</v>
      </c>
    </row>
    <row r="280" spans="1:19">
      <c r="A280">
        <v>276</v>
      </c>
      <c r="B280" s="704" t="s">
        <v>352</v>
      </c>
      <c r="C280" s="705" t="s">
        <v>515</v>
      </c>
      <c r="D280" s="705" t="s">
        <v>516</v>
      </c>
      <c r="E280" s="706" t="s">
        <v>364</v>
      </c>
      <c r="F280" s="706">
        <v>2</v>
      </c>
      <c r="G280" s="706"/>
      <c r="H280" s="720"/>
      <c r="I280" s="720">
        <v>46132</v>
      </c>
      <c r="J280" s="706" t="s">
        <v>355</v>
      </c>
      <c r="K280" t="str">
        <f t="shared" si="16"/>
        <v>Switch</v>
      </c>
      <c r="M280" s="419">
        <f t="shared" si="15"/>
        <v>0</v>
      </c>
      <c r="N280" s="419">
        <f t="shared" si="17"/>
        <v>0</v>
      </c>
      <c r="O280" s="419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1">
        <f>All_Detail_v2[[#This Row],[Scheduled Date]]</f>
        <v>46132</v>
      </c>
      <c r="S280" s="421">
        <f>All_Detail_v2[[#This Row],[Install Date]]</f>
        <v>0</v>
      </c>
    </row>
    <row r="281" spans="1:19">
      <c r="A281">
        <v>277</v>
      </c>
      <c r="B281" s="704" t="s">
        <v>352</v>
      </c>
      <c r="C281" s="705" t="s">
        <v>515</v>
      </c>
      <c r="D281" s="705" t="s">
        <v>516</v>
      </c>
      <c r="E281" s="706" t="s">
        <v>357</v>
      </c>
      <c r="F281" s="706">
        <v>2</v>
      </c>
      <c r="G281" s="706"/>
      <c r="H281" s="720"/>
      <c r="I281" s="720">
        <v>46132</v>
      </c>
      <c r="J281" s="706" t="s">
        <v>355</v>
      </c>
      <c r="K281" t="str">
        <f t="shared" si="16"/>
        <v>Switch</v>
      </c>
      <c r="M281" s="419">
        <f t="shared" si="15"/>
        <v>0</v>
      </c>
      <c r="N281" s="419">
        <f t="shared" si="17"/>
        <v>0</v>
      </c>
      <c r="O281" s="419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1">
        <f>All_Detail_v2[[#This Row],[Scheduled Date]]</f>
        <v>46132</v>
      </c>
      <c r="S281" s="421">
        <f>All_Detail_v2[[#This Row],[Install Date]]</f>
        <v>0</v>
      </c>
    </row>
    <row r="282" spans="1:19">
      <c r="A282">
        <v>278</v>
      </c>
      <c r="B282" s="704" t="s">
        <v>352</v>
      </c>
      <c r="C282" s="705" t="s">
        <v>517</v>
      </c>
      <c r="D282" s="706" t="s">
        <v>40</v>
      </c>
      <c r="E282" s="706" t="s">
        <v>354</v>
      </c>
      <c r="F282" s="706">
        <v>9</v>
      </c>
      <c r="G282" s="706"/>
      <c r="H282" s="720"/>
      <c r="I282" s="720">
        <v>46133</v>
      </c>
      <c r="J282" s="706" t="s">
        <v>355</v>
      </c>
      <c r="K282" t="str">
        <f t="shared" si="16"/>
        <v>AP</v>
      </c>
      <c r="M282" s="419">
        <f t="shared" si="15"/>
        <v>0</v>
      </c>
      <c r="N282" s="419">
        <f t="shared" si="17"/>
        <v>0</v>
      </c>
      <c r="O282" s="419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1">
        <f>All_Detail_v2[[#This Row],[Scheduled Date]]</f>
        <v>46133</v>
      </c>
      <c r="S282" s="421">
        <f>All_Detail_v2[[#This Row],[Install Date]]</f>
        <v>0</v>
      </c>
    </row>
    <row r="283" spans="1:19">
      <c r="A283">
        <v>279</v>
      </c>
      <c r="B283" s="704" t="s">
        <v>352</v>
      </c>
      <c r="C283" s="705" t="s">
        <v>517</v>
      </c>
      <c r="D283" s="706" t="s">
        <v>518</v>
      </c>
      <c r="E283" s="706" t="s">
        <v>364</v>
      </c>
      <c r="F283" s="706">
        <v>1</v>
      </c>
      <c r="G283" s="706"/>
      <c r="H283" s="720"/>
      <c r="I283" s="720">
        <v>46133</v>
      </c>
      <c r="J283" s="706" t="s">
        <v>355</v>
      </c>
      <c r="K283" t="str">
        <f t="shared" si="16"/>
        <v>Switch</v>
      </c>
      <c r="M283" s="419">
        <f t="shared" si="15"/>
        <v>0</v>
      </c>
      <c r="N283" s="419">
        <f t="shared" si="17"/>
        <v>0</v>
      </c>
      <c r="O283" s="419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1">
        <f>All_Detail_v2[[#This Row],[Scheduled Date]]</f>
        <v>46133</v>
      </c>
      <c r="S283" s="421">
        <f>All_Detail_v2[[#This Row],[Install Date]]</f>
        <v>0</v>
      </c>
    </row>
    <row r="284" spans="1:19">
      <c r="A284">
        <v>280</v>
      </c>
      <c r="B284" s="704" t="s">
        <v>352</v>
      </c>
      <c r="C284" s="705" t="s">
        <v>517</v>
      </c>
      <c r="D284" s="706" t="s">
        <v>518</v>
      </c>
      <c r="E284" s="706" t="s">
        <v>365</v>
      </c>
      <c r="F284" s="706">
        <v>2</v>
      </c>
      <c r="G284" s="706"/>
      <c r="H284" s="720"/>
      <c r="I284" s="720">
        <v>46133</v>
      </c>
      <c r="J284" s="706" t="s">
        <v>355</v>
      </c>
      <c r="K284" t="str">
        <f t="shared" si="16"/>
        <v>Switch</v>
      </c>
      <c r="M284" s="419">
        <f t="shared" si="15"/>
        <v>0</v>
      </c>
      <c r="N284" s="419">
        <f t="shared" si="17"/>
        <v>0</v>
      </c>
      <c r="O284" s="419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1">
        <f>All_Detail_v2[[#This Row],[Scheduled Date]]</f>
        <v>46133</v>
      </c>
      <c r="S284" s="421">
        <f>All_Detail_v2[[#This Row],[Install Date]]</f>
        <v>0</v>
      </c>
    </row>
    <row r="285" spans="1:19">
      <c r="A285">
        <v>281</v>
      </c>
      <c r="B285" s="704" t="s">
        <v>352</v>
      </c>
      <c r="C285" s="705" t="s">
        <v>519</v>
      </c>
      <c r="D285" s="706" t="s">
        <v>40</v>
      </c>
      <c r="E285" s="706" t="s">
        <v>354</v>
      </c>
      <c r="F285" s="706">
        <v>10</v>
      </c>
      <c r="G285" s="706"/>
      <c r="H285" s="720"/>
      <c r="I285" s="720">
        <v>46133</v>
      </c>
      <c r="J285" s="706" t="s">
        <v>355</v>
      </c>
      <c r="K285" t="str">
        <f t="shared" si="16"/>
        <v>AP</v>
      </c>
      <c r="M285" s="419">
        <f t="shared" si="15"/>
        <v>0</v>
      </c>
      <c r="N285" s="419">
        <f t="shared" si="17"/>
        <v>0</v>
      </c>
      <c r="O285" s="419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1">
        <f>All_Detail_v2[[#This Row],[Scheduled Date]]</f>
        <v>46133</v>
      </c>
      <c r="S285" s="421">
        <f>All_Detail_v2[[#This Row],[Install Date]]</f>
        <v>0</v>
      </c>
    </row>
    <row r="286" spans="1:19">
      <c r="A286">
        <v>282</v>
      </c>
      <c r="B286" s="704" t="s">
        <v>352</v>
      </c>
      <c r="C286" s="705" t="s">
        <v>520</v>
      </c>
      <c r="D286" s="706" t="s">
        <v>40</v>
      </c>
      <c r="E286" s="706" t="s">
        <v>354</v>
      </c>
      <c r="F286" s="706">
        <v>6</v>
      </c>
      <c r="G286" s="706"/>
      <c r="H286" s="720"/>
      <c r="I286" s="720">
        <v>46134</v>
      </c>
      <c r="J286" s="706" t="s">
        <v>355</v>
      </c>
      <c r="K286" t="str">
        <f t="shared" si="16"/>
        <v>AP</v>
      </c>
      <c r="M286" s="419">
        <f t="shared" si="15"/>
        <v>0</v>
      </c>
      <c r="N286" s="419">
        <f t="shared" si="17"/>
        <v>0</v>
      </c>
      <c r="O286" s="419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1">
        <f>All_Detail_v2[[#This Row],[Scheduled Date]]</f>
        <v>46134</v>
      </c>
      <c r="S286" s="421">
        <f>All_Detail_v2[[#This Row],[Install Date]]</f>
        <v>0</v>
      </c>
    </row>
    <row r="287" spans="1:19">
      <c r="A287">
        <v>283</v>
      </c>
      <c r="B287" s="704" t="s">
        <v>352</v>
      </c>
      <c r="C287" s="705" t="s">
        <v>520</v>
      </c>
      <c r="D287" s="705" t="s">
        <v>516</v>
      </c>
      <c r="E287" s="706" t="s">
        <v>364</v>
      </c>
      <c r="F287" s="706">
        <v>1</v>
      </c>
      <c r="G287" s="706"/>
      <c r="H287" s="720"/>
      <c r="I287" s="720">
        <v>46134</v>
      </c>
      <c r="J287" s="706" t="s">
        <v>355</v>
      </c>
      <c r="K287" t="str">
        <f t="shared" si="16"/>
        <v>Switch</v>
      </c>
      <c r="M287" s="419">
        <f t="shared" si="15"/>
        <v>0</v>
      </c>
      <c r="N287" s="419">
        <f t="shared" si="17"/>
        <v>0</v>
      </c>
      <c r="O287" s="419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1">
        <f>All_Detail_v2[[#This Row],[Scheduled Date]]</f>
        <v>46134</v>
      </c>
      <c r="S287" s="421">
        <f>All_Detail_v2[[#This Row],[Install Date]]</f>
        <v>0</v>
      </c>
    </row>
    <row r="288" spans="1:19">
      <c r="A288">
        <v>284</v>
      </c>
      <c r="B288" s="704" t="s">
        <v>352</v>
      </c>
      <c r="C288" s="705" t="s">
        <v>520</v>
      </c>
      <c r="D288" s="705" t="s">
        <v>516</v>
      </c>
      <c r="E288" s="706" t="s">
        <v>357</v>
      </c>
      <c r="F288" s="706">
        <v>1</v>
      </c>
      <c r="G288" s="706"/>
      <c r="H288" s="720"/>
      <c r="I288" s="720">
        <v>46134</v>
      </c>
      <c r="J288" s="706" t="s">
        <v>355</v>
      </c>
      <c r="K288" t="str">
        <f t="shared" si="16"/>
        <v>Switch</v>
      </c>
      <c r="M288" s="419">
        <f t="shared" si="15"/>
        <v>0</v>
      </c>
      <c r="N288" s="419">
        <f t="shared" si="17"/>
        <v>0</v>
      </c>
      <c r="O288" s="419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1">
        <f>All_Detail_v2[[#This Row],[Scheduled Date]]</f>
        <v>46134</v>
      </c>
      <c r="S288" s="421">
        <f>All_Detail_v2[[#This Row],[Install Date]]</f>
        <v>0</v>
      </c>
    </row>
    <row r="289" spans="1:19">
      <c r="A289">
        <v>285</v>
      </c>
      <c r="B289" s="704" t="s">
        <v>352</v>
      </c>
      <c r="C289" s="705" t="s">
        <v>520</v>
      </c>
      <c r="D289" s="705" t="s">
        <v>516</v>
      </c>
      <c r="E289" s="706" t="s">
        <v>402</v>
      </c>
      <c r="F289" s="706">
        <v>1</v>
      </c>
      <c r="G289" s="706"/>
      <c r="H289" s="720"/>
      <c r="I289" s="720">
        <v>46134</v>
      </c>
      <c r="J289" s="706" t="s">
        <v>355</v>
      </c>
      <c r="K289" t="str">
        <f t="shared" si="16"/>
        <v>Switch</v>
      </c>
      <c r="M289" s="419">
        <f t="shared" si="15"/>
        <v>0</v>
      </c>
      <c r="N289" s="419">
        <f t="shared" si="17"/>
        <v>0</v>
      </c>
      <c r="O289" s="419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1">
        <f>All_Detail_v2[[#This Row],[Scheduled Date]]</f>
        <v>46134</v>
      </c>
      <c r="S289" s="421">
        <f>All_Detail_v2[[#This Row],[Install Date]]</f>
        <v>0</v>
      </c>
    </row>
    <row r="290" spans="1:19">
      <c r="A290">
        <v>286</v>
      </c>
      <c r="B290" s="704" t="s">
        <v>352</v>
      </c>
      <c r="C290" s="705" t="s">
        <v>520</v>
      </c>
      <c r="D290" s="705" t="s">
        <v>516</v>
      </c>
      <c r="E290" s="706" t="s">
        <v>400</v>
      </c>
      <c r="F290" s="706">
        <v>1</v>
      </c>
      <c r="G290" s="706"/>
      <c r="H290" s="720"/>
      <c r="I290" s="720">
        <v>46134</v>
      </c>
      <c r="J290" s="706" t="s">
        <v>355</v>
      </c>
      <c r="K290" t="str">
        <f t="shared" si="16"/>
        <v>Switch</v>
      </c>
      <c r="M290" s="419">
        <f t="shared" si="15"/>
        <v>0</v>
      </c>
      <c r="N290" s="419">
        <f t="shared" si="17"/>
        <v>0</v>
      </c>
      <c r="O290" s="419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1">
        <f>All_Detail_v2[[#This Row],[Scheduled Date]]</f>
        <v>46134</v>
      </c>
      <c r="S290" s="421">
        <f>All_Detail_v2[[#This Row],[Install Date]]</f>
        <v>0</v>
      </c>
    </row>
    <row r="291" spans="1:19">
      <c r="A291">
        <v>287</v>
      </c>
      <c r="B291" s="704" t="s">
        <v>352</v>
      </c>
      <c r="C291" s="705" t="s">
        <v>521</v>
      </c>
      <c r="D291" s="706" t="s">
        <v>40</v>
      </c>
      <c r="E291" s="706" t="s">
        <v>354</v>
      </c>
      <c r="F291" s="706">
        <v>3</v>
      </c>
      <c r="G291" s="706"/>
      <c r="H291" s="720"/>
      <c r="I291" s="720">
        <v>46134</v>
      </c>
      <c r="J291" s="706" t="s">
        <v>355</v>
      </c>
      <c r="K291" t="str">
        <f t="shared" si="16"/>
        <v>AP</v>
      </c>
      <c r="M291" s="419">
        <f t="shared" si="15"/>
        <v>0</v>
      </c>
      <c r="N291" s="419">
        <f t="shared" si="17"/>
        <v>0</v>
      </c>
      <c r="O291" s="419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1">
        <f>All_Detail_v2[[#This Row],[Scheduled Date]]</f>
        <v>46134</v>
      </c>
      <c r="S291" s="421">
        <f>All_Detail_v2[[#This Row],[Install Date]]</f>
        <v>0</v>
      </c>
    </row>
    <row r="292" spans="1:19">
      <c r="A292">
        <v>288</v>
      </c>
      <c r="B292" s="704" t="s">
        <v>352</v>
      </c>
      <c r="C292" s="705" t="s">
        <v>521</v>
      </c>
      <c r="D292" s="705" t="s">
        <v>522</v>
      </c>
      <c r="E292" s="706" t="s">
        <v>364</v>
      </c>
      <c r="F292" s="706">
        <v>1</v>
      </c>
      <c r="G292" s="706"/>
      <c r="H292" s="720"/>
      <c r="I292" s="720">
        <v>46134</v>
      </c>
      <c r="J292" s="706" t="s">
        <v>355</v>
      </c>
      <c r="K292" t="str">
        <f t="shared" si="16"/>
        <v>Switch</v>
      </c>
      <c r="M292" s="419">
        <f t="shared" si="15"/>
        <v>0</v>
      </c>
      <c r="N292" s="419">
        <f t="shared" si="17"/>
        <v>0</v>
      </c>
      <c r="O292" s="419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1">
        <f>All_Detail_v2[[#This Row],[Scheduled Date]]</f>
        <v>46134</v>
      </c>
      <c r="S292" s="421">
        <f>All_Detail_v2[[#This Row],[Install Date]]</f>
        <v>0</v>
      </c>
    </row>
    <row r="293" spans="1:19">
      <c r="A293">
        <v>289</v>
      </c>
      <c r="B293" s="704" t="s">
        <v>352</v>
      </c>
      <c r="C293" s="705" t="s">
        <v>521</v>
      </c>
      <c r="D293" s="705" t="s">
        <v>522</v>
      </c>
      <c r="E293" s="706" t="s">
        <v>365</v>
      </c>
      <c r="F293" s="706">
        <v>2</v>
      </c>
      <c r="G293" s="706"/>
      <c r="H293" s="720"/>
      <c r="I293" s="720">
        <v>46134</v>
      </c>
      <c r="J293" s="706" t="s">
        <v>355</v>
      </c>
      <c r="K293" t="str">
        <f t="shared" si="16"/>
        <v>Switch</v>
      </c>
      <c r="M293" s="419">
        <f t="shared" si="15"/>
        <v>0</v>
      </c>
      <c r="N293" s="419">
        <f t="shared" si="17"/>
        <v>0</v>
      </c>
      <c r="O293" s="419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1">
        <f>All_Detail_v2[[#This Row],[Scheduled Date]]</f>
        <v>46134</v>
      </c>
      <c r="S293" s="421">
        <f>All_Detail_v2[[#This Row],[Install Date]]</f>
        <v>0</v>
      </c>
    </row>
    <row r="294" spans="1:19">
      <c r="A294">
        <v>290</v>
      </c>
      <c r="B294" s="704" t="s">
        <v>352</v>
      </c>
      <c r="C294" s="706" t="s">
        <v>523</v>
      </c>
      <c r="D294" s="706" t="s">
        <v>523</v>
      </c>
      <c r="E294" s="706" t="s">
        <v>360</v>
      </c>
      <c r="F294" s="706">
        <v>1</v>
      </c>
      <c r="G294" s="706"/>
      <c r="H294" s="720"/>
      <c r="I294" s="720">
        <v>46136</v>
      </c>
      <c r="J294" s="706" t="s">
        <v>355</v>
      </c>
      <c r="K294" t="str">
        <f t="shared" si="16"/>
        <v>Switch</v>
      </c>
      <c r="M294" s="419">
        <f t="shared" si="15"/>
        <v>0</v>
      </c>
      <c r="N294" s="419">
        <f t="shared" si="17"/>
        <v>0</v>
      </c>
      <c r="O294" s="419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1">
        <f>All_Detail_v2[[#This Row],[Scheduled Date]]</f>
        <v>46136</v>
      </c>
      <c r="S294" s="421">
        <f>All_Detail_v2[[#This Row],[Install Date]]</f>
        <v>0</v>
      </c>
    </row>
    <row r="295" spans="1:19">
      <c r="A295">
        <v>291</v>
      </c>
      <c r="B295" s="704" t="s">
        <v>352</v>
      </c>
      <c r="C295" s="706" t="s">
        <v>523</v>
      </c>
      <c r="D295" s="706" t="s">
        <v>523</v>
      </c>
      <c r="E295" s="706" t="s">
        <v>365</v>
      </c>
      <c r="F295" s="706">
        <v>1</v>
      </c>
      <c r="G295" s="706"/>
      <c r="H295" s="720"/>
      <c r="I295" s="720">
        <v>46136</v>
      </c>
      <c r="J295" s="706" t="s">
        <v>355</v>
      </c>
      <c r="K295" t="str">
        <f t="shared" si="16"/>
        <v>Switch</v>
      </c>
      <c r="M295" s="419">
        <f t="shared" si="15"/>
        <v>0</v>
      </c>
      <c r="N295" s="419">
        <f t="shared" si="17"/>
        <v>0</v>
      </c>
      <c r="O295" s="419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1">
        <f>All_Detail_v2[[#This Row],[Scheduled Date]]</f>
        <v>46136</v>
      </c>
      <c r="S295" s="421">
        <f>All_Detail_v2[[#This Row],[Install Date]]</f>
        <v>0</v>
      </c>
    </row>
    <row r="296" spans="1:19">
      <c r="A296">
        <v>292</v>
      </c>
      <c r="B296" s="704" t="s">
        <v>352</v>
      </c>
      <c r="C296" s="706" t="s">
        <v>524</v>
      </c>
      <c r="D296" s="706" t="s">
        <v>524</v>
      </c>
      <c r="E296" s="706" t="s">
        <v>360</v>
      </c>
      <c r="F296" s="706">
        <v>1</v>
      </c>
      <c r="G296" s="706"/>
      <c r="H296" s="720"/>
      <c r="I296" s="720">
        <v>46135</v>
      </c>
      <c r="J296" s="706" t="s">
        <v>355</v>
      </c>
      <c r="K296" t="str">
        <f t="shared" si="16"/>
        <v>Switch</v>
      </c>
      <c r="M296" s="419">
        <f t="shared" si="15"/>
        <v>0</v>
      </c>
      <c r="N296" s="419">
        <f t="shared" si="17"/>
        <v>0</v>
      </c>
      <c r="O296" s="419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1">
        <f>All_Detail_v2[[#This Row],[Scheduled Date]]</f>
        <v>46135</v>
      </c>
      <c r="S296" s="421">
        <f>All_Detail_v2[[#This Row],[Install Date]]</f>
        <v>0</v>
      </c>
    </row>
    <row r="297" spans="1:19">
      <c r="A297">
        <v>293</v>
      </c>
      <c r="B297" s="704" t="s">
        <v>352</v>
      </c>
      <c r="C297" s="706" t="s">
        <v>524</v>
      </c>
      <c r="D297" s="706" t="s">
        <v>524</v>
      </c>
      <c r="E297" s="706" t="s">
        <v>365</v>
      </c>
      <c r="F297" s="706">
        <v>1</v>
      </c>
      <c r="G297" s="706"/>
      <c r="H297" s="720"/>
      <c r="I297" s="720">
        <v>46135</v>
      </c>
      <c r="J297" s="706" t="s">
        <v>355</v>
      </c>
      <c r="K297" t="str">
        <f t="shared" si="16"/>
        <v>Switch</v>
      </c>
      <c r="M297" s="419">
        <f t="shared" si="15"/>
        <v>0</v>
      </c>
      <c r="N297" s="419">
        <f t="shared" si="17"/>
        <v>0</v>
      </c>
      <c r="O297" s="419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1">
        <f>All_Detail_v2[[#This Row],[Scheduled Date]]</f>
        <v>46135</v>
      </c>
      <c r="S297" s="421">
        <f>All_Detail_v2[[#This Row],[Install Date]]</f>
        <v>0</v>
      </c>
    </row>
    <row r="298" spans="1:19">
      <c r="A298">
        <v>294</v>
      </c>
      <c r="B298" s="704" t="s">
        <v>352</v>
      </c>
      <c r="C298" s="706" t="s">
        <v>525</v>
      </c>
      <c r="D298" s="706" t="s">
        <v>525</v>
      </c>
      <c r="E298" s="706" t="s">
        <v>360</v>
      </c>
      <c r="F298" s="706">
        <v>1</v>
      </c>
      <c r="G298" s="706"/>
      <c r="H298" s="720"/>
      <c r="I298" s="720">
        <v>46135</v>
      </c>
      <c r="J298" s="706" t="s">
        <v>355</v>
      </c>
      <c r="K298" t="str">
        <f t="shared" si="16"/>
        <v>Switch</v>
      </c>
      <c r="M298" s="419">
        <f t="shared" si="15"/>
        <v>0</v>
      </c>
      <c r="N298" s="419">
        <f t="shared" si="17"/>
        <v>0</v>
      </c>
      <c r="O298" s="419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1">
        <f>All_Detail_v2[[#This Row],[Scheduled Date]]</f>
        <v>46135</v>
      </c>
      <c r="S298" s="421">
        <f>All_Detail_v2[[#This Row],[Install Date]]</f>
        <v>0</v>
      </c>
    </row>
    <row r="299" spans="1:19">
      <c r="A299">
        <v>295</v>
      </c>
      <c r="B299" s="704" t="s">
        <v>352</v>
      </c>
      <c r="C299" s="706" t="s">
        <v>525</v>
      </c>
      <c r="D299" s="706" t="s">
        <v>525</v>
      </c>
      <c r="E299" s="706" t="s">
        <v>365</v>
      </c>
      <c r="F299" s="706">
        <v>1</v>
      </c>
      <c r="G299" s="706"/>
      <c r="H299" s="720"/>
      <c r="I299" s="720">
        <v>46135</v>
      </c>
      <c r="J299" s="706" t="s">
        <v>355</v>
      </c>
      <c r="K299" t="str">
        <f t="shared" si="16"/>
        <v>Switch</v>
      </c>
      <c r="M299" s="419">
        <f t="shared" si="15"/>
        <v>0</v>
      </c>
      <c r="N299" s="419">
        <f t="shared" si="17"/>
        <v>0</v>
      </c>
      <c r="O299" s="419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1">
        <f>All_Detail_v2[[#This Row],[Scheduled Date]]</f>
        <v>46135</v>
      </c>
      <c r="S299" s="421">
        <f>All_Detail_v2[[#This Row],[Install Date]]</f>
        <v>0</v>
      </c>
    </row>
    <row r="300" spans="1:19">
      <c r="A300">
        <v>296</v>
      </c>
      <c r="B300" s="704" t="s">
        <v>352</v>
      </c>
      <c r="C300" s="706" t="s">
        <v>526</v>
      </c>
      <c r="D300" s="705" t="s">
        <v>527</v>
      </c>
      <c r="E300" s="706" t="s">
        <v>360</v>
      </c>
      <c r="F300" s="706">
        <v>1</v>
      </c>
      <c r="G300" s="706"/>
      <c r="H300" s="720"/>
      <c r="I300" s="720">
        <v>46174</v>
      </c>
      <c r="J300" s="706" t="s">
        <v>388</v>
      </c>
      <c r="K300" t="str">
        <f t="shared" si="16"/>
        <v>Switch</v>
      </c>
      <c r="L300" t="s">
        <v>448</v>
      </c>
      <c r="M300" s="419">
        <f t="shared" si="15"/>
        <v>0</v>
      </c>
      <c r="N300" s="419">
        <f t="shared" si="17"/>
        <v>0</v>
      </c>
      <c r="O300" s="419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1">
        <f>All_Detail_v2[[#This Row],[Scheduled Date]]</f>
        <v>46174</v>
      </c>
      <c r="S300" s="421">
        <f>All_Detail_v2[[#This Row],[Install Date]]</f>
        <v>0</v>
      </c>
    </row>
    <row r="301" spans="1:19">
      <c r="A301">
        <v>297</v>
      </c>
      <c r="B301" s="704" t="s">
        <v>352</v>
      </c>
      <c r="C301" s="705" t="s">
        <v>528</v>
      </c>
      <c r="D301" s="705" t="s">
        <v>529</v>
      </c>
      <c r="E301" s="706" t="s">
        <v>364</v>
      </c>
      <c r="F301" s="706">
        <v>1</v>
      </c>
      <c r="G301" s="706"/>
      <c r="H301" s="720"/>
      <c r="I301" s="720">
        <v>46135</v>
      </c>
      <c r="J301" s="706" t="s">
        <v>355</v>
      </c>
      <c r="K301" t="str">
        <f t="shared" si="16"/>
        <v>Switch</v>
      </c>
      <c r="M301" s="419">
        <f t="shared" si="15"/>
        <v>0</v>
      </c>
      <c r="N301" s="419">
        <f t="shared" si="17"/>
        <v>0</v>
      </c>
      <c r="O301" s="419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1">
        <f>All_Detail_v2[[#This Row],[Scheduled Date]]</f>
        <v>46135</v>
      </c>
      <c r="S301" s="421">
        <f>All_Detail_v2[[#This Row],[Install Date]]</f>
        <v>0</v>
      </c>
    </row>
    <row r="302" spans="1:19">
      <c r="A302">
        <v>298</v>
      </c>
      <c r="B302" s="704" t="s">
        <v>352</v>
      </c>
      <c r="C302" s="705" t="s">
        <v>530</v>
      </c>
      <c r="D302" s="706" t="s">
        <v>518</v>
      </c>
      <c r="E302" s="706" t="s">
        <v>360</v>
      </c>
      <c r="F302" s="706">
        <v>1</v>
      </c>
      <c r="G302" s="706"/>
      <c r="H302" s="720"/>
      <c r="I302" s="720">
        <v>46135</v>
      </c>
      <c r="J302" s="706" t="s">
        <v>355</v>
      </c>
      <c r="K302" t="str">
        <f t="shared" si="16"/>
        <v>Switch</v>
      </c>
      <c r="M302" s="419">
        <f t="shared" si="15"/>
        <v>0</v>
      </c>
      <c r="N302" s="419">
        <f t="shared" si="17"/>
        <v>0</v>
      </c>
      <c r="O302" s="419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1">
        <f>All_Detail_v2[[#This Row],[Scheduled Date]]</f>
        <v>46135</v>
      </c>
      <c r="S302" s="421">
        <f>All_Detail_v2[[#This Row],[Install Date]]</f>
        <v>0</v>
      </c>
    </row>
    <row r="303" spans="1:19">
      <c r="A303">
        <v>299</v>
      </c>
      <c r="B303" s="704" t="s">
        <v>531</v>
      </c>
      <c r="C303" s="705" t="s">
        <v>532</v>
      </c>
      <c r="D303" s="706" t="s">
        <v>533</v>
      </c>
      <c r="E303" s="706" t="s">
        <v>360</v>
      </c>
      <c r="F303" s="706">
        <v>4</v>
      </c>
      <c r="G303" s="706">
        <v>4</v>
      </c>
      <c r="H303" s="720">
        <v>46095</v>
      </c>
      <c r="I303" s="720">
        <v>46095</v>
      </c>
      <c r="J303" s="706" t="s">
        <v>358</v>
      </c>
      <c r="K303" t="str">
        <f t="shared" si="16"/>
        <v>Switch</v>
      </c>
      <c r="M303" s="419">
        <f t="shared" si="15"/>
        <v>4</v>
      </c>
      <c r="N303" s="419">
        <f t="shared" si="17"/>
        <v>4</v>
      </c>
      <c r="O303" s="419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1">
        <f>All_Detail_v2[[#This Row],[Scheduled Date]]</f>
        <v>46095</v>
      </c>
      <c r="S303" s="421">
        <f>All_Detail_v2[[#This Row],[Install Date]]</f>
        <v>46095</v>
      </c>
    </row>
    <row r="304" spans="1:19">
      <c r="A304">
        <v>300</v>
      </c>
      <c r="B304" s="704" t="s">
        <v>531</v>
      </c>
      <c r="C304" s="705" t="s">
        <v>532</v>
      </c>
      <c r="D304" s="706" t="s">
        <v>533</v>
      </c>
      <c r="E304" s="706" t="s">
        <v>365</v>
      </c>
      <c r="F304" s="706">
        <v>2</v>
      </c>
      <c r="G304" s="706">
        <v>2</v>
      </c>
      <c r="H304" s="720">
        <v>46095</v>
      </c>
      <c r="I304" s="720">
        <v>46095</v>
      </c>
      <c r="J304" s="706" t="s">
        <v>358</v>
      </c>
      <c r="K304" t="str">
        <f t="shared" si="16"/>
        <v>Switch</v>
      </c>
      <c r="M304" s="419">
        <f t="shared" si="15"/>
        <v>2</v>
      </c>
      <c r="N304" s="419">
        <f t="shared" si="17"/>
        <v>2</v>
      </c>
      <c r="O304" s="419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1">
        <f>All_Detail_v2[[#This Row],[Scheduled Date]]</f>
        <v>46095</v>
      </c>
      <c r="S304" s="421">
        <f>All_Detail_v2[[#This Row],[Install Date]]</f>
        <v>46095</v>
      </c>
    </row>
    <row r="305" spans="1:19">
      <c r="A305">
        <v>301</v>
      </c>
      <c r="B305" s="704" t="s">
        <v>531</v>
      </c>
      <c r="C305" s="705" t="s">
        <v>532</v>
      </c>
      <c r="D305" s="706" t="s">
        <v>534</v>
      </c>
      <c r="E305" s="706" t="s">
        <v>360</v>
      </c>
      <c r="F305" s="706">
        <v>8</v>
      </c>
      <c r="G305" s="706">
        <v>8</v>
      </c>
      <c r="H305" s="720">
        <v>46095</v>
      </c>
      <c r="I305" s="720">
        <v>46095</v>
      </c>
      <c r="J305" s="706" t="s">
        <v>358</v>
      </c>
      <c r="K305" t="str">
        <f t="shared" si="16"/>
        <v>Switch</v>
      </c>
      <c r="M305" s="419">
        <f t="shared" si="15"/>
        <v>8</v>
      </c>
      <c r="N305" s="419">
        <f t="shared" si="17"/>
        <v>8</v>
      </c>
      <c r="O305" s="419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1">
        <f>All_Detail_v2[[#This Row],[Scheduled Date]]</f>
        <v>46095</v>
      </c>
      <c r="S305" s="421">
        <f>All_Detail_v2[[#This Row],[Install Date]]</f>
        <v>46095</v>
      </c>
    </row>
    <row r="306" spans="1:19">
      <c r="A306">
        <v>302</v>
      </c>
      <c r="B306" s="704" t="s">
        <v>531</v>
      </c>
      <c r="C306" s="705" t="s">
        <v>532</v>
      </c>
      <c r="D306" s="706" t="s">
        <v>534</v>
      </c>
      <c r="E306" s="706" t="s">
        <v>365</v>
      </c>
      <c r="F306" s="706">
        <v>4</v>
      </c>
      <c r="G306" s="706">
        <v>4</v>
      </c>
      <c r="H306" s="720">
        <v>46095</v>
      </c>
      <c r="I306" s="720">
        <v>46095</v>
      </c>
      <c r="J306" s="706" t="s">
        <v>358</v>
      </c>
      <c r="K306" t="str">
        <f t="shared" si="16"/>
        <v>Switch</v>
      </c>
      <c r="M306" s="419">
        <f t="shared" si="15"/>
        <v>4</v>
      </c>
      <c r="N306" s="419">
        <f t="shared" si="17"/>
        <v>4</v>
      </c>
      <c r="O306" s="419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1">
        <f>All_Detail_v2[[#This Row],[Scheduled Date]]</f>
        <v>46095</v>
      </c>
      <c r="S306" s="421">
        <f>All_Detail_v2[[#This Row],[Install Date]]</f>
        <v>46095</v>
      </c>
    </row>
    <row r="307" spans="1:19">
      <c r="A307">
        <v>303</v>
      </c>
      <c r="B307" s="704" t="s">
        <v>531</v>
      </c>
      <c r="C307" s="707" t="s">
        <v>535</v>
      </c>
      <c r="D307" s="706" t="s">
        <v>40</v>
      </c>
      <c r="E307" s="706" t="s">
        <v>354</v>
      </c>
      <c r="F307" s="706">
        <v>24</v>
      </c>
      <c r="G307" s="706">
        <v>24</v>
      </c>
      <c r="H307" s="720">
        <v>46063</v>
      </c>
      <c r="I307" s="720">
        <v>46079</v>
      </c>
      <c r="J307" s="706" t="s">
        <v>358</v>
      </c>
      <c r="K307" t="str">
        <f t="shared" si="16"/>
        <v>AP</v>
      </c>
      <c r="M307" s="419">
        <f t="shared" si="15"/>
        <v>24</v>
      </c>
      <c r="N307" s="419">
        <f t="shared" si="17"/>
        <v>24</v>
      </c>
      <c r="O307" s="419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1">
        <f>All_Detail_v2[[#This Row],[Scheduled Date]]</f>
        <v>46079</v>
      </c>
      <c r="S307" s="421">
        <f>All_Detail_v2[[#This Row],[Install Date]]</f>
        <v>46063</v>
      </c>
    </row>
    <row r="308" spans="1:19">
      <c r="A308">
        <v>304</v>
      </c>
      <c r="B308" s="704" t="s">
        <v>531</v>
      </c>
      <c r="C308" s="705" t="s">
        <v>532</v>
      </c>
      <c r="D308" s="706" t="s">
        <v>536</v>
      </c>
      <c r="E308" s="706" t="s">
        <v>365</v>
      </c>
      <c r="F308" s="706">
        <v>2</v>
      </c>
      <c r="G308" s="706">
        <v>2</v>
      </c>
      <c r="H308" s="720">
        <v>46095</v>
      </c>
      <c r="I308" s="720">
        <v>46095</v>
      </c>
      <c r="J308" s="706" t="s">
        <v>358</v>
      </c>
      <c r="K308" t="str">
        <f t="shared" si="16"/>
        <v>Switch</v>
      </c>
      <c r="M308" s="419">
        <f t="shared" si="15"/>
        <v>2</v>
      </c>
      <c r="N308" s="419">
        <f t="shared" si="17"/>
        <v>2</v>
      </c>
      <c r="O308" s="419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1">
        <f>All_Detail_v2[[#This Row],[Scheduled Date]]</f>
        <v>46095</v>
      </c>
      <c r="S308" s="421">
        <f>All_Detail_v2[[#This Row],[Install Date]]</f>
        <v>46095</v>
      </c>
    </row>
    <row r="309" spans="1:19">
      <c r="A309">
        <v>305</v>
      </c>
      <c r="B309" s="704" t="s">
        <v>531</v>
      </c>
      <c r="C309" s="705" t="s">
        <v>532</v>
      </c>
      <c r="D309" s="706" t="s">
        <v>537</v>
      </c>
      <c r="E309" s="706" t="s">
        <v>360</v>
      </c>
      <c r="F309" s="706">
        <v>4</v>
      </c>
      <c r="G309" s="706">
        <v>4</v>
      </c>
      <c r="H309" s="720">
        <v>46095</v>
      </c>
      <c r="I309" s="720">
        <v>46095</v>
      </c>
      <c r="J309" s="706" t="s">
        <v>358</v>
      </c>
      <c r="K309" t="str">
        <f t="shared" si="16"/>
        <v>Switch</v>
      </c>
      <c r="M309" s="419">
        <f t="shared" si="15"/>
        <v>4</v>
      </c>
      <c r="N309" s="419">
        <f t="shared" si="17"/>
        <v>4</v>
      </c>
      <c r="O309" s="419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1">
        <f>All_Detail_v2[[#This Row],[Scheduled Date]]</f>
        <v>46095</v>
      </c>
      <c r="S309" s="421">
        <f>All_Detail_v2[[#This Row],[Install Date]]</f>
        <v>46095</v>
      </c>
    </row>
    <row r="310" spans="1:19">
      <c r="A310">
        <v>306</v>
      </c>
      <c r="B310" s="704" t="s">
        <v>531</v>
      </c>
      <c r="C310" s="705" t="s">
        <v>532</v>
      </c>
      <c r="D310" s="706" t="s">
        <v>538</v>
      </c>
      <c r="E310" s="706" t="s">
        <v>360</v>
      </c>
      <c r="F310" s="706">
        <v>1</v>
      </c>
      <c r="G310" s="706">
        <v>1</v>
      </c>
      <c r="H310" s="720">
        <v>46095</v>
      </c>
      <c r="I310" s="720">
        <v>46095</v>
      </c>
      <c r="J310" s="706" t="s">
        <v>358</v>
      </c>
      <c r="K310" t="str">
        <f t="shared" si="16"/>
        <v>Switch</v>
      </c>
      <c r="M310" s="419">
        <f t="shared" si="15"/>
        <v>1</v>
      </c>
      <c r="N310" s="419">
        <f t="shared" si="17"/>
        <v>1</v>
      </c>
      <c r="O310" s="419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1">
        <f>All_Detail_v2[[#This Row],[Scheduled Date]]</f>
        <v>46095</v>
      </c>
      <c r="S310" s="421">
        <f>All_Detail_v2[[#This Row],[Install Date]]</f>
        <v>46095</v>
      </c>
    </row>
    <row r="311" spans="1:19">
      <c r="A311">
        <v>307</v>
      </c>
      <c r="B311" s="704" t="s">
        <v>531</v>
      </c>
      <c r="C311" s="705" t="s">
        <v>532</v>
      </c>
      <c r="D311" s="706" t="s">
        <v>475</v>
      </c>
      <c r="E311" s="706" t="s">
        <v>360</v>
      </c>
      <c r="F311" s="706">
        <v>7</v>
      </c>
      <c r="G311" s="706">
        <v>7</v>
      </c>
      <c r="H311" s="720">
        <v>46095</v>
      </c>
      <c r="I311" s="720">
        <v>46095</v>
      </c>
      <c r="J311" s="706" t="s">
        <v>358</v>
      </c>
      <c r="K311" t="str">
        <f t="shared" si="16"/>
        <v>Switch</v>
      </c>
      <c r="M311" s="419">
        <f t="shared" si="15"/>
        <v>7</v>
      </c>
      <c r="N311" s="419">
        <f t="shared" si="17"/>
        <v>7</v>
      </c>
      <c r="O311" s="419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1">
        <f>All_Detail_v2[[#This Row],[Scheduled Date]]</f>
        <v>46095</v>
      </c>
      <c r="S311" s="421">
        <f>All_Detail_v2[[#This Row],[Install Date]]</f>
        <v>46095</v>
      </c>
    </row>
    <row r="312" spans="1:19">
      <c r="A312">
        <v>308</v>
      </c>
      <c r="B312" s="704" t="s">
        <v>531</v>
      </c>
      <c r="C312" s="705" t="s">
        <v>532</v>
      </c>
      <c r="D312" s="706" t="s">
        <v>475</v>
      </c>
      <c r="E312" s="706" t="s">
        <v>365</v>
      </c>
      <c r="F312" s="706">
        <v>1</v>
      </c>
      <c r="G312" s="706">
        <v>1</v>
      </c>
      <c r="H312" s="720">
        <v>46095</v>
      </c>
      <c r="I312" s="720">
        <v>46095</v>
      </c>
      <c r="J312" s="706" t="s">
        <v>358</v>
      </c>
      <c r="K312" t="str">
        <f t="shared" si="16"/>
        <v>Switch</v>
      </c>
      <c r="M312" s="419">
        <f t="shared" si="15"/>
        <v>1</v>
      </c>
      <c r="N312" s="419">
        <f t="shared" si="17"/>
        <v>1</v>
      </c>
      <c r="O312" s="419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1">
        <f>All_Detail_v2[[#This Row],[Scheduled Date]]</f>
        <v>46095</v>
      </c>
      <c r="S312" s="421">
        <f>All_Detail_v2[[#This Row],[Install Date]]</f>
        <v>46095</v>
      </c>
    </row>
    <row r="313" spans="1:19">
      <c r="A313">
        <v>309</v>
      </c>
      <c r="B313" s="704" t="s">
        <v>531</v>
      </c>
      <c r="C313" s="705" t="s">
        <v>532</v>
      </c>
      <c r="D313" s="706" t="s">
        <v>475</v>
      </c>
      <c r="E313" s="706" t="s">
        <v>539</v>
      </c>
      <c r="F313" s="706">
        <v>2</v>
      </c>
      <c r="G313" s="706">
        <v>2</v>
      </c>
      <c r="H313" s="720">
        <v>46063</v>
      </c>
      <c r="I313" s="720">
        <v>46085</v>
      </c>
      <c r="J313" s="706" t="s">
        <v>358</v>
      </c>
      <c r="K313" t="str">
        <f t="shared" si="16"/>
        <v>Infra</v>
      </c>
      <c r="M313" s="419">
        <f t="shared" si="15"/>
        <v>2</v>
      </c>
      <c r="N313" s="419">
        <f t="shared" si="17"/>
        <v>2</v>
      </c>
      <c r="O313" s="419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1">
        <f>All_Detail_v2[[#This Row],[Scheduled Date]]</f>
        <v>46085</v>
      </c>
      <c r="S313" s="421">
        <f>All_Detail_v2[[#This Row],[Install Date]]</f>
        <v>46063</v>
      </c>
    </row>
    <row r="314" spans="1:19">
      <c r="A314">
        <v>310</v>
      </c>
      <c r="B314" s="704" t="s">
        <v>531</v>
      </c>
      <c r="C314" s="707" t="s">
        <v>540</v>
      </c>
      <c r="D314" s="706" t="s">
        <v>541</v>
      </c>
      <c r="E314" s="706" t="s">
        <v>360</v>
      </c>
      <c r="F314" s="706">
        <v>4</v>
      </c>
      <c r="G314" s="706">
        <v>4</v>
      </c>
      <c r="H314" s="720">
        <v>46078</v>
      </c>
      <c r="I314" s="720">
        <v>46078</v>
      </c>
      <c r="J314" s="706" t="s">
        <v>358</v>
      </c>
      <c r="K314" t="str">
        <f t="shared" si="16"/>
        <v>Switch</v>
      </c>
      <c r="M314" s="419">
        <f t="shared" si="15"/>
        <v>4</v>
      </c>
      <c r="N314" s="419">
        <f t="shared" si="17"/>
        <v>4</v>
      </c>
      <c r="O314" s="419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1">
        <f>All_Detail_v2[[#This Row],[Scheduled Date]]</f>
        <v>46078</v>
      </c>
      <c r="S314" s="421">
        <f>All_Detail_v2[[#This Row],[Install Date]]</f>
        <v>46078</v>
      </c>
    </row>
    <row r="315" spans="1:19">
      <c r="A315">
        <v>311</v>
      </c>
      <c r="B315" s="704" t="s">
        <v>531</v>
      </c>
      <c r="C315" s="705" t="s">
        <v>542</v>
      </c>
      <c r="D315" s="706" t="s">
        <v>543</v>
      </c>
      <c r="E315" s="706" t="s">
        <v>360</v>
      </c>
      <c r="F315" s="706">
        <v>1</v>
      </c>
      <c r="G315" s="706"/>
      <c r="H315" s="720"/>
      <c r="I315" s="720">
        <v>46174</v>
      </c>
      <c r="J315" s="706" t="s">
        <v>388</v>
      </c>
      <c r="K315" t="str">
        <f t="shared" si="16"/>
        <v>Switch</v>
      </c>
      <c r="M315" s="419">
        <f t="shared" si="15"/>
        <v>0</v>
      </c>
      <c r="N315" s="419">
        <f t="shared" si="17"/>
        <v>0</v>
      </c>
      <c r="O315" s="419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1">
        <f>All_Detail_v2[[#This Row],[Scheduled Date]]</f>
        <v>46174</v>
      </c>
      <c r="S315" s="421">
        <f>All_Detail_v2[[#This Row],[Install Date]]</f>
        <v>0</v>
      </c>
    </row>
    <row r="316" spans="1:19">
      <c r="A316">
        <v>312</v>
      </c>
      <c r="B316" s="704" t="s">
        <v>531</v>
      </c>
      <c r="C316" s="705" t="s">
        <v>542</v>
      </c>
      <c r="D316" s="706" t="s">
        <v>544</v>
      </c>
      <c r="E316" s="706" t="s">
        <v>360</v>
      </c>
      <c r="F316" s="706">
        <v>2</v>
      </c>
      <c r="G316" s="706">
        <v>2</v>
      </c>
      <c r="H316" s="720">
        <v>46080</v>
      </c>
      <c r="I316" s="720">
        <v>46080</v>
      </c>
      <c r="J316" s="706" t="s">
        <v>358</v>
      </c>
      <c r="K316" t="str">
        <f t="shared" si="16"/>
        <v>Switch</v>
      </c>
      <c r="M316" s="419">
        <f t="shared" si="15"/>
        <v>2</v>
      </c>
      <c r="N316" s="419">
        <f t="shared" si="17"/>
        <v>2</v>
      </c>
      <c r="O316" s="419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1">
        <f>All_Detail_v2[[#This Row],[Scheduled Date]]</f>
        <v>46080</v>
      </c>
      <c r="S316" s="421">
        <f>All_Detail_v2[[#This Row],[Install Date]]</f>
        <v>46080</v>
      </c>
    </row>
    <row r="317" spans="1:19">
      <c r="A317">
        <v>313</v>
      </c>
      <c r="B317" s="704" t="s">
        <v>531</v>
      </c>
      <c r="C317" s="705" t="s">
        <v>542</v>
      </c>
      <c r="D317" s="706" t="s">
        <v>545</v>
      </c>
      <c r="E317" s="706" t="s">
        <v>360</v>
      </c>
      <c r="F317" s="706">
        <v>4</v>
      </c>
      <c r="G317" s="706">
        <v>4</v>
      </c>
      <c r="H317" s="720">
        <v>46078</v>
      </c>
      <c r="I317" s="720">
        <v>46078</v>
      </c>
      <c r="J317" s="706" t="s">
        <v>358</v>
      </c>
      <c r="K317" t="str">
        <f t="shared" si="16"/>
        <v>Switch</v>
      </c>
      <c r="M317" s="419">
        <f t="shared" si="15"/>
        <v>4</v>
      </c>
      <c r="N317" s="419">
        <f t="shared" si="17"/>
        <v>4</v>
      </c>
      <c r="O317" s="419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1">
        <f>All_Detail_v2[[#This Row],[Scheduled Date]]</f>
        <v>46078</v>
      </c>
      <c r="S317" s="421">
        <f>All_Detail_v2[[#This Row],[Install Date]]</f>
        <v>46078</v>
      </c>
    </row>
    <row r="318" spans="1:19">
      <c r="A318">
        <v>314</v>
      </c>
      <c r="B318" s="704" t="s">
        <v>531</v>
      </c>
      <c r="C318" s="705" t="s">
        <v>542</v>
      </c>
      <c r="D318" s="706" t="s">
        <v>546</v>
      </c>
      <c r="E318" s="706" t="s">
        <v>360</v>
      </c>
      <c r="F318" s="706">
        <v>2</v>
      </c>
      <c r="G318" s="706">
        <v>2</v>
      </c>
      <c r="H318" s="720">
        <v>46078</v>
      </c>
      <c r="I318" s="720">
        <v>46078</v>
      </c>
      <c r="J318" s="706" t="s">
        <v>358</v>
      </c>
      <c r="K318" t="str">
        <f t="shared" si="16"/>
        <v>Switch</v>
      </c>
      <c r="M318" s="419">
        <f t="shared" si="15"/>
        <v>2</v>
      </c>
      <c r="N318" s="419">
        <f t="shared" si="17"/>
        <v>2</v>
      </c>
      <c r="O318" s="419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1">
        <f>All_Detail_v2[[#This Row],[Scheduled Date]]</f>
        <v>46078</v>
      </c>
      <c r="S318" s="421">
        <f>All_Detail_v2[[#This Row],[Install Date]]</f>
        <v>46078</v>
      </c>
    </row>
    <row r="319" spans="1:19">
      <c r="A319">
        <v>315</v>
      </c>
      <c r="B319" s="704" t="s">
        <v>531</v>
      </c>
      <c r="C319" s="705" t="s">
        <v>542</v>
      </c>
      <c r="D319" s="705" t="s">
        <v>547</v>
      </c>
      <c r="E319" s="706" t="s">
        <v>360</v>
      </c>
      <c r="F319" s="706">
        <v>2</v>
      </c>
      <c r="G319" s="706">
        <v>2</v>
      </c>
      <c r="H319" s="720">
        <v>46080</v>
      </c>
      <c r="I319" s="720">
        <v>46080</v>
      </c>
      <c r="J319" s="706" t="s">
        <v>358</v>
      </c>
      <c r="K319" t="str">
        <f t="shared" si="16"/>
        <v>Switch</v>
      </c>
      <c r="M319" s="419">
        <f t="shared" si="15"/>
        <v>2</v>
      </c>
      <c r="N319" s="419">
        <f t="shared" si="17"/>
        <v>2</v>
      </c>
      <c r="O319" s="419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1">
        <f>All_Detail_v2[[#This Row],[Scheduled Date]]</f>
        <v>46080</v>
      </c>
      <c r="S319" s="421">
        <f>All_Detail_v2[[#This Row],[Install Date]]</f>
        <v>46080</v>
      </c>
    </row>
    <row r="320" spans="1:19">
      <c r="A320">
        <v>316</v>
      </c>
      <c r="B320" s="704" t="s">
        <v>531</v>
      </c>
      <c r="C320" s="705" t="s">
        <v>542</v>
      </c>
      <c r="D320" s="705" t="s">
        <v>548</v>
      </c>
      <c r="E320" s="706" t="s">
        <v>360</v>
      </c>
      <c r="F320" s="706">
        <v>2</v>
      </c>
      <c r="G320" s="706">
        <v>2</v>
      </c>
      <c r="H320" s="720">
        <v>46080</v>
      </c>
      <c r="I320" s="720">
        <v>46080</v>
      </c>
      <c r="J320" s="706" t="s">
        <v>358</v>
      </c>
      <c r="K320" t="str">
        <f t="shared" si="16"/>
        <v>Switch</v>
      </c>
      <c r="M320" s="419">
        <f t="shared" si="15"/>
        <v>2</v>
      </c>
      <c r="N320" s="419">
        <f t="shared" si="17"/>
        <v>2</v>
      </c>
      <c r="O320" s="419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1">
        <f>All_Detail_v2[[#This Row],[Scheduled Date]]</f>
        <v>46080</v>
      </c>
      <c r="S320" s="421">
        <f>All_Detail_v2[[#This Row],[Install Date]]</f>
        <v>46080</v>
      </c>
    </row>
    <row r="321" spans="1:19">
      <c r="A321">
        <v>317</v>
      </c>
      <c r="B321" s="704" t="s">
        <v>531</v>
      </c>
      <c r="C321" s="705" t="s">
        <v>542</v>
      </c>
      <c r="D321" s="705" t="s">
        <v>549</v>
      </c>
      <c r="E321" s="706" t="s">
        <v>360</v>
      </c>
      <c r="F321" s="706">
        <v>1</v>
      </c>
      <c r="G321" s="706">
        <v>1</v>
      </c>
      <c r="H321" s="720">
        <v>46080</v>
      </c>
      <c r="I321" s="720">
        <v>46080</v>
      </c>
      <c r="J321" s="706" t="s">
        <v>358</v>
      </c>
      <c r="K321" t="str">
        <f t="shared" si="16"/>
        <v>Switch</v>
      </c>
      <c r="M321" s="419">
        <f t="shared" si="15"/>
        <v>1</v>
      </c>
      <c r="N321" s="419">
        <f t="shared" si="17"/>
        <v>1</v>
      </c>
      <c r="O321" s="419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1">
        <f>All_Detail_v2[[#This Row],[Scheduled Date]]</f>
        <v>46080</v>
      </c>
      <c r="S321" s="421">
        <f>All_Detail_v2[[#This Row],[Install Date]]</f>
        <v>46080</v>
      </c>
    </row>
    <row r="322" spans="1:19">
      <c r="A322">
        <v>318</v>
      </c>
      <c r="B322" s="704" t="s">
        <v>531</v>
      </c>
      <c r="C322" s="705" t="s">
        <v>542</v>
      </c>
      <c r="D322" s="705" t="s">
        <v>550</v>
      </c>
      <c r="E322" s="706" t="s">
        <v>360</v>
      </c>
      <c r="F322" s="706">
        <v>1</v>
      </c>
      <c r="G322" s="706">
        <v>1</v>
      </c>
      <c r="H322" s="720">
        <v>46080</v>
      </c>
      <c r="I322" s="720">
        <v>46080</v>
      </c>
      <c r="J322" s="706" t="s">
        <v>358</v>
      </c>
      <c r="K322" t="str">
        <f t="shared" si="16"/>
        <v>Switch</v>
      </c>
      <c r="M322" s="419">
        <f t="shared" ref="M322:M385" si="18">O322</f>
        <v>1</v>
      </c>
      <c r="N322" s="419">
        <f t="shared" si="17"/>
        <v>1</v>
      </c>
      <c r="O322" s="419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1">
        <f>All_Detail_v2[[#This Row],[Scheduled Date]]</f>
        <v>46080</v>
      </c>
      <c r="S322" s="421">
        <f>All_Detail_v2[[#This Row],[Install Date]]</f>
        <v>46080</v>
      </c>
    </row>
    <row r="323" spans="1:19">
      <c r="A323">
        <v>319</v>
      </c>
      <c r="B323" s="704" t="s">
        <v>531</v>
      </c>
      <c r="C323" s="705" t="s">
        <v>542</v>
      </c>
      <c r="D323" s="705" t="s">
        <v>551</v>
      </c>
      <c r="E323" s="706" t="s">
        <v>360</v>
      </c>
      <c r="F323" s="706">
        <v>1</v>
      </c>
      <c r="G323" s="706">
        <v>1</v>
      </c>
      <c r="H323" s="720">
        <v>46080</v>
      </c>
      <c r="I323" s="720">
        <v>46080</v>
      </c>
      <c r="J323" s="706" t="s">
        <v>358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9">
        <f t="shared" si="18"/>
        <v>1</v>
      </c>
      <c r="N323" s="419">
        <f t="shared" si="17"/>
        <v>1</v>
      </c>
      <c r="O323" s="419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1">
        <f>All_Detail_v2[[#This Row],[Scheduled Date]]</f>
        <v>46080</v>
      </c>
      <c r="S323" s="421">
        <f>All_Detail_v2[[#This Row],[Install Date]]</f>
        <v>46080</v>
      </c>
    </row>
    <row r="324" spans="1:19">
      <c r="A324">
        <v>320</v>
      </c>
      <c r="B324" s="704" t="s">
        <v>531</v>
      </c>
      <c r="C324" s="705" t="s">
        <v>542</v>
      </c>
      <c r="D324" s="705" t="s">
        <v>552</v>
      </c>
      <c r="E324" s="706" t="s">
        <v>360</v>
      </c>
      <c r="F324" s="706">
        <v>4</v>
      </c>
      <c r="G324" s="706">
        <v>4</v>
      </c>
      <c r="H324" s="720">
        <v>46079</v>
      </c>
      <c r="I324" s="720">
        <v>46079</v>
      </c>
      <c r="J324" s="706" t="s">
        <v>358</v>
      </c>
      <c r="K324" t="str">
        <f t="shared" si="19"/>
        <v>Switch</v>
      </c>
      <c r="M324" s="419">
        <f t="shared" si="18"/>
        <v>4</v>
      </c>
      <c r="N324" s="419">
        <f t="shared" si="17"/>
        <v>4</v>
      </c>
      <c r="O324" s="419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1">
        <f>All_Detail_v2[[#This Row],[Scheduled Date]]</f>
        <v>46079</v>
      </c>
      <c r="S324" s="421">
        <f>All_Detail_v2[[#This Row],[Install Date]]</f>
        <v>46079</v>
      </c>
    </row>
    <row r="325" spans="1:19">
      <c r="A325">
        <v>321</v>
      </c>
      <c r="B325" s="704" t="s">
        <v>531</v>
      </c>
      <c r="C325" s="705" t="s">
        <v>542</v>
      </c>
      <c r="D325" s="705" t="s">
        <v>552</v>
      </c>
      <c r="E325" s="706" t="s">
        <v>365</v>
      </c>
      <c r="F325" s="706">
        <v>1</v>
      </c>
      <c r="G325" s="706">
        <v>1</v>
      </c>
      <c r="H325" s="720">
        <v>46079</v>
      </c>
      <c r="I325" s="720">
        <v>46079</v>
      </c>
      <c r="J325" s="706" t="s">
        <v>358</v>
      </c>
      <c r="K325" t="str">
        <f t="shared" si="19"/>
        <v>Switch</v>
      </c>
      <c r="M325" s="419">
        <f t="shared" si="18"/>
        <v>1</v>
      </c>
      <c r="N325" s="419">
        <f t="shared" si="17"/>
        <v>1</v>
      </c>
      <c r="O325" s="419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1">
        <f>All_Detail_v2[[#This Row],[Scheduled Date]]</f>
        <v>46079</v>
      </c>
      <c r="S325" s="421">
        <f>All_Detail_v2[[#This Row],[Install Date]]</f>
        <v>46079</v>
      </c>
    </row>
    <row r="326" spans="1:19">
      <c r="A326">
        <v>322</v>
      </c>
      <c r="B326" s="704" t="s">
        <v>531</v>
      </c>
      <c r="C326" s="705" t="s">
        <v>542</v>
      </c>
      <c r="D326" s="705" t="s">
        <v>553</v>
      </c>
      <c r="E326" s="706" t="s">
        <v>360</v>
      </c>
      <c r="F326" s="706">
        <v>4</v>
      </c>
      <c r="G326" s="706">
        <v>4</v>
      </c>
      <c r="H326" s="720">
        <v>46078</v>
      </c>
      <c r="I326" s="720">
        <v>46078</v>
      </c>
      <c r="J326" s="706" t="s">
        <v>358</v>
      </c>
      <c r="K326" t="str">
        <f t="shared" si="19"/>
        <v>Switch</v>
      </c>
      <c r="M326" s="419">
        <f t="shared" si="18"/>
        <v>4</v>
      </c>
      <c r="N326" s="419">
        <f t="shared" ref="N326:N389" si="20">O326</f>
        <v>4</v>
      </c>
      <c r="O326" s="419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1">
        <f>All_Detail_v2[[#This Row],[Scheduled Date]]</f>
        <v>46078</v>
      </c>
      <c r="S326" s="421">
        <f>All_Detail_v2[[#This Row],[Install Date]]</f>
        <v>46078</v>
      </c>
    </row>
    <row r="327" spans="1:19">
      <c r="A327">
        <v>323</v>
      </c>
      <c r="B327" s="704" t="s">
        <v>531</v>
      </c>
      <c r="C327" s="705" t="s">
        <v>542</v>
      </c>
      <c r="D327" s="705" t="s">
        <v>554</v>
      </c>
      <c r="E327" s="706" t="s">
        <v>360</v>
      </c>
      <c r="F327" s="706">
        <v>5</v>
      </c>
      <c r="G327" s="706">
        <v>5</v>
      </c>
      <c r="H327" s="720">
        <v>46079</v>
      </c>
      <c r="I327" s="720">
        <v>46079</v>
      </c>
      <c r="J327" s="706" t="s">
        <v>358</v>
      </c>
      <c r="K327" t="str">
        <f t="shared" si="19"/>
        <v>Switch</v>
      </c>
      <c r="M327" s="419">
        <f t="shared" si="18"/>
        <v>5</v>
      </c>
      <c r="N327" s="419">
        <f t="shared" si="20"/>
        <v>5</v>
      </c>
      <c r="O327" s="419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1">
        <f>All_Detail_v2[[#This Row],[Scheduled Date]]</f>
        <v>46079</v>
      </c>
      <c r="S327" s="421">
        <f>All_Detail_v2[[#This Row],[Install Date]]</f>
        <v>46079</v>
      </c>
    </row>
    <row r="328" spans="1:19">
      <c r="A328">
        <v>324</v>
      </c>
      <c r="B328" s="704" t="s">
        <v>531</v>
      </c>
      <c r="C328" s="705" t="s">
        <v>542</v>
      </c>
      <c r="D328" s="705" t="s">
        <v>553</v>
      </c>
      <c r="E328" s="706" t="s">
        <v>360</v>
      </c>
      <c r="F328" s="706">
        <v>1</v>
      </c>
      <c r="G328" s="706"/>
      <c r="H328" s="720"/>
      <c r="I328" s="720">
        <v>46174</v>
      </c>
      <c r="J328" s="706" t="s">
        <v>388</v>
      </c>
      <c r="K328" t="str">
        <f t="shared" si="19"/>
        <v>Switch</v>
      </c>
      <c r="M328" s="419">
        <f t="shared" si="18"/>
        <v>0</v>
      </c>
      <c r="N328" s="419">
        <f t="shared" si="20"/>
        <v>0</v>
      </c>
      <c r="O328" s="419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1">
        <f>All_Detail_v2[[#This Row],[Scheduled Date]]</f>
        <v>46174</v>
      </c>
      <c r="S328" s="421">
        <f>All_Detail_v2[[#This Row],[Install Date]]</f>
        <v>0</v>
      </c>
    </row>
    <row r="329" spans="1:19">
      <c r="A329">
        <v>325</v>
      </c>
      <c r="B329" s="704" t="s">
        <v>531</v>
      </c>
      <c r="C329" s="705" t="s">
        <v>555</v>
      </c>
      <c r="D329" s="706" t="s">
        <v>556</v>
      </c>
      <c r="E329" s="706" t="s">
        <v>360</v>
      </c>
      <c r="F329" s="706">
        <v>3</v>
      </c>
      <c r="G329" s="706">
        <v>3</v>
      </c>
      <c r="H329" s="720">
        <v>46084</v>
      </c>
      <c r="I329" s="720">
        <v>46084</v>
      </c>
      <c r="J329" s="706" t="s">
        <v>358</v>
      </c>
      <c r="K329" t="str">
        <f t="shared" si="19"/>
        <v>Switch</v>
      </c>
      <c r="M329" s="419">
        <f t="shared" si="18"/>
        <v>3</v>
      </c>
      <c r="N329" s="419">
        <f t="shared" si="20"/>
        <v>3</v>
      </c>
      <c r="O329" s="419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1">
        <f>All_Detail_v2[[#This Row],[Scheduled Date]]</f>
        <v>46084</v>
      </c>
      <c r="S329" s="421">
        <f>All_Detail_v2[[#This Row],[Install Date]]</f>
        <v>46084</v>
      </c>
    </row>
    <row r="330" spans="1:19">
      <c r="A330">
        <v>326</v>
      </c>
      <c r="B330" s="704" t="s">
        <v>531</v>
      </c>
      <c r="C330" s="705" t="s">
        <v>555</v>
      </c>
      <c r="D330" s="706" t="s">
        <v>556</v>
      </c>
      <c r="E330" s="706" t="s">
        <v>400</v>
      </c>
      <c r="F330" s="706">
        <v>2</v>
      </c>
      <c r="G330" s="706">
        <v>2</v>
      </c>
      <c r="H330" s="720">
        <v>46084</v>
      </c>
      <c r="I330" s="720">
        <v>46084</v>
      </c>
      <c r="J330" s="706" t="s">
        <v>358</v>
      </c>
      <c r="K330" t="str">
        <f t="shared" si="19"/>
        <v>Switch</v>
      </c>
      <c r="M330" s="419">
        <f t="shared" si="18"/>
        <v>2</v>
      </c>
      <c r="N330" s="419">
        <f t="shared" si="20"/>
        <v>2</v>
      </c>
      <c r="O330" s="419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1">
        <f>All_Detail_v2[[#This Row],[Scheduled Date]]</f>
        <v>46084</v>
      </c>
      <c r="S330" s="421">
        <f>All_Detail_v2[[#This Row],[Install Date]]</f>
        <v>46084</v>
      </c>
    </row>
    <row r="331" spans="1:19">
      <c r="A331">
        <v>327</v>
      </c>
      <c r="B331" s="704" t="s">
        <v>531</v>
      </c>
      <c r="C331" s="705" t="s">
        <v>555</v>
      </c>
      <c r="D331" s="706" t="s">
        <v>556</v>
      </c>
      <c r="E331" s="706" t="s">
        <v>557</v>
      </c>
      <c r="F331" s="706">
        <v>2</v>
      </c>
      <c r="G331" s="706">
        <v>2</v>
      </c>
      <c r="H331" s="720">
        <v>46063</v>
      </c>
      <c r="I331" s="720">
        <v>46063</v>
      </c>
      <c r="J331" s="706" t="s">
        <v>358</v>
      </c>
      <c r="K331" t="str">
        <f t="shared" si="19"/>
        <v>Switch</v>
      </c>
      <c r="M331" s="419">
        <f t="shared" si="18"/>
        <v>2</v>
      </c>
      <c r="N331" s="419">
        <f t="shared" si="20"/>
        <v>2</v>
      </c>
      <c r="O331" s="419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1">
        <f>All_Detail_v2[[#This Row],[Scheduled Date]]</f>
        <v>46063</v>
      </c>
      <c r="S331" s="421">
        <f>All_Detail_v2[[#This Row],[Install Date]]</f>
        <v>46063</v>
      </c>
    </row>
    <row r="332" spans="1:19">
      <c r="A332">
        <v>328</v>
      </c>
      <c r="B332" s="704" t="s">
        <v>531</v>
      </c>
      <c r="C332" s="705" t="s">
        <v>555</v>
      </c>
      <c r="D332" s="706" t="s">
        <v>556</v>
      </c>
      <c r="E332" s="706" t="s">
        <v>411</v>
      </c>
      <c r="F332" s="706">
        <v>2</v>
      </c>
      <c r="G332" s="706">
        <v>2</v>
      </c>
      <c r="H332" s="720">
        <v>46063</v>
      </c>
      <c r="I332" s="720">
        <v>46063</v>
      </c>
      <c r="J332" s="706" t="s">
        <v>358</v>
      </c>
      <c r="K332" t="str">
        <f t="shared" si="19"/>
        <v>Infra</v>
      </c>
      <c r="L332" s="649" t="s">
        <v>412</v>
      </c>
      <c r="M332" s="419">
        <f t="shared" si="18"/>
        <v>2</v>
      </c>
      <c r="N332" s="419">
        <f t="shared" si="20"/>
        <v>2</v>
      </c>
      <c r="O332" s="419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1">
        <f>All_Detail_v2[[#This Row],[Scheduled Date]]</f>
        <v>46063</v>
      </c>
      <c r="S332" s="421">
        <f>All_Detail_v2[[#This Row],[Install Date]]</f>
        <v>46063</v>
      </c>
    </row>
    <row r="333" spans="1:19">
      <c r="A333">
        <v>329</v>
      </c>
      <c r="B333" s="704" t="s">
        <v>531</v>
      </c>
      <c r="C333" s="705" t="s">
        <v>555</v>
      </c>
      <c r="D333" s="706" t="s">
        <v>558</v>
      </c>
      <c r="E333" s="706" t="s">
        <v>360</v>
      </c>
      <c r="F333" s="706">
        <v>4</v>
      </c>
      <c r="G333" s="706">
        <v>4</v>
      </c>
      <c r="H333" s="720">
        <v>46084</v>
      </c>
      <c r="I333" s="720">
        <v>46084</v>
      </c>
      <c r="J333" s="706" t="s">
        <v>358</v>
      </c>
      <c r="K333" t="str">
        <f t="shared" si="19"/>
        <v>Switch</v>
      </c>
      <c r="M333" s="419">
        <f t="shared" si="18"/>
        <v>4</v>
      </c>
      <c r="N333" s="419">
        <f t="shared" si="20"/>
        <v>4</v>
      </c>
      <c r="O333" s="419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1">
        <f>All_Detail_v2[[#This Row],[Scheduled Date]]</f>
        <v>46084</v>
      </c>
      <c r="S333" s="421">
        <f>All_Detail_v2[[#This Row],[Install Date]]</f>
        <v>46084</v>
      </c>
    </row>
    <row r="334" spans="1:19">
      <c r="A334">
        <v>330</v>
      </c>
      <c r="B334" s="704" t="s">
        <v>531</v>
      </c>
      <c r="C334" s="705" t="s">
        <v>555</v>
      </c>
      <c r="D334" s="706" t="s">
        <v>558</v>
      </c>
      <c r="E334" s="706" t="s">
        <v>365</v>
      </c>
      <c r="F334" s="706">
        <v>3</v>
      </c>
      <c r="G334" s="706">
        <v>3</v>
      </c>
      <c r="H334" s="720">
        <v>46084</v>
      </c>
      <c r="I334" s="720">
        <v>46084</v>
      </c>
      <c r="J334" s="706" t="s">
        <v>358</v>
      </c>
      <c r="K334" t="str">
        <f t="shared" si="19"/>
        <v>Switch</v>
      </c>
      <c r="M334" s="419">
        <f t="shared" si="18"/>
        <v>3</v>
      </c>
      <c r="N334" s="419">
        <f t="shared" si="20"/>
        <v>3</v>
      </c>
      <c r="O334" s="419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1">
        <f>All_Detail_v2[[#This Row],[Scheduled Date]]</f>
        <v>46084</v>
      </c>
      <c r="S334" s="421">
        <f>All_Detail_v2[[#This Row],[Install Date]]</f>
        <v>46084</v>
      </c>
    </row>
    <row r="335" spans="1:19">
      <c r="A335">
        <v>331</v>
      </c>
      <c r="B335" s="704" t="s">
        <v>531</v>
      </c>
      <c r="C335" s="705" t="s">
        <v>555</v>
      </c>
      <c r="D335" s="706" t="s">
        <v>559</v>
      </c>
      <c r="E335" s="706" t="s">
        <v>360</v>
      </c>
      <c r="F335" s="706">
        <v>1</v>
      </c>
      <c r="G335" s="706">
        <v>1</v>
      </c>
      <c r="H335" s="720">
        <v>46084</v>
      </c>
      <c r="I335" s="720">
        <v>46084</v>
      </c>
      <c r="J335" s="706" t="s">
        <v>358</v>
      </c>
      <c r="K335" t="str">
        <f t="shared" si="19"/>
        <v>Switch</v>
      </c>
      <c r="M335" s="419">
        <f t="shared" si="18"/>
        <v>1</v>
      </c>
      <c r="N335" s="419">
        <f t="shared" si="20"/>
        <v>1</v>
      </c>
      <c r="O335" s="419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1">
        <f>All_Detail_v2[[#This Row],[Scheduled Date]]</f>
        <v>46084</v>
      </c>
      <c r="S335" s="421">
        <f>All_Detail_v2[[#This Row],[Install Date]]</f>
        <v>46084</v>
      </c>
    </row>
    <row r="336" spans="1:19">
      <c r="A336">
        <v>332</v>
      </c>
      <c r="B336" s="704" t="s">
        <v>531</v>
      </c>
      <c r="C336" s="705" t="s">
        <v>560</v>
      </c>
      <c r="D336" s="706" t="s">
        <v>561</v>
      </c>
      <c r="E336" s="706" t="s">
        <v>360</v>
      </c>
      <c r="F336" s="706">
        <v>1</v>
      </c>
      <c r="G336" s="706">
        <v>1</v>
      </c>
      <c r="H336" s="720">
        <v>46082</v>
      </c>
      <c r="I336" s="720">
        <v>46082</v>
      </c>
      <c r="J336" s="706" t="s">
        <v>358</v>
      </c>
      <c r="K336" t="str">
        <f t="shared" si="19"/>
        <v>Switch</v>
      </c>
      <c r="M336" s="419">
        <f t="shared" si="18"/>
        <v>1</v>
      </c>
      <c r="N336" s="419">
        <f t="shared" si="20"/>
        <v>1</v>
      </c>
      <c r="O336" s="419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1">
        <f>All_Detail_v2[[#This Row],[Scheduled Date]]</f>
        <v>46082</v>
      </c>
      <c r="S336" s="421">
        <f>All_Detail_v2[[#This Row],[Install Date]]</f>
        <v>46082</v>
      </c>
    </row>
    <row r="337" spans="1:19">
      <c r="A337">
        <v>333</v>
      </c>
      <c r="B337" s="704" t="s">
        <v>531</v>
      </c>
      <c r="C337" s="705" t="s">
        <v>560</v>
      </c>
      <c r="D337" s="706" t="s">
        <v>562</v>
      </c>
      <c r="E337" s="706" t="s">
        <v>400</v>
      </c>
      <c r="F337" s="706">
        <v>2</v>
      </c>
      <c r="G337" s="706">
        <v>2</v>
      </c>
      <c r="H337" s="720">
        <v>46081</v>
      </c>
      <c r="I337" s="720">
        <v>46081</v>
      </c>
      <c r="J337" s="706" t="s">
        <v>358</v>
      </c>
      <c r="K337" t="str">
        <f t="shared" si="19"/>
        <v>Switch</v>
      </c>
      <c r="M337" s="419">
        <f t="shared" si="18"/>
        <v>2</v>
      </c>
      <c r="N337" s="419">
        <f t="shared" si="20"/>
        <v>2</v>
      </c>
      <c r="O337" s="419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1">
        <f>All_Detail_v2[[#This Row],[Scheduled Date]]</f>
        <v>46081</v>
      </c>
      <c r="S337" s="421">
        <f>All_Detail_v2[[#This Row],[Install Date]]</f>
        <v>46081</v>
      </c>
    </row>
    <row r="338" spans="1:19">
      <c r="A338">
        <v>334</v>
      </c>
      <c r="B338" s="704" t="s">
        <v>531</v>
      </c>
      <c r="C338" s="705" t="s">
        <v>560</v>
      </c>
      <c r="D338" s="706" t="s">
        <v>563</v>
      </c>
      <c r="E338" s="706" t="s">
        <v>360</v>
      </c>
      <c r="F338" s="706">
        <v>7</v>
      </c>
      <c r="G338" s="706">
        <v>7</v>
      </c>
      <c r="H338" s="720">
        <v>46081</v>
      </c>
      <c r="I338" s="720">
        <v>46081</v>
      </c>
      <c r="J338" s="706" t="s">
        <v>358</v>
      </c>
      <c r="K338" t="str">
        <f t="shared" si="19"/>
        <v>Switch</v>
      </c>
      <c r="M338" s="419">
        <f t="shared" si="18"/>
        <v>7</v>
      </c>
      <c r="N338" s="419">
        <f t="shared" si="20"/>
        <v>7</v>
      </c>
      <c r="O338" s="419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1">
        <f>All_Detail_v2[[#This Row],[Scheduled Date]]</f>
        <v>46081</v>
      </c>
      <c r="S338" s="421">
        <f>All_Detail_v2[[#This Row],[Install Date]]</f>
        <v>46081</v>
      </c>
    </row>
    <row r="339" spans="1:19">
      <c r="A339">
        <v>335</v>
      </c>
      <c r="B339" s="704" t="s">
        <v>531</v>
      </c>
      <c r="C339" s="705" t="s">
        <v>560</v>
      </c>
      <c r="D339" s="706" t="s">
        <v>564</v>
      </c>
      <c r="E339" s="706" t="s">
        <v>360</v>
      </c>
      <c r="F339" s="706">
        <v>4</v>
      </c>
      <c r="G339" s="706">
        <v>4</v>
      </c>
      <c r="H339" s="720">
        <v>46081</v>
      </c>
      <c r="I339" s="720">
        <v>46081</v>
      </c>
      <c r="J339" s="706" t="s">
        <v>358</v>
      </c>
      <c r="K339" t="str">
        <f t="shared" si="19"/>
        <v>Switch</v>
      </c>
      <c r="M339" s="419">
        <f t="shared" si="18"/>
        <v>4</v>
      </c>
      <c r="N339" s="419">
        <f t="shared" si="20"/>
        <v>4</v>
      </c>
      <c r="O339" s="419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1">
        <f>All_Detail_v2[[#This Row],[Scheduled Date]]</f>
        <v>46081</v>
      </c>
      <c r="S339" s="421">
        <f>All_Detail_v2[[#This Row],[Install Date]]</f>
        <v>46081</v>
      </c>
    </row>
    <row r="340" spans="1:19">
      <c r="A340">
        <v>336</v>
      </c>
      <c r="B340" s="704" t="s">
        <v>531</v>
      </c>
      <c r="C340" s="705" t="s">
        <v>565</v>
      </c>
      <c r="D340" s="706" t="s">
        <v>561</v>
      </c>
      <c r="E340" s="706" t="s">
        <v>360</v>
      </c>
      <c r="F340" s="706">
        <v>8</v>
      </c>
      <c r="G340" s="706">
        <v>8</v>
      </c>
      <c r="H340" s="720">
        <v>46082</v>
      </c>
      <c r="I340" s="720">
        <v>46082</v>
      </c>
      <c r="J340" s="706" t="s">
        <v>358</v>
      </c>
      <c r="K340" t="str">
        <f t="shared" si="19"/>
        <v>Switch</v>
      </c>
      <c r="M340" s="419">
        <f t="shared" si="18"/>
        <v>8</v>
      </c>
      <c r="N340" s="419">
        <f t="shared" si="20"/>
        <v>8</v>
      </c>
      <c r="O340" s="419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1">
        <f>All_Detail_v2[[#This Row],[Scheduled Date]]</f>
        <v>46082</v>
      </c>
      <c r="S340" s="421">
        <f>All_Detail_v2[[#This Row],[Install Date]]</f>
        <v>46082</v>
      </c>
    </row>
    <row r="341" spans="1:19">
      <c r="A341">
        <v>337</v>
      </c>
      <c r="B341" s="704" t="s">
        <v>531</v>
      </c>
      <c r="C341" s="705" t="s">
        <v>565</v>
      </c>
      <c r="D341" s="706" t="s">
        <v>566</v>
      </c>
      <c r="E341" s="706" t="s">
        <v>400</v>
      </c>
      <c r="F341" s="706">
        <v>2</v>
      </c>
      <c r="G341" s="706">
        <v>2</v>
      </c>
      <c r="H341" s="720">
        <v>46082</v>
      </c>
      <c r="I341" s="720">
        <v>46082</v>
      </c>
      <c r="J341" s="706" t="s">
        <v>358</v>
      </c>
      <c r="K341" t="str">
        <f t="shared" si="19"/>
        <v>Switch</v>
      </c>
      <c r="M341" s="419">
        <f t="shared" si="18"/>
        <v>2</v>
      </c>
      <c r="N341" s="419">
        <f t="shared" si="20"/>
        <v>2</v>
      </c>
      <c r="O341" s="419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1">
        <f>All_Detail_v2[[#This Row],[Scheduled Date]]</f>
        <v>46082</v>
      </c>
      <c r="S341" s="421">
        <f>All_Detail_v2[[#This Row],[Install Date]]</f>
        <v>46082</v>
      </c>
    </row>
    <row r="342" spans="1:19">
      <c r="A342">
        <v>338</v>
      </c>
      <c r="B342" s="704" t="s">
        <v>531</v>
      </c>
      <c r="C342" s="705" t="s">
        <v>565</v>
      </c>
      <c r="D342" s="706" t="s">
        <v>567</v>
      </c>
      <c r="E342" s="706" t="s">
        <v>360</v>
      </c>
      <c r="F342" s="706">
        <v>1</v>
      </c>
      <c r="G342" s="706">
        <v>1</v>
      </c>
      <c r="H342" s="720">
        <v>46082</v>
      </c>
      <c r="I342" s="720">
        <v>46082</v>
      </c>
      <c r="J342" s="706" t="s">
        <v>358</v>
      </c>
      <c r="K342" t="str">
        <f t="shared" si="19"/>
        <v>Switch</v>
      </c>
      <c r="M342" s="419">
        <f t="shared" si="18"/>
        <v>1</v>
      </c>
      <c r="N342" s="419">
        <f t="shared" si="20"/>
        <v>1</v>
      </c>
      <c r="O342" s="419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1">
        <f>All_Detail_v2[[#This Row],[Scheduled Date]]</f>
        <v>46082</v>
      </c>
      <c r="S342" s="421">
        <f>All_Detail_v2[[#This Row],[Install Date]]</f>
        <v>46082</v>
      </c>
    </row>
    <row r="343" spans="1:19">
      <c r="A343">
        <v>339</v>
      </c>
      <c r="B343" s="704" t="s">
        <v>531</v>
      </c>
      <c r="C343" s="705" t="s">
        <v>568</v>
      </c>
      <c r="D343" s="706" t="s">
        <v>569</v>
      </c>
      <c r="E343" s="706" t="s">
        <v>400</v>
      </c>
      <c r="F343" s="706">
        <v>2</v>
      </c>
      <c r="G343" s="706">
        <v>2</v>
      </c>
      <c r="H343" s="720">
        <v>46084</v>
      </c>
      <c r="I343" s="720">
        <v>46084</v>
      </c>
      <c r="J343" s="706" t="s">
        <v>358</v>
      </c>
      <c r="K343" t="str">
        <f t="shared" si="19"/>
        <v>Switch</v>
      </c>
      <c r="M343" s="419">
        <f t="shared" si="18"/>
        <v>2</v>
      </c>
      <c r="N343" s="419">
        <f t="shared" si="20"/>
        <v>2</v>
      </c>
      <c r="O343" s="419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1">
        <f>All_Detail_v2[[#This Row],[Scheduled Date]]</f>
        <v>46084</v>
      </c>
      <c r="S343" s="421">
        <f>All_Detail_v2[[#This Row],[Install Date]]</f>
        <v>46084</v>
      </c>
    </row>
    <row r="344" spans="1:19">
      <c r="A344">
        <v>340</v>
      </c>
      <c r="B344" s="704" t="s">
        <v>531</v>
      </c>
      <c r="C344" s="705" t="s">
        <v>568</v>
      </c>
      <c r="D344" s="706" t="s">
        <v>570</v>
      </c>
      <c r="E344" s="706" t="s">
        <v>360</v>
      </c>
      <c r="F344" s="706">
        <v>4</v>
      </c>
      <c r="G344" s="706">
        <v>4</v>
      </c>
      <c r="H344" s="720">
        <v>46084</v>
      </c>
      <c r="I344" s="720">
        <v>46084</v>
      </c>
      <c r="J344" s="706" t="s">
        <v>358</v>
      </c>
      <c r="K344" t="str">
        <f t="shared" si="19"/>
        <v>Switch</v>
      </c>
      <c r="M344" s="419">
        <f t="shared" si="18"/>
        <v>4</v>
      </c>
      <c r="N344" s="419">
        <f t="shared" si="20"/>
        <v>4</v>
      </c>
      <c r="O344" s="419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1">
        <f>All_Detail_v2[[#This Row],[Scheduled Date]]</f>
        <v>46084</v>
      </c>
      <c r="S344" s="421">
        <f>All_Detail_v2[[#This Row],[Install Date]]</f>
        <v>46084</v>
      </c>
    </row>
    <row r="345" spans="1:19">
      <c r="A345">
        <v>341</v>
      </c>
      <c r="B345" s="704" t="s">
        <v>531</v>
      </c>
      <c r="C345" s="705" t="s">
        <v>568</v>
      </c>
      <c r="D345" s="705" t="s">
        <v>571</v>
      </c>
      <c r="E345" s="706" t="s">
        <v>360</v>
      </c>
      <c r="F345" s="706">
        <v>1</v>
      </c>
      <c r="G345" s="706">
        <v>1</v>
      </c>
      <c r="H345" s="720">
        <v>46084</v>
      </c>
      <c r="I345" s="720">
        <v>46084</v>
      </c>
      <c r="J345" s="706" t="s">
        <v>358</v>
      </c>
      <c r="K345" t="str">
        <f t="shared" si="19"/>
        <v>Switch</v>
      </c>
      <c r="L345" s="648" t="s">
        <v>572</v>
      </c>
      <c r="M345" s="419">
        <f t="shared" si="18"/>
        <v>1</v>
      </c>
      <c r="N345" s="419">
        <f t="shared" si="20"/>
        <v>1</v>
      </c>
      <c r="O345" s="419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1">
        <f>All_Detail_v2[[#This Row],[Scheduled Date]]</f>
        <v>46084</v>
      </c>
      <c r="S345" s="421">
        <f>All_Detail_v2[[#This Row],[Install Date]]</f>
        <v>46084</v>
      </c>
    </row>
    <row r="346" spans="1:19">
      <c r="A346">
        <v>342</v>
      </c>
      <c r="B346" s="704" t="s">
        <v>531</v>
      </c>
      <c r="C346" s="705" t="s">
        <v>573</v>
      </c>
      <c r="D346" s="706" t="s">
        <v>574</v>
      </c>
      <c r="E346" s="706" t="s">
        <v>360</v>
      </c>
      <c r="F346" s="706">
        <v>2</v>
      </c>
      <c r="G346" s="706">
        <v>2</v>
      </c>
      <c r="H346" s="720">
        <v>46084</v>
      </c>
      <c r="I346" s="720">
        <v>46084</v>
      </c>
      <c r="J346" s="706" t="s">
        <v>358</v>
      </c>
      <c r="K346" t="str">
        <f t="shared" si="19"/>
        <v>Switch</v>
      </c>
      <c r="M346" s="419">
        <f t="shared" si="18"/>
        <v>2</v>
      </c>
      <c r="N346" s="419">
        <f t="shared" si="20"/>
        <v>2</v>
      </c>
      <c r="O346" s="419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1">
        <f>All_Detail_v2[[#This Row],[Scheduled Date]]</f>
        <v>46084</v>
      </c>
      <c r="S346" s="421">
        <f>All_Detail_v2[[#This Row],[Install Date]]</f>
        <v>46084</v>
      </c>
    </row>
    <row r="347" spans="1:19">
      <c r="A347">
        <v>343</v>
      </c>
      <c r="B347" s="704" t="s">
        <v>531</v>
      </c>
      <c r="C347" s="705" t="s">
        <v>573</v>
      </c>
      <c r="D347" s="705" t="s">
        <v>575</v>
      </c>
      <c r="E347" s="706" t="s">
        <v>360</v>
      </c>
      <c r="F347" s="706">
        <v>2</v>
      </c>
      <c r="G347" s="706">
        <v>2</v>
      </c>
      <c r="H347" s="720">
        <v>46084</v>
      </c>
      <c r="I347" s="720">
        <v>46084</v>
      </c>
      <c r="J347" s="706" t="s">
        <v>358</v>
      </c>
      <c r="K347" t="str">
        <f t="shared" si="19"/>
        <v>Switch</v>
      </c>
      <c r="L347" s="648" t="s">
        <v>572</v>
      </c>
      <c r="M347" s="419">
        <f t="shared" si="18"/>
        <v>2</v>
      </c>
      <c r="N347" s="419">
        <f t="shared" si="20"/>
        <v>2</v>
      </c>
      <c r="O347" s="419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1">
        <f>All_Detail_v2[[#This Row],[Scheduled Date]]</f>
        <v>46084</v>
      </c>
      <c r="S347" s="421">
        <f>All_Detail_v2[[#This Row],[Install Date]]</f>
        <v>46084</v>
      </c>
    </row>
    <row r="348" spans="1:19">
      <c r="A348">
        <v>344</v>
      </c>
      <c r="B348" s="704" t="s">
        <v>531</v>
      </c>
      <c r="C348" s="705" t="s">
        <v>576</v>
      </c>
      <c r="D348" s="706" t="s">
        <v>577</v>
      </c>
      <c r="E348" s="706" t="s">
        <v>360</v>
      </c>
      <c r="F348" s="706">
        <v>3</v>
      </c>
      <c r="G348" s="706">
        <v>3</v>
      </c>
      <c r="H348" s="720">
        <v>46086</v>
      </c>
      <c r="I348" s="720">
        <v>46086</v>
      </c>
      <c r="J348" s="706" t="s">
        <v>358</v>
      </c>
      <c r="K348" t="str">
        <f t="shared" si="19"/>
        <v>Switch</v>
      </c>
      <c r="M348" s="419">
        <f t="shared" si="18"/>
        <v>3</v>
      </c>
      <c r="N348" s="419">
        <f t="shared" si="20"/>
        <v>3</v>
      </c>
      <c r="O348" s="419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1">
        <f>All_Detail_v2[[#This Row],[Scheduled Date]]</f>
        <v>46086</v>
      </c>
      <c r="S348" s="421">
        <f>All_Detail_v2[[#This Row],[Install Date]]</f>
        <v>46086</v>
      </c>
    </row>
    <row r="349" spans="1:19">
      <c r="A349">
        <v>345</v>
      </c>
      <c r="B349" s="704" t="s">
        <v>531</v>
      </c>
      <c r="C349" s="706" t="s">
        <v>578</v>
      </c>
      <c r="D349" s="706" t="s">
        <v>40</v>
      </c>
      <c r="E349" s="706" t="s">
        <v>354</v>
      </c>
      <c r="F349" s="706">
        <v>1</v>
      </c>
      <c r="G349" s="706"/>
      <c r="H349" s="720"/>
      <c r="I349" s="720">
        <v>46104</v>
      </c>
      <c r="J349" s="706" t="s">
        <v>355</v>
      </c>
      <c r="K349" t="str">
        <f t="shared" si="19"/>
        <v>AP</v>
      </c>
      <c r="M349" s="419">
        <f t="shared" si="18"/>
        <v>0</v>
      </c>
      <c r="N349" s="419">
        <f t="shared" si="20"/>
        <v>0</v>
      </c>
      <c r="O349" s="419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1">
        <f>All_Detail_v2[[#This Row],[Scheduled Date]]</f>
        <v>46104</v>
      </c>
      <c r="S349" s="421">
        <f>All_Detail_v2[[#This Row],[Install Date]]</f>
        <v>0</v>
      </c>
    </row>
    <row r="350" spans="1:19">
      <c r="A350">
        <v>346</v>
      </c>
      <c r="B350" s="704" t="s">
        <v>531</v>
      </c>
      <c r="C350" s="706" t="s">
        <v>578</v>
      </c>
      <c r="D350" s="706" t="s">
        <v>579</v>
      </c>
      <c r="E350" s="706" t="s">
        <v>360</v>
      </c>
      <c r="F350" s="706">
        <v>2</v>
      </c>
      <c r="G350" s="706"/>
      <c r="H350" s="720"/>
      <c r="I350" s="720">
        <v>46104</v>
      </c>
      <c r="J350" s="706" t="s">
        <v>355</v>
      </c>
      <c r="K350" t="str">
        <f t="shared" si="19"/>
        <v>Switch</v>
      </c>
      <c r="M350" s="419">
        <f t="shared" si="18"/>
        <v>0</v>
      </c>
      <c r="N350" s="419">
        <f t="shared" si="20"/>
        <v>0</v>
      </c>
      <c r="O350" s="419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1">
        <f>All_Detail_v2[[#This Row],[Scheduled Date]]</f>
        <v>46104</v>
      </c>
      <c r="S350" s="421">
        <f>All_Detail_v2[[#This Row],[Install Date]]</f>
        <v>0</v>
      </c>
    </row>
    <row r="351" spans="1:19">
      <c r="A351">
        <v>347</v>
      </c>
      <c r="B351" s="704" t="s">
        <v>531</v>
      </c>
      <c r="C351" s="705" t="s">
        <v>580</v>
      </c>
      <c r="D351" s="706" t="s">
        <v>581</v>
      </c>
      <c r="E351" s="706" t="s">
        <v>360</v>
      </c>
      <c r="F351" s="706">
        <v>2</v>
      </c>
      <c r="G351" s="706">
        <v>2</v>
      </c>
      <c r="H351" s="720">
        <v>46095</v>
      </c>
      <c r="I351" s="720">
        <v>46095</v>
      </c>
      <c r="J351" s="706" t="s">
        <v>358</v>
      </c>
      <c r="K351" t="str">
        <f t="shared" si="19"/>
        <v>Switch</v>
      </c>
      <c r="L351" s="648" t="s">
        <v>582</v>
      </c>
      <c r="M351" s="419">
        <f t="shared" si="18"/>
        <v>2</v>
      </c>
      <c r="N351" s="419">
        <f t="shared" si="20"/>
        <v>2</v>
      </c>
      <c r="O351" s="419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1">
        <f>All_Detail_v2[[#This Row],[Scheduled Date]]</f>
        <v>46095</v>
      </c>
      <c r="S351" s="421">
        <f>All_Detail_v2[[#This Row],[Install Date]]</f>
        <v>46095</v>
      </c>
    </row>
    <row r="352" spans="1:19">
      <c r="A352">
        <v>348</v>
      </c>
      <c r="B352" s="704" t="s">
        <v>531</v>
      </c>
      <c r="C352" s="705" t="s">
        <v>580</v>
      </c>
      <c r="D352" s="706" t="s">
        <v>581</v>
      </c>
      <c r="E352" s="706" t="s">
        <v>400</v>
      </c>
      <c r="F352" s="706">
        <v>1</v>
      </c>
      <c r="G352" s="706">
        <v>2</v>
      </c>
      <c r="H352" s="720">
        <v>46095</v>
      </c>
      <c r="I352" s="720">
        <v>46095</v>
      </c>
      <c r="J352" s="706" t="s">
        <v>358</v>
      </c>
      <c r="K352" t="str">
        <f t="shared" si="19"/>
        <v>Switch</v>
      </c>
      <c r="L352" s="648" t="s">
        <v>583</v>
      </c>
      <c r="M352" s="419">
        <f t="shared" si="18"/>
        <v>2</v>
      </c>
      <c r="N352" s="419">
        <f t="shared" si="20"/>
        <v>2</v>
      </c>
      <c r="O352" s="419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1">
        <f>All_Detail_v2[[#This Row],[Scheduled Date]]</f>
        <v>46095</v>
      </c>
      <c r="S352" s="421">
        <f>All_Detail_v2[[#This Row],[Install Date]]</f>
        <v>46095</v>
      </c>
    </row>
    <row r="353" spans="1:19">
      <c r="A353">
        <v>349</v>
      </c>
      <c r="B353" s="704" t="s">
        <v>531</v>
      </c>
      <c r="C353" s="705" t="s">
        <v>584</v>
      </c>
      <c r="D353" s="706" t="s">
        <v>585</v>
      </c>
      <c r="E353" s="706" t="s">
        <v>360</v>
      </c>
      <c r="F353" s="706">
        <v>1</v>
      </c>
      <c r="G353" s="706">
        <v>1</v>
      </c>
      <c r="H353" s="720">
        <v>46080</v>
      </c>
      <c r="I353" s="720">
        <v>46080</v>
      </c>
      <c r="J353" s="706" t="s">
        <v>358</v>
      </c>
      <c r="K353" t="str">
        <f t="shared" si="19"/>
        <v>Switch</v>
      </c>
      <c r="M353" s="419">
        <f t="shared" si="18"/>
        <v>1</v>
      </c>
      <c r="N353" s="419">
        <f t="shared" si="20"/>
        <v>1</v>
      </c>
      <c r="O353" s="419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1">
        <f>All_Detail_v2[[#This Row],[Scheduled Date]]</f>
        <v>46080</v>
      </c>
      <c r="S353" s="421">
        <f>All_Detail_v2[[#This Row],[Install Date]]</f>
        <v>46080</v>
      </c>
    </row>
    <row r="354" spans="1:19">
      <c r="A354">
        <v>350</v>
      </c>
      <c r="B354" s="704" t="s">
        <v>531</v>
      </c>
      <c r="C354" s="705" t="s">
        <v>584</v>
      </c>
      <c r="D354" s="706" t="s">
        <v>586</v>
      </c>
      <c r="E354" s="706" t="s">
        <v>360</v>
      </c>
      <c r="F354" s="706">
        <v>2</v>
      </c>
      <c r="G354" s="706">
        <v>2</v>
      </c>
      <c r="H354" s="720">
        <v>46080</v>
      </c>
      <c r="I354" s="720">
        <v>46080</v>
      </c>
      <c r="J354" s="706" t="s">
        <v>358</v>
      </c>
      <c r="K354" t="str">
        <f t="shared" si="19"/>
        <v>Switch</v>
      </c>
      <c r="M354" s="419">
        <f t="shared" si="18"/>
        <v>2</v>
      </c>
      <c r="N354" s="419">
        <f t="shared" si="20"/>
        <v>2</v>
      </c>
      <c r="O354" s="419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1">
        <f>All_Detail_v2[[#This Row],[Scheduled Date]]</f>
        <v>46080</v>
      </c>
      <c r="S354" s="421">
        <f>All_Detail_v2[[#This Row],[Install Date]]</f>
        <v>46080</v>
      </c>
    </row>
    <row r="355" spans="1:19">
      <c r="A355">
        <v>351</v>
      </c>
      <c r="B355" s="704" t="s">
        <v>531</v>
      </c>
      <c r="C355" s="705" t="s">
        <v>587</v>
      </c>
      <c r="D355" s="706" t="s">
        <v>588</v>
      </c>
      <c r="E355" s="706" t="s">
        <v>360</v>
      </c>
      <c r="F355" s="706">
        <v>2</v>
      </c>
      <c r="G355" s="706">
        <v>2</v>
      </c>
      <c r="H355" s="720">
        <v>46095</v>
      </c>
      <c r="I355" s="720">
        <v>46095</v>
      </c>
      <c r="J355" s="706" t="s">
        <v>358</v>
      </c>
      <c r="K355" t="str">
        <f t="shared" si="19"/>
        <v>Switch</v>
      </c>
      <c r="M355" s="419">
        <f t="shared" si="18"/>
        <v>2</v>
      </c>
      <c r="N355" s="419">
        <f t="shared" si="20"/>
        <v>2</v>
      </c>
      <c r="O355" s="419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1">
        <f>All_Detail_v2[[#This Row],[Scheduled Date]]</f>
        <v>46095</v>
      </c>
      <c r="S355" s="421">
        <f>All_Detail_v2[[#This Row],[Install Date]]</f>
        <v>46095</v>
      </c>
    </row>
    <row r="356" spans="1:19">
      <c r="A356">
        <v>352</v>
      </c>
      <c r="B356" s="704" t="s">
        <v>531</v>
      </c>
      <c r="C356" s="706" t="s">
        <v>589</v>
      </c>
      <c r="D356" s="706" t="s">
        <v>590</v>
      </c>
      <c r="E356" s="706" t="s">
        <v>360</v>
      </c>
      <c r="F356" s="706">
        <v>2</v>
      </c>
      <c r="G356" s="706"/>
      <c r="H356" s="720"/>
      <c r="I356" s="720">
        <v>46104</v>
      </c>
      <c r="J356" s="706" t="s">
        <v>355</v>
      </c>
      <c r="K356" t="str">
        <f t="shared" si="19"/>
        <v>Switch</v>
      </c>
      <c r="M356" s="419">
        <f t="shared" si="18"/>
        <v>0</v>
      </c>
      <c r="N356" s="419">
        <f t="shared" si="20"/>
        <v>0</v>
      </c>
      <c r="O356" s="419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1">
        <f>All_Detail_v2[[#This Row],[Scheduled Date]]</f>
        <v>46104</v>
      </c>
      <c r="S356" s="421">
        <f>All_Detail_v2[[#This Row],[Install Date]]</f>
        <v>0</v>
      </c>
    </row>
    <row r="357" spans="1:19">
      <c r="A357">
        <v>353</v>
      </c>
      <c r="B357" s="704" t="s">
        <v>531</v>
      </c>
      <c r="C357" s="706" t="s">
        <v>591</v>
      </c>
      <c r="D357" s="706" t="s">
        <v>592</v>
      </c>
      <c r="E357" s="706" t="s">
        <v>360</v>
      </c>
      <c r="F357" s="706">
        <v>2</v>
      </c>
      <c r="G357" s="706"/>
      <c r="H357" s="720"/>
      <c r="I357" s="720">
        <v>46104</v>
      </c>
      <c r="J357" s="706" t="s">
        <v>355</v>
      </c>
      <c r="K357" t="str">
        <f t="shared" si="19"/>
        <v>Switch</v>
      </c>
      <c r="M357" s="419">
        <f t="shared" si="18"/>
        <v>0</v>
      </c>
      <c r="N357" s="419">
        <f t="shared" si="20"/>
        <v>0</v>
      </c>
      <c r="O357" s="419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1">
        <f>All_Detail_v2[[#This Row],[Scheduled Date]]</f>
        <v>46104</v>
      </c>
      <c r="S357" s="421">
        <f>All_Detail_v2[[#This Row],[Install Date]]</f>
        <v>0</v>
      </c>
    </row>
    <row r="358" spans="1:19">
      <c r="A358">
        <v>354</v>
      </c>
      <c r="B358" s="704" t="s">
        <v>531</v>
      </c>
      <c r="C358" s="705" t="s">
        <v>593</v>
      </c>
      <c r="D358" s="706" t="s">
        <v>594</v>
      </c>
      <c r="E358" s="706" t="s">
        <v>360</v>
      </c>
      <c r="F358" s="706">
        <v>2</v>
      </c>
      <c r="G358" s="706"/>
      <c r="H358" s="720"/>
      <c r="I358" s="720">
        <v>46104</v>
      </c>
      <c r="J358" s="706" t="s">
        <v>355</v>
      </c>
      <c r="K358" t="str">
        <f t="shared" si="19"/>
        <v>Switch</v>
      </c>
      <c r="M358" s="419">
        <f t="shared" si="18"/>
        <v>0</v>
      </c>
      <c r="N358" s="419">
        <f t="shared" si="20"/>
        <v>0</v>
      </c>
      <c r="O358" s="419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1">
        <f>All_Detail_v2[[#This Row],[Scheduled Date]]</f>
        <v>46104</v>
      </c>
      <c r="S358" s="421">
        <f>All_Detail_v2[[#This Row],[Install Date]]</f>
        <v>0</v>
      </c>
    </row>
    <row r="359" spans="1:19">
      <c r="A359">
        <v>355</v>
      </c>
      <c r="B359" s="704" t="s">
        <v>531</v>
      </c>
      <c r="C359" s="706" t="s">
        <v>595</v>
      </c>
      <c r="D359" s="706" t="s">
        <v>596</v>
      </c>
      <c r="E359" s="706" t="s">
        <v>360</v>
      </c>
      <c r="F359" s="706">
        <v>2</v>
      </c>
      <c r="G359" s="706"/>
      <c r="H359" s="720"/>
      <c r="I359" s="720">
        <v>46104</v>
      </c>
      <c r="J359" s="706" t="s">
        <v>355</v>
      </c>
      <c r="K359" t="str">
        <f t="shared" si="19"/>
        <v>Switch</v>
      </c>
      <c r="M359" s="419">
        <f t="shared" si="18"/>
        <v>0</v>
      </c>
      <c r="N359" s="419">
        <f t="shared" si="20"/>
        <v>0</v>
      </c>
      <c r="O359" s="419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1">
        <f>All_Detail_v2[[#This Row],[Scheduled Date]]</f>
        <v>46104</v>
      </c>
      <c r="S359" s="421">
        <f>All_Detail_v2[[#This Row],[Install Date]]</f>
        <v>0</v>
      </c>
    </row>
    <row r="360" spans="1:19">
      <c r="A360">
        <v>356</v>
      </c>
      <c r="B360" s="704" t="s">
        <v>531</v>
      </c>
      <c r="C360" s="706" t="s">
        <v>597</v>
      </c>
      <c r="D360" s="706" t="s">
        <v>556</v>
      </c>
      <c r="E360" s="706" t="s">
        <v>400</v>
      </c>
      <c r="F360" s="706">
        <v>2</v>
      </c>
      <c r="G360" s="706"/>
      <c r="H360" s="720"/>
      <c r="I360" s="720">
        <v>46104</v>
      </c>
      <c r="J360" s="706" t="s">
        <v>355</v>
      </c>
      <c r="K360" t="str">
        <f t="shared" si="19"/>
        <v>Switch</v>
      </c>
      <c r="L360" s="648" t="s">
        <v>598</v>
      </c>
      <c r="M360" s="419">
        <f t="shared" si="18"/>
        <v>0</v>
      </c>
      <c r="N360" s="419">
        <f t="shared" si="20"/>
        <v>0</v>
      </c>
      <c r="O360" s="419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1">
        <f>All_Detail_v2[[#This Row],[Scheduled Date]]</f>
        <v>46104</v>
      </c>
      <c r="S360" s="421">
        <f>All_Detail_v2[[#This Row],[Install Date]]</f>
        <v>0</v>
      </c>
    </row>
    <row r="361" spans="1:19">
      <c r="A361">
        <v>357</v>
      </c>
      <c r="B361" s="704" t="s">
        <v>531</v>
      </c>
      <c r="C361" s="706" t="s">
        <v>599</v>
      </c>
      <c r="D361" s="706" t="s">
        <v>600</v>
      </c>
      <c r="E361" s="706" t="s">
        <v>360</v>
      </c>
      <c r="F361" s="706">
        <v>2</v>
      </c>
      <c r="G361" s="706"/>
      <c r="H361" s="720"/>
      <c r="I361" s="720">
        <v>46104</v>
      </c>
      <c r="J361" s="706" t="s">
        <v>355</v>
      </c>
      <c r="K361" t="str">
        <f t="shared" si="19"/>
        <v>Switch</v>
      </c>
      <c r="M361" s="419">
        <f t="shared" si="18"/>
        <v>0</v>
      </c>
      <c r="N361" s="419">
        <f t="shared" si="20"/>
        <v>0</v>
      </c>
      <c r="O361" s="419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1">
        <f>All_Detail_v2[[#This Row],[Scheduled Date]]</f>
        <v>46104</v>
      </c>
      <c r="S361" s="421">
        <f>All_Detail_v2[[#This Row],[Install Date]]</f>
        <v>0</v>
      </c>
    </row>
    <row r="362" spans="1:19">
      <c r="A362">
        <v>358</v>
      </c>
      <c r="B362" s="704" t="s">
        <v>531</v>
      </c>
      <c r="C362" s="705" t="s">
        <v>601</v>
      </c>
      <c r="D362" s="706" t="s">
        <v>475</v>
      </c>
      <c r="E362" s="706" t="s">
        <v>539</v>
      </c>
      <c r="F362" s="706">
        <v>2</v>
      </c>
      <c r="G362" s="706"/>
      <c r="H362" s="720"/>
      <c r="I362" s="720">
        <v>46104</v>
      </c>
      <c r="J362" s="706" t="s">
        <v>355</v>
      </c>
      <c r="K362" t="str">
        <f t="shared" si="19"/>
        <v>Infra</v>
      </c>
      <c r="M362" s="419">
        <f t="shared" si="18"/>
        <v>0</v>
      </c>
      <c r="N362" s="419">
        <f t="shared" si="20"/>
        <v>0</v>
      </c>
      <c r="O362" s="419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1">
        <f>All_Detail_v2[[#This Row],[Scheduled Date]]</f>
        <v>46104</v>
      </c>
      <c r="S362" s="421">
        <f>All_Detail_v2[[#This Row],[Install Date]]</f>
        <v>0</v>
      </c>
    </row>
    <row r="363" spans="1:19">
      <c r="A363">
        <v>359</v>
      </c>
      <c r="B363" s="704" t="s">
        <v>531</v>
      </c>
      <c r="C363" s="705" t="s">
        <v>602</v>
      </c>
      <c r="D363" s="706" t="s">
        <v>603</v>
      </c>
      <c r="E363" s="706" t="s">
        <v>360</v>
      </c>
      <c r="F363" s="706">
        <v>1</v>
      </c>
      <c r="G363" s="706">
        <v>1</v>
      </c>
      <c r="H363" s="720">
        <v>46079</v>
      </c>
      <c r="I363" s="720">
        <v>46079</v>
      </c>
      <c r="J363" s="706" t="s">
        <v>358</v>
      </c>
      <c r="K363" t="str">
        <f t="shared" si="19"/>
        <v>Switch</v>
      </c>
      <c r="M363" s="419">
        <f t="shared" si="18"/>
        <v>1</v>
      </c>
      <c r="N363" s="419">
        <f t="shared" si="20"/>
        <v>1</v>
      </c>
      <c r="O363" s="419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1">
        <f>All_Detail_v2[[#This Row],[Scheduled Date]]</f>
        <v>46079</v>
      </c>
      <c r="S363" s="421">
        <f>All_Detail_v2[[#This Row],[Install Date]]</f>
        <v>46079</v>
      </c>
    </row>
    <row r="364" spans="1:19">
      <c r="A364">
        <v>360</v>
      </c>
      <c r="B364" s="704" t="s">
        <v>531</v>
      </c>
      <c r="C364" s="705" t="s">
        <v>604</v>
      </c>
      <c r="D364" s="706" t="s">
        <v>605</v>
      </c>
      <c r="E364" s="706" t="s">
        <v>360</v>
      </c>
      <c r="F364" s="706">
        <v>1</v>
      </c>
      <c r="G364" s="706">
        <v>1</v>
      </c>
      <c r="H364" s="720">
        <v>46095</v>
      </c>
      <c r="I364" s="720">
        <v>46095</v>
      </c>
      <c r="J364" s="706" t="s">
        <v>358</v>
      </c>
      <c r="K364" t="str">
        <f t="shared" si="19"/>
        <v>Switch</v>
      </c>
      <c r="M364" s="419">
        <f t="shared" si="18"/>
        <v>1</v>
      </c>
      <c r="N364" s="419">
        <f t="shared" si="20"/>
        <v>1</v>
      </c>
      <c r="O364" s="419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1">
        <f>All_Detail_v2[[#This Row],[Scheduled Date]]</f>
        <v>46095</v>
      </c>
      <c r="S364" s="421">
        <f>All_Detail_v2[[#This Row],[Install Date]]</f>
        <v>46095</v>
      </c>
    </row>
    <row r="365" spans="1:19">
      <c r="A365">
        <v>361</v>
      </c>
      <c r="B365" s="704" t="s">
        <v>531</v>
      </c>
      <c r="C365" s="705" t="s">
        <v>606</v>
      </c>
      <c r="D365" s="706" t="s">
        <v>607</v>
      </c>
      <c r="E365" s="706" t="s">
        <v>360</v>
      </c>
      <c r="F365" s="706">
        <v>1</v>
      </c>
      <c r="G365" s="706">
        <v>1</v>
      </c>
      <c r="H365" s="720">
        <v>46079</v>
      </c>
      <c r="I365" s="720">
        <v>46079</v>
      </c>
      <c r="J365" s="706" t="s">
        <v>358</v>
      </c>
      <c r="K365" t="str">
        <f t="shared" si="19"/>
        <v>Switch</v>
      </c>
      <c r="M365" s="419">
        <f t="shared" si="18"/>
        <v>1</v>
      </c>
      <c r="N365" s="419">
        <f t="shared" si="20"/>
        <v>1</v>
      </c>
      <c r="O365" s="419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1">
        <f>All_Detail_v2[[#This Row],[Scheduled Date]]</f>
        <v>46079</v>
      </c>
      <c r="S365" s="421">
        <f>All_Detail_v2[[#This Row],[Install Date]]</f>
        <v>46079</v>
      </c>
    </row>
    <row r="366" spans="1:19">
      <c r="A366">
        <v>362</v>
      </c>
      <c r="B366" s="704" t="s">
        <v>531</v>
      </c>
      <c r="C366" s="705" t="s">
        <v>608</v>
      </c>
      <c r="D366" s="706" t="s">
        <v>609</v>
      </c>
      <c r="E366" s="706" t="s">
        <v>360</v>
      </c>
      <c r="F366" s="706">
        <v>1</v>
      </c>
      <c r="G366" s="706">
        <v>1</v>
      </c>
      <c r="H366" s="720">
        <v>46095</v>
      </c>
      <c r="I366" s="720">
        <v>46095</v>
      </c>
      <c r="J366" s="706" t="s">
        <v>358</v>
      </c>
      <c r="K366" t="str">
        <f t="shared" si="19"/>
        <v>Switch</v>
      </c>
      <c r="L366" s="648" t="s">
        <v>385</v>
      </c>
      <c r="M366" s="419">
        <f t="shared" si="18"/>
        <v>1</v>
      </c>
      <c r="N366" s="419">
        <f t="shared" si="20"/>
        <v>1</v>
      </c>
      <c r="O366" s="419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1">
        <f>All_Detail_v2[[#This Row],[Scheduled Date]]</f>
        <v>46095</v>
      </c>
      <c r="S366" s="421">
        <f>All_Detail_v2[[#This Row],[Install Date]]</f>
        <v>46095</v>
      </c>
    </row>
    <row r="367" spans="1:19">
      <c r="A367">
        <v>363</v>
      </c>
      <c r="B367" s="704" t="s">
        <v>531</v>
      </c>
      <c r="C367" s="705" t="s">
        <v>610</v>
      </c>
      <c r="D367" s="706" t="s">
        <v>611</v>
      </c>
      <c r="E367" s="706" t="s">
        <v>360</v>
      </c>
      <c r="F367" s="706">
        <v>1</v>
      </c>
      <c r="G367" s="706">
        <v>1</v>
      </c>
      <c r="H367" s="720">
        <v>46079</v>
      </c>
      <c r="I367" s="720">
        <v>46079</v>
      </c>
      <c r="J367" s="706" t="s">
        <v>358</v>
      </c>
      <c r="K367" t="str">
        <f t="shared" si="19"/>
        <v>Switch</v>
      </c>
      <c r="M367" s="419">
        <f t="shared" si="18"/>
        <v>1</v>
      </c>
      <c r="N367" s="419">
        <f t="shared" si="20"/>
        <v>1</v>
      </c>
      <c r="O367" s="419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1">
        <f>All_Detail_v2[[#This Row],[Scheduled Date]]</f>
        <v>46079</v>
      </c>
      <c r="S367" s="421">
        <f>All_Detail_v2[[#This Row],[Install Date]]</f>
        <v>46079</v>
      </c>
    </row>
    <row r="368" spans="1:19">
      <c r="A368">
        <v>364</v>
      </c>
      <c r="B368" s="704" t="s">
        <v>531</v>
      </c>
      <c r="C368" s="705" t="s">
        <v>612</v>
      </c>
      <c r="D368" s="706" t="s">
        <v>613</v>
      </c>
      <c r="E368" s="706" t="s">
        <v>360</v>
      </c>
      <c r="F368" s="706">
        <v>1</v>
      </c>
      <c r="G368" s="706">
        <v>1</v>
      </c>
      <c r="H368" s="720">
        <v>46080</v>
      </c>
      <c r="I368" s="720">
        <v>46080</v>
      </c>
      <c r="J368" s="706" t="s">
        <v>358</v>
      </c>
      <c r="K368" t="str">
        <f t="shared" si="19"/>
        <v>Switch</v>
      </c>
      <c r="M368" s="419">
        <f t="shared" si="18"/>
        <v>1</v>
      </c>
      <c r="N368" s="419">
        <f t="shared" si="20"/>
        <v>1</v>
      </c>
      <c r="O368" s="419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1">
        <f>All_Detail_v2[[#This Row],[Scheduled Date]]</f>
        <v>46080</v>
      </c>
      <c r="S368" s="421">
        <f>All_Detail_v2[[#This Row],[Install Date]]</f>
        <v>46080</v>
      </c>
    </row>
    <row r="369" spans="1:19">
      <c r="A369">
        <v>365</v>
      </c>
      <c r="B369" s="704" t="s">
        <v>531</v>
      </c>
      <c r="C369" s="705" t="s">
        <v>614</v>
      </c>
      <c r="D369" s="706" t="s">
        <v>615</v>
      </c>
      <c r="E369" s="706" t="s">
        <v>360</v>
      </c>
      <c r="F369" s="706">
        <v>1</v>
      </c>
      <c r="G369" s="706">
        <v>1</v>
      </c>
      <c r="H369" s="720">
        <v>46080</v>
      </c>
      <c r="I369" s="720">
        <v>46080</v>
      </c>
      <c r="J369" s="706" t="s">
        <v>358</v>
      </c>
      <c r="K369" t="str">
        <f t="shared" si="19"/>
        <v>Switch</v>
      </c>
      <c r="M369" s="419">
        <f t="shared" si="18"/>
        <v>1</v>
      </c>
      <c r="N369" s="419">
        <f t="shared" si="20"/>
        <v>1</v>
      </c>
      <c r="O369" s="419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1">
        <f>All_Detail_v2[[#This Row],[Scheduled Date]]</f>
        <v>46080</v>
      </c>
      <c r="S369" s="421">
        <f>All_Detail_v2[[#This Row],[Install Date]]</f>
        <v>46080</v>
      </c>
    </row>
    <row r="370" spans="1:19">
      <c r="A370">
        <v>366</v>
      </c>
      <c r="B370" s="704" t="s">
        <v>531</v>
      </c>
      <c r="C370" s="705" t="s">
        <v>616</v>
      </c>
      <c r="D370" s="706" t="s">
        <v>617</v>
      </c>
      <c r="E370" s="706" t="s">
        <v>360</v>
      </c>
      <c r="F370" s="706">
        <v>1</v>
      </c>
      <c r="G370" s="706">
        <v>1</v>
      </c>
      <c r="H370" s="720">
        <v>46080</v>
      </c>
      <c r="I370" s="720">
        <v>46080</v>
      </c>
      <c r="J370" s="706" t="s">
        <v>358</v>
      </c>
      <c r="K370" t="str">
        <f t="shared" si="19"/>
        <v>Switch</v>
      </c>
      <c r="M370" s="419">
        <f t="shared" si="18"/>
        <v>1</v>
      </c>
      <c r="N370" s="419">
        <f t="shared" si="20"/>
        <v>1</v>
      </c>
      <c r="O370" s="419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1">
        <f>All_Detail_v2[[#This Row],[Scheduled Date]]</f>
        <v>46080</v>
      </c>
      <c r="S370" s="421">
        <f>All_Detail_v2[[#This Row],[Install Date]]</f>
        <v>46080</v>
      </c>
    </row>
    <row r="371" spans="1:19">
      <c r="A371">
        <v>367</v>
      </c>
      <c r="B371" s="704" t="s">
        <v>531</v>
      </c>
      <c r="C371" s="705" t="s">
        <v>618</v>
      </c>
      <c r="D371" s="706" t="s">
        <v>619</v>
      </c>
      <c r="E371" s="706" t="s">
        <v>360</v>
      </c>
      <c r="F371" s="706">
        <v>1</v>
      </c>
      <c r="G371" s="706">
        <v>1</v>
      </c>
      <c r="H371" s="720">
        <v>46080</v>
      </c>
      <c r="I371" s="720">
        <v>46080</v>
      </c>
      <c r="J371" s="706" t="s">
        <v>358</v>
      </c>
      <c r="K371" t="str">
        <f t="shared" si="19"/>
        <v>Switch</v>
      </c>
      <c r="M371" s="419">
        <f t="shared" si="18"/>
        <v>1</v>
      </c>
      <c r="N371" s="419">
        <f t="shared" si="20"/>
        <v>1</v>
      </c>
      <c r="O371" s="419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1">
        <f>All_Detail_v2[[#This Row],[Scheduled Date]]</f>
        <v>46080</v>
      </c>
      <c r="S371" s="421">
        <f>All_Detail_v2[[#This Row],[Install Date]]</f>
        <v>46080</v>
      </c>
    </row>
    <row r="372" spans="1:19">
      <c r="A372">
        <v>368</v>
      </c>
      <c r="B372" s="704" t="s">
        <v>531</v>
      </c>
      <c r="C372" s="705" t="s">
        <v>620</v>
      </c>
      <c r="D372" s="706" t="s">
        <v>621</v>
      </c>
      <c r="E372" s="706" t="s">
        <v>360</v>
      </c>
      <c r="F372" s="706">
        <v>1</v>
      </c>
      <c r="G372" s="706">
        <v>1</v>
      </c>
      <c r="H372" s="720">
        <v>46080</v>
      </c>
      <c r="I372" s="720">
        <v>46080</v>
      </c>
      <c r="J372" s="706" t="s">
        <v>358</v>
      </c>
      <c r="K372" t="str">
        <f t="shared" si="19"/>
        <v>Switch</v>
      </c>
      <c r="M372" s="419">
        <f t="shared" si="18"/>
        <v>1</v>
      </c>
      <c r="N372" s="419">
        <f t="shared" si="20"/>
        <v>1</v>
      </c>
      <c r="O372" s="419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1">
        <f>All_Detail_v2[[#This Row],[Scheduled Date]]</f>
        <v>46080</v>
      </c>
      <c r="S372" s="421">
        <f>All_Detail_v2[[#This Row],[Install Date]]</f>
        <v>46080</v>
      </c>
    </row>
    <row r="373" spans="1:19">
      <c r="A373">
        <v>369</v>
      </c>
      <c r="B373" s="704" t="s">
        <v>531</v>
      </c>
      <c r="C373" s="705" t="s">
        <v>622</v>
      </c>
      <c r="D373" s="706" t="s">
        <v>623</v>
      </c>
      <c r="E373" s="706" t="s">
        <v>360</v>
      </c>
      <c r="F373" s="706">
        <v>1</v>
      </c>
      <c r="G373" s="706">
        <v>1</v>
      </c>
      <c r="H373" s="720">
        <v>46079</v>
      </c>
      <c r="I373" s="720">
        <v>46079</v>
      </c>
      <c r="J373" s="706" t="s">
        <v>358</v>
      </c>
      <c r="K373" t="str">
        <f t="shared" si="19"/>
        <v>Switch</v>
      </c>
      <c r="M373" s="419">
        <f t="shared" si="18"/>
        <v>1</v>
      </c>
      <c r="N373" s="419">
        <f t="shared" si="20"/>
        <v>1</v>
      </c>
      <c r="O373" s="419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1">
        <f>All_Detail_v2[[#This Row],[Scheduled Date]]</f>
        <v>46079</v>
      </c>
      <c r="S373" s="421">
        <f>All_Detail_v2[[#This Row],[Install Date]]</f>
        <v>46079</v>
      </c>
    </row>
    <row r="374" spans="1:19">
      <c r="A374">
        <v>370</v>
      </c>
      <c r="B374" s="704" t="s">
        <v>531</v>
      </c>
      <c r="C374" s="705" t="s">
        <v>624</v>
      </c>
      <c r="D374" s="706" t="s">
        <v>625</v>
      </c>
      <c r="E374" s="706" t="s">
        <v>360</v>
      </c>
      <c r="F374" s="706">
        <v>1</v>
      </c>
      <c r="G374" s="706">
        <v>1</v>
      </c>
      <c r="H374" s="720">
        <v>46095</v>
      </c>
      <c r="I374" s="720">
        <v>46095</v>
      </c>
      <c r="J374" s="706" t="s">
        <v>358</v>
      </c>
      <c r="K374" t="str">
        <f t="shared" si="19"/>
        <v>Switch</v>
      </c>
      <c r="M374" s="419">
        <f t="shared" si="18"/>
        <v>1</v>
      </c>
      <c r="N374" s="419">
        <f t="shared" si="20"/>
        <v>1</v>
      </c>
      <c r="O374" s="419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1">
        <f>All_Detail_v2[[#This Row],[Scheduled Date]]</f>
        <v>46095</v>
      </c>
      <c r="S374" s="421">
        <f>All_Detail_v2[[#This Row],[Install Date]]</f>
        <v>46095</v>
      </c>
    </row>
    <row r="375" spans="1:19">
      <c r="A375">
        <v>371</v>
      </c>
      <c r="B375" s="704" t="s">
        <v>626</v>
      </c>
      <c r="C375" s="705" t="s">
        <v>627</v>
      </c>
      <c r="D375" s="706" t="s">
        <v>40</v>
      </c>
      <c r="E375" s="706" t="s">
        <v>354</v>
      </c>
      <c r="F375" s="706">
        <v>44</v>
      </c>
      <c r="G375" s="706"/>
      <c r="H375" s="720"/>
      <c r="I375" s="720">
        <v>46139</v>
      </c>
      <c r="J375" s="706" t="s">
        <v>355</v>
      </c>
      <c r="K375" t="str">
        <f t="shared" si="19"/>
        <v>AP</v>
      </c>
      <c r="M375" s="419">
        <f t="shared" si="18"/>
        <v>0</v>
      </c>
      <c r="N375" s="419">
        <f t="shared" si="20"/>
        <v>0</v>
      </c>
      <c r="O375" s="419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1">
        <f>All_Detail_v2[[#This Row],[Scheduled Date]]</f>
        <v>46139</v>
      </c>
      <c r="S375" s="421">
        <f>All_Detail_v2[[#This Row],[Install Date]]</f>
        <v>0</v>
      </c>
    </row>
    <row r="376" spans="1:19">
      <c r="A376">
        <v>372</v>
      </c>
      <c r="B376" s="704" t="s">
        <v>626</v>
      </c>
      <c r="C376" s="705" t="s">
        <v>627</v>
      </c>
      <c r="D376" s="706" t="s">
        <v>628</v>
      </c>
      <c r="E376" s="706" t="s">
        <v>360</v>
      </c>
      <c r="F376" s="706">
        <v>3</v>
      </c>
      <c r="G376" s="706"/>
      <c r="H376" s="720"/>
      <c r="I376" s="720">
        <v>46142</v>
      </c>
      <c r="J376" s="706" t="s">
        <v>355</v>
      </c>
      <c r="K376" t="str">
        <f t="shared" si="19"/>
        <v>Switch</v>
      </c>
      <c r="M376" s="419">
        <f t="shared" si="18"/>
        <v>0</v>
      </c>
      <c r="N376" s="419">
        <f t="shared" si="20"/>
        <v>0</v>
      </c>
      <c r="O376" s="419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1">
        <f>All_Detail_v2[[#This Row],[Scheduled Date]]</f>
        <v>46142</v>
      </c>
      <c r="S376" s="421">
        <f>All_Detail_v2[[#This Row],[Install Date]]</f>
        <v>0</v>
      </c>
    </row>
    <row r="377" spans="1:19">
      <c r="A377">
        <v>373</v>
      </c>
      <c r="B377" s="704" t="s">
        <v>626</v>
      </c>
      <c r="C377" s="705" t="s">
        <v>627</v>
      </c>
      <c r="D377" s="706" t="s">
        <v>628</v>
      </c>
      <c r="E377" s="706" t="s">
        <v>365</v>
      </c>
      <c r="F377" s="706">
        <v>2</v>
      </c>
      <c r="G377" s="706"/>
      <c r="H377" s="720"/>
      <c r="I377" s="720">
        <v>46142</v>
      </c>
      <c r="J377" s="706" t="s">
        <v>355</v>
      </c>
      <c r="K377" t="str">
        <f t="shared" si="19"/>
        <v>Switch</v>
      </c>
      <c r="M377" s="419">
        <f t="shared" si="18"/>
        <v>0</v>
      </c>
      <c r="N377" s="419">
        <f t="shared" si="20"/>
        <v>0</v>
      </c>
      <c r="O377" s="419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1">
        <f>All_Detail_v2[[#This Row],[Scheduled Date]]</f>
        <v>46142</v>
      </c>
      <c r="S377" s="421">
        <f>All_Detail_v2[[#This Row],[Install Date]]</f>
        <v>0</v>
      </c>
    </row>
    <row r="378" spans="1:19">
      <c r="A378">
        <v>374</v>
      </c>
      <c r="B378" s="704" t="s">
        <v>626</v>
      </c>
      <c r="C378" s="705" t="s">
        <v>627</v>
      </c>
      <c r="D378" s="706" t="s">
        <v>629</v>
      </c>
      <c r="E378" s="706" t="s">
        <v>360</v>
      </c>
      <c r="F378" s="706">
        <v>3</v>
      </c>
      <c r="G378" s="706"/>
      <c r="H378" s="720"/>
      <c r="I378" s="720">
        <v>46147</v>
      </c>
      <c r="J378" s="706" t="s">
        <v>355</v>
      </c>
      <c r="K378" t="str">
        <f t="shared" si="19"/>
        <v>Switch</v>
      </c>
      <c r="M378" s="419">
        <f t="shared" si="18"/>
        <v>0</v>
      </c>
      <c r="N378" s="419">
        <f t="shared" si="20"/>
        <v>0</v>
      </c>
      <c r="O378" s="419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1">
        <f>All_Detail_v2[[#This Row],[Scheduled Date]]</f>
        <v>46147</v>
      </c>
      <c r="S378" s="421">
        <f>All_Detail_v2[[#This Row],[Install Date]]</f>
        <v>0</v>
      </c>
    </row>
    <row r="379" spans="1:19">
      <c r="A379">
        <v>375</v>
      </c>
      <c r="B379" s="704" t="s">
        <v>626</v>
      </c>
      <c r="C379" s="705" t="s">
        <v>627</v>
      </c>
      <c r="D379" s="706" t="s">
        <v>629</v>
      </c>
      <c r="E379" s="706" t="s">
        <v>365</v>
      </c>
      <c r="F379" s="706">
        <v>3</v>
      </c>
      <c r="G379" s="706"/>
      <c r="H379" s="720"/>
      <c r="I379" s="720">
        <v>46147</v>
      </c>
      <c r="J379" s="706" t="s">
        <v>355</v>
      </c>
      <c r="K379" t="str">
        <f t="shared" si="19"/>
        <v>Switch</v>
      </c>
      <c r="M379" s="419">
        <f t="shared" si="18"/>
        <v>0</v>
      </c>
      <c r="N379" s="419">
        <f t="shared" si="20"/>
        <v>0</v>
      </c>
      <c r="O379" s="419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1">
        <f>All_Detail_v2[[#This Row],[Scheduled Date]]</f>
        <v>46147</v>
      </c>
      <c r="S379" s="421">
        <f>All_Detail_v2[[#This Row],[Install Date]]</f>
        <v>0</v>
      </c>
    </row>
    <row r="380" spans="1:19">
      <c r="A380">
        <v>376</v>
      </c>
      <c r="B380" s="704" t="s">
        <v>626</v>
      </c>
      <c r="C380" s="705" t="s">
        <v>627</v>
      </c>
      <c r="D380" s="706" t="s">
        <v>630</v>
      </c>
      <c r="E380" s="706" t="s">
        <v>360</v>
      </c>
      <c r="F380" s="706">
        <v>3</v>
      </c>
      <c r="G380" s="706"/>
      <c r="H380" s="720"/>
      <c r="I380" s="720">
        <v>46147</v>
      </c>
      <c r="J380" s="706" t="s">
        <v>355</v>
      </c>
      <c r="K380" t="str">
        <f t="shared" si="19"/>
        <v>Switch</v>
      </c>
      <c r="M380" s="419">
        <f t="shared" si="18"/>
        <v>0</v>
      </c>
      <c r="N380" s="419">
        <f t="shared" si="20"/>
        <v>0</v>
      </c>
      <c r="O380" s="419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1">
        <f>All_Detail_v2[[#This Row],[Scheduled Date]]</f>
        <v>46147</v>
      </c>
      <c r="S380" s="421">
        <f>All_Detail_v2[[#This Row],[Install Date]]</f>
        <v>0</v>
      </c>
    </row>
    <row r="381" spans="1:19">
      <c r="A381">
        <v>377</v>
      </c>
      <c r="B381" s="704" t="s">
        <v>626</v>
      </c>
      <c r="C381" s="705" t="s">
        <v>627</v>
      </c>
      <c r="D381" s="706" t="s">
        <v>630</v>
      </c>
      <c r="E381" s="706" t="s">
        <v>365</v>
      </c>
      <c r="F381" s="706">
        <v>3</v>
      </c>
      <c r="G381" s="706"/>
      <c r="H381" s="720"/>
      <c r="I381" s="720">
        <v>46147</v>
      </c>
      <c r="J381" s="706" t="s">
        <v>355</v>
      </c>
      <c r="K381" t="str">
        <f t="shared" si="19"/>
        <v>Switch</v>
      </c>
      <c r="M381" s="419">
        <f t="shared" si="18"/>
        <v>0</v>
      </c>
      <c r="N381" s="419">
        <f t="shared" si="20"/>
        <v>0</v>
      </c>
      <c r="O381" s="419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1">
        <f>All_Detail_v2[[#This Row],[Scheduled Date]]</f>
        <v>46147</v>
      </c>
      <c r="S381" s="421">
        <f>All_Detail_v2[[#This Row],[Install Date]]</f>
        <v>0</v>
      </c>
    </row>
    <row r="382" spans="1:19">
      <c r="A382">
        <v>378</v>
      </c>
      <c r="B382" s="704" t="s">
        <v>626</v>
      </c>
      <c r="C382" s="705" t="s">
        <v>627</v>
      </c>
      <c r="D382" s="706" t="s">
        <v>631</v>
      </c>
      <c r="E382" s="706" t="s">
        <v>360</v>
      </c>
      <c r="F382" s="706">
        <v>3</v>
      </c>
      <c r="G382" s="706"/>
      <c r="H382" s="720"/>
      <c r="I382" s="720">
        <v>46148</v>
      </c>
      <c r="J382" s="706" t="s">
        <v>355</v>
      </c>
      <c r="K382" t="str">
        <f t="shared" si="19"/>
        <v>Switch</v>
      </c>
      <c r="M382" s="419">
        <f t="shared" si="18"/>
        <v>0</v>
      </c>
      <c r="N382" s="419">
        <f t="shared" si="20"/>
        <v>0</v>
      </c>
      <c r="O382" s="419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1">
        <f>All_Detail_v2[[#This Row],[Scheduled Date]]</f>
        <v>46148</v>
      </c>
      <c r="S382" s="421">
        <f>All_Detail_v2[[#This Row],[Install Date]]</f>
        <v>0</v>
      </c>
    </row>
    <row r="383" spans="1:19">
      <c r="A383">
        <v>379</v>
      </c>
      <c r="B383" s="704" t="s">
        <v>626</v>
      </c>
      <c r="C383" s="705" t="s">
        <v>627</v>
      </c>
      <c r="D383" s="706" t="s">
        <v>631</v>
      </c>
      <c r="E383" s="706" t="s">
        <v>365</v>
      </c>
      <c r="F383" s="706">
        <v>3</v>
      </c>
      <c r="G383" s="706"/>
      <c r="H383" s="720"/>
      <c r="I383" s="720">
        <v>46148</v>
      </c>
      <c r="J383" s="706" t="s">
        <v>355</v>
      </c>
      <c r="K383" t="str">
        <f t="shared" si="19"/>
        <v>Switch</v>
      </c>
      <c r="M383" s="419">
        <f t="shared" si="18"/>
        <v>0</v>
      </c>
      <c r="N383" s="419">
        <f t="shared" si="20"/>
        <v>0</v>
      </c>
      <c r="O383" s="419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1">
        <f>All_Detail_v2[[#This Row],[Scheduled Date]]</f>
        <v>46148</v>
      </c>
      <c r="S383" s="421">
        <f>All_Detail_v2[[#This Row],[Install Date]]</f>
        <v>0</v>
      </c>
    </row>
    <row r="384" spans="1:19">
      <c r="A384">
        <v>380</v>
      </c>
      <c r="B384" s="704" t="s">
        <v>626</v>
      </c>
      <c r="C384" s="705" t="s">
        <v>627</v>
      </c>
      <c r="D384" s="706" t="s">
        <v>632</v>
      </c>
      <c r="E384" s="706" t="s">
        <v>360</v>
      </c>
      <c r="F384" s="706">
        <v>3</v>
      </c>
      <c r="G384" s="706"/>
      <c r="H384" s="720"/>
      <c r="I384" s="720">
        <v>46148</v>
      </c>
      <c r="J384" s="706" t="s">
        <v>355</v>
      </c>
      <c r="K384" t="str">
        <f t="shared" si="19"/>
        <v>Switch</v>
      </c>
      <c r="M384" s="419">
        <f t="shared" si="18"/>
        <v>0</v>
      </c>
      <c r="N384" s="419">
        <f t="shared" si="20"/>
        <v>0</v>
      </c>
      <c r="O384" s="419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1">
        <f>All_Detail_v2[[#This Row],[Scheduled Date]]</f>
        <v>46148</v>
      </c>
      <c r="S384" s="421">
        <f>All_Detail_v2[[#This Row],[Install Date]]</f>
        <v>0</v>
      </c>
    </row>
    <row r="385" spans="1:19">
      <c r="A385">
        <v>381</v>
      </c>
      <c r="B385" s="704" t="s">
        <v>626</v>
      </c>
      <c r="C385" s="705" t="s">
        <v>627</v>
      </c>
      <c r="D385" s="706" t="s">
        <v>632</v>
      </c>
      <c r="E385" s="706" t="s">
        <v>365</v>
      </c>
      <c r="F385" s="706">
        <v>3</v>
      </c>
      <c r="G385" s="706"/>
      <c r="H385" s="720"/>
      <c r="I385" s="720">
        <v>46148</v>
      </c>
      <c r="J385" s="706" t="s">
        <v>355</v>
      </c>
      <c r="K385" t="str">
        <f t="shared" si="19"/>
        <v>Switch</v>
      </c>
      <c r="M385" s="419">
        <f t="shared" si="18"/>
        <v>0</v>
      </c>
      <c r="N385" s="419">
        <f t="shared" si="20"/>
        <v>0</v>
      </c>
      <c r="O385" s="419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1">
        <f>All_Detail_v2[[#This Row],[Scheduled Date]]</f>
        <v>46148</v>
      </c>
      <c r="S385" s="421">
        <f>All_Detail_v2[[#This Row],[Install Date]]</f>
        <v>0</v>
      </c>
    </row>
    <row r="386" spans="1:19">
      <c r="A386">
        <v>382</v>
      </c>
      <c r="B386" s="704" t="s">
        <v>626</v>
      </c>
      <c r="C386" s="705" t="s">
        <v>627</v>
      </c>
      <c r="D386" s="706" t="s">
        <v>633</v>
      </c>
      <c r="E386" s="706" t="s">
        <v>360</v>
      </c>
      <c r="F386" s="706">
        <v>3</v>
      </c>
      <c r="G386" s="706"/>
      <c r="H386" s="720"/>
      <c r="I386" s="720">
        <v>46149</v>
      </c>
      <c r="J386" s="706" t="s">
        <v>355</v>
      </c>
      <c r="K386" t="str">
        <f t="shared" si="19"/>
        <v>Switch</v>
      </c>
      <c r="M386" s="419">
        <f t="shared" ref="M386:M449" si="21">O386</f>
        <v>0</v>
      </c>
      <c r="N386" s="419">
        <f t="shared" si="20"/>
        <v>0</v>
      </c>
      <c r="O386" s="419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1">
        <f>All_Detail_v2[[#This Row],[Scheduled Date]]</f>
        <v>46149</v>
      </c>
      <c r="S386" s="421">
        <f>All_Detail_v2[[#This Row],[Install Date]]</f>
        <v>0</v>
      </c>
    </row>
    <row r="387" spans="1:19">
      <c r="A387">
        <v>383</v>
      </c>
      <c r="B387" s="704" t="s">
        <v>626</v>
      </c>
      <c r="C387" s="705" t="s">
        <v>627</v>
      </c>
      <c r="D387" s="706" t="s">
        <v>633</v>
      </c>
      <c r="E387" s="706" t="s">
        <v>365</v>
      </c>
      <c r="F387" s="706">
        <v>3</v>
      </c>
      <c r="G387" s="706"/>
      <c r="H387" s="720"/>
      <c r="I387" s="720">
        <v>46149</v>
      </c>
      <c r="J387" s="706" t="s">
        <v>355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9">
        <f t="shared" si="21"/>
        <v>0</v>
      </c>
      <c r="N387" s="419">
        <f t="shared" si="20"/>
        <v>0</v>
      </c>
      <c r="O387" s="419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1">
        <f>All_Detail_v2[[#This Row],[Scheduled Date]]</f>
        <v>46149</v>
      </c>
      <c r="S387" s="421">
        <f>All_Detail_v2[[#This Row],[Install Date]]</f>
        <v>0</v>
      </c>
    </row>
    <row r="388" spans="1:19">
      <c r="A388">
        <v>384</v>
      </c>
      <c r="B388" s="704" t="s">
        <v>626</v>
      </c>
      <c r="C388" s="705" t="s">
        <v>627</v>
      </c>
      <c r="D388" s="706" t="s">
        <v>634</v>
      </c>
      <c r="E388" s="706" t="s">
        <v>360</v>
      </c>
      <c r="F388" s="706">
        <v>3</v>
      </c>
      <c r="G388" s="706"/>
      <c r="H388" s="720"/>
      <c r="I388" s="720">
        <v>46149</v>
      </c>
      <c r="J388" s="706" t="s">
        <v>355</v>
      </c>
      <c r="K388" t="str">
        <f t="shared" si="22"/>
        <v>Switch</v>
      </c>
      <c r="M388" s="419">
        <f t="shared" si="21"/>
        <v>0</v>
      </c>
      <c r="N388" s="419">
        <f t="shared" si="20"/>
        <v>0</v>
      </c>
      <c r="O388" s="419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1">
        <f>All_Detail_v2[[#This Row],[Scheduled Date]]</f>
        <v>46149</v>
      </c>
      <c r="S388" s="421">
        <f>All_Detail_v2[[#This Row],[Install Date]]</f>
        <v>0</v>
      </c>
    </row>
    <row r="389" spans="1:19">
      <c r="A389">
        <v>385</v>
      </c>
      <c r="B389" s="704" t="s">
        <v>626</v>
      </c>
      <c r="C389" s="705" t="s">
        <v>627</v>
      </c>
      <c r="D389" s="706" t="s">
        <v>634</v>
      </c>
      <c r="E389" s="706" t="s">
        <v>365</v>
      </c>
      <c r="F389" s="706">
        <v>3</v>
      </c>
      <c r="G389" s="706"/>
      <c r="H389" s="720"/>
      <c r="I389" s="720">
        <v>46149</v>
      </c>
      <c r="J389" s="706" t="s">
        <v>355</v>
      </c>
      <c r="K389" t="str">
        <f t="shared" si="22"/>
        <v>Switch</v>
      </c>
      <c r="M389" s="419">
        <f t="shared" si="21"/>
        <v>0</v>
      </c>
      <c r="N389" s="419">
        <f t="shared" si="20"/>
        <v>0</v>
      </c>
      <c r="O389" s="419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1">
        <f>All_Detail_v2[[#This Row],[Scheduled Date]]</f>
        <v>46149</v>
      </c>
      <c r="S389" s="421">
        <f>All_Detail_v2[[#This Row],[Install Date]]</f>
        <v>0</v>
      </c>
    </row>
    <row r="390" spans="1:19">
      <c r="A390">
        <v>386</v>
      </c>
      <c r="B390" s="704" t="s">
        <v>626</v>
      </c>
      <c r="C390" s="705" t="s">
        <v>627</v>
      </c>
      <c r="D390" s="706" t="s">
        <v>635</v>
      </c>
      <c r="E390" s="706" t="s">
        <v>360</v>
      </c>
      <c r="F390" s="706">
        <v>3</v>
      </c>
      <c r="G390" s="706"/>
      <c r="H390" s="720"/>
      <c r="I390" s="720">
        <v>46150</v>
      </c>
      <c r="J390" s="706" t="s">
        <v>355</v>
      </c>
      <c r="K390" t="str">
        <f t="shared" si="22"/>
        <v>Switch</v>
      </c>
      <c r="M390" s="419">
        <f t="shared" si="21"/>
        <v>0</v>
      </c>
      <c r="N390" s="419">
        <f t="shared" ref="N390:N453" si="23">O390</f>
        <v>0</v>
      </c>
      <c r="O390" s="419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1">
        <f>All_Detail_v2[[#This Row],[Scheduled Date]]</f>
        <v>46150</v>
      </c>
      <c r="S390" s="421">
        <f>All_Detail_v2[[#This Row],[Install Date]]</f>
        <v>0</v>
      </c>
    </row>
    <row r="391" spans="1:19">
      <c r="A391">
        <v>387</v>
      </c>
      <c r="B391" s="704" t="s">
        <v>626</v>
      </c>
      <c r="C391" s="705" t="s">
        <v>627</v>
      </c>
      <c r="D391" s="706" t="s">
        <v>635</v>
      </c>
      <c r="E391" s="706" t="s">
        <v>365</v>
      </c>
      <c r="F391" s="706">
        <v>3</v>
      </c>
      <c r="G391" s="706"/>
      <c r="H391" s="720"/>
      <c r="I391" s="720">
        <v>46150</v>
      </c>
      <c r="J391" s="706" t="s">
        <v>355</v>
      </c>
      <c r="K391" t="str">
        <f t="shared" si="22"/>
        <v>Switch</v>
      </c>
      <c r="M391" s="419">
        <f t="shared" si="21"/>
        <v>0</v>
      </c>
      <c r="N391" s="419">
        <f t="shared" si="23"/>
        <v>0</v>
      </c>
      <c r="O391" s="419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1">
        <f>All_Detail_v2[[#This Row],[Scheduled Date]]</f>
        <v>46150</v>
      </c>
      <c r="S391" s="421">
        <f>All_Detail_v2[[#This Row],[Install Date]]</f>
        <v>0</v>
      </c>
    </row>
    <row r="392" spans="1:19">
      <c r="A392">
        <v>388</v>
      </c>
      <c r="B392" s="704" t="s">
        <v>626</v>
      </c>
      <c r="C392" s="705" t="s">
        <v>627</v>
      </c>
      <c r="D392" s="706" t="s">
        <v>636</v>
      </c>
      <c r="E392" s="706" t="s">
        <v>360</v>
      </c>
      <c r="F392" s="706">
        <v>3</v>
      </c>
      <c r="G392" s="706"/>
      <c r="H392" s="720"/>
      <c r="I392" s="720">
        <v>46150</v>
      </c>
      <c r="J392" s="706" t="s">
        <v>355</v>
      </c>
      <c r="K392" t="str">
        <f t="shared" si="22"/>
        <v>Switch</v>
      </c>
      <c r="M392" s="419">
        <f t="shared" si="21"/>
        <v>0</v>
      </c>
      <c r="N392" s="419">
        <f t="shared" si="23"/>
        <v>0</v>
      </c>
      <c r="O392" s="419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1">
        <f>All_Detail_v2[[#This Row],[Scheduled Date]]</f>
        <v>46150</v>
      </c>
      <c r="S392" s="421">
        <f>All_Detail_v2[[#This Row],[Install Date]]</f>
        <v>0</v>
      </c>
    </row>
    <row r="393" spans="1:19">
      <c r="A393">
        <v>389</v>
      </c>
      <c r="B393" s="704" t="s">
        <v>626</v>
      </c>
      <c r="C393" s="705" t="s">
        <v>627</v>
      </c>
      <c r="D393" s="706" t="s">
        <v>636</v>
      </c>
      <c r="E393" s="706" t="s">
        <v>365</v>
      </c>
      <c r="F393" s="706">
        <v>3</v>
      </c>
      <c r="G393" s="706"/>
      <c r="H393" s="720"/>
      <c r="I393" s="720">
        <v>46150</v>
      </c>
      <c r="J393" s="706" t="s">
        <v>355</v>
      </c>
      <c r="K393" t="str">
        <f t="shared" si="22"/>
        <v>Switch</v>
      </c>
      <c r="M393" s="419">
        <f t="shared" si="21"/>
        <v>0</v>
      </c>
      <c r="N393" s="419">
        <f t="shared" si="23"/>
        <v>0</v>
      </c>
      <c r="O393" s="419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1">
        <f>All_Detail_v2[[#This Row],[Scheduled Date]]</f>
        <v>46150</v>
      </c>
      <c r="S393" s="421">
        <f>All_Detail_v2[[#This Row],[Install Date]]</f>
        <v>0</v>
      </c>
    </row>
    <row r="394" spans="1:19">
      <c r="A394">
        <v>390</v>
      </c>
      <c r="B394" s="704" t="s">
        <v>626</v>
      </c>
      <c r="C394" s="705" t="s">
        <v>627</v>
      </c>
      <c r="D394" s="706" t="s">
        <v>637</v>
      </c>
      <c r="E394" s="706" t="s">
        <v>360</v>
      </c>
      <c r="F394" s="706">
        <v>3</v>
      </c>
      <c r="G394" s="706"/>
      <c r="H394" s="720"/>
      <c r="I394" s="720">
        <v>46153</v>
      </c>
      <c r="J394" s="706" t="s">
        <v>355</v>
      </c>
      <c r="K394" t="str">
        <f t="shared" si="22"/>
        <v>Switch</v>
      </c>
      <c r="M394" s="419">
        <f t="shared" si="21"/>
        <v>0</v>
      </c>
      <c r="N394" s="419">
        <f t="shared" si="23"/>
        <v>0</v>
      </c>
      <c r="O394" s="419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1">
        <f>All_Detail_v2[[#This Row],[Scheduled Date]]</f>
        <v>46153</v>
      </c>
      <c r="S394" s="421">
        <f>All_Detail_v2[[#This Row],[Install Date]]</f>
        <v>0</v>
      </c>
    </row>
    <row r="395" spans="1:19">
      <c r="A395">
        <v>391</v>
      </c>
      <c r="B395" s="704" t="s">
        <v>626</v>
      </c>
      <c r="C395" s="705" t="s">
        <v>627</v>
      </c>
      <c r="D395" s="706" t="s">
        <v>637</v>
      </c>
      <c r="E395" s="706" t="s">
        <v>365</v>
      </c>
      <c r="F395" s="706">
        <v>3</v>
      </c>
      <c r="G395" s="706"/>
      <c r="H395" s="720"/>
      <c r="I395" s="720">
        <v>46153</v>
      </c>
      <c r="J395" s="706" t="s">
        <v>355</v>
      </c>
      <c r="K395" t="str">
        <f t="shared" si="22"/>
        <v>Switch</v>
      </c>
      <c r="M395" s="419">
        <f t="shared" si="21"/>
        <v>0</v>
      </c>
      <c r="N395" s="419">
        <f t="shared" si="23"/>
        <v>0</v>
      </c>
      <c r="O395" s="419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1">
        <f>All_Detail_v2[[#This Row],[Scheduled Date]]</f>
        <v>46153</v>
      </c>
      <c r="S395" s="421">
        <f>All_Detail_v2[[#This Row],[Install Date]]</f>
        <v>0</v>
      </c>
    </row>
    <row r="396" spans="1:19">
      <c r="A396">
        <v>392</v>
      </c>
      <c r="B396" s="704" t="s">
        <v>626</v>
      </c>
      <c r="C396" s="705" t="s">
        <v>627</v>
      </c>
      <c r="D396" s="706" t="s">
        <v>638</v>
      </c>
      <c r="E396" s="706" t="s">
        <v>360</v>
      </c>
      <c r="F396" s="706">
        <v>1</v>
      </c>
      <c r="G396" s="706"/>
      <c r="H396" s="720"/>
      <c r="I396" s="720">
        <v>46153</v>
      </c>
      <c r="J396" s="706" t="s">
        <v>355</v>
      </c>
      <c r="K396" t="str">
        <f t="shared" si="22"/>
        <v>Switch</v>
      </c>
      <c r="M396" s="419">
        <f t="shared" si="21"/>
        <v>0</v>
      </c>
      <c r="N396" s="419">
        <f t="shared" si="23"/>
        <v>0</v>
      </c>
      <c r="O396" s="419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1">
        <f>All_Detail_v2[[#This Row],[Scheduled Date]]</f>
        <v>46153</v>
      </c>
      <c r="S396" s="421">
        <f>All_Detail_v2[[#This Row],[Install Date]]</f>
        <v>0</v>
      </c>
    </row>
    <row r="397" spans="1:19">
      <c r="A397">
        <v>393</v>
      </c>
      <c r="B397" s="704" t="s">
        <v>626</v>
      </c>
      <c r="C397" s="705" t="s">
        <v>627</v>
      </c>
      <c r="D397" s="706" t="s">
        <v>638</v>
      </c>
      <c r="E397" s="706" t="s">
        <v>365</v>
      </c>
      <c r="F397" s="706">
        <v>1</v>
      </c>
      <c r="G397" s="706"/>
      <c r="H397" s="720"/>
      <c r="I397" s="720">
        <v>46153</v>
      </c>
      <c r="J397" s="706" t="s">
        <v>355</v>
      </c>
      <c r="K397" t="str">
        <f t="shared" si="22"/>
        <v>Switch</v>
      </c>
      <c r="M397" s="419">
        <f t="shared" si="21"/>
        <v>0</v>
      </c>
      <c r="N397" s="419">
        <f t="shared" si="23"/>
        <v>0</v>
      </c>
      <c r="O397" s="419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1">
        <f>All_Detail_v2[[#This Row],[Scheduled Date]]</f>
        <v>46153</v>
      </c>
      <c r="S397" s="421">
        <f>All_Detail_v2[[#This Row],[Install Date]]</f>
        <v>0</v>
      </c>
    </row>
    <row r="398" spans="1:19">
      <c r="A398">
        <v>394</v>
      </c>
      <c r="B398" s="704" t="s">
        <v>626</v>
      </c>
      <c r="C398" s="705" t="s">
        <v>627</v>
      </c>
      <c r="D398" s="706" t="s">
        <v>639</v>
      </c>
      <c r="E398" s="706" t="s">
        <v>360</v>
      </c>
      <c r="F398" s="706">
        <v>1</v>
      </c>
      <c r="G398" s="706"/>
      <c r="H398" s="720"/>
      <c r="I398" s="720">
        <v>46153</v>
      </c>
      <c r="J398" s="706" t="s">
        <v>355</v>
      </c>
      <c r="K398" t="str">
        <f t="shared" si="22"/>
        <v>Switch</v>
      </c>
      <c r="M398" s="419">
        <f t="shared" si="21"/>
        <v>0</v>
      </c>
      <c r="N398" s="419">
        <f t="shared" si="23"/>
        <v>0</v>
      </c>
      <c r="O398" s="419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1">
        <f>All_Detail_v2[[#This Row],[Scheduled Date]]</f>
        <v>46153</v>
      </c>
      <c r="S398" s="421">
        <f>All_Detail_v2[[#This Row],[Install Date]]</f>
        <v>0</v>
      </c>
    </row>
    <row r="399" spans="1:19">
      <c r="A399">
        <v>395</v>
      </c>
      <c r="B399" s="704" t="s">
        <v>626</v>
      </c>
      <c r="C399" s="705" t="s">
        <v>627</v>
      </c>
      <c r="D399" s="706" t="s">
        <v>639</v>
      </c>
      <c r="E399" s="706" t="s">
        <v>365</v>
      </c>
      <c r="F399" s="706">
        <v>1</v>
      </c>
      <c r="G399" s="706"/>
      <c r="H399" s="720"/>
      <c r="I399" s="720">
        <v>46153</v>
      </c>
      <c r="J399" s="706" t="s">
        <v>355</v>
      </c>
      <c r="K399" t="str">
        <f t="shared" si="22"/>
        <v>Switch</v>
      </c>
      <c r="M399" s="419">
        <f t="shared" si="21"/>
        <v>0</v>
      </c>
      <c r="N399" s="419">
        <f t="shared" si="23"/>
        <v>0</v>
      </c>
      <c r="O399" s="419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1">
        <f>All_Detail_v2[[#This Row],[Scheduled Date]]</f>
        <v>46153</v>
      </c>
      <c r="S399" s="421">
        <f>All_Detail_v2[[#This Row],[Install Date]]</f>
        <v>0</v>
      </c>
    </row>
    <row r="400" spans="1:19">
      <c r="A400">
        <v>396</v>
      </c>
      <c r="B400" s="704" t="s">
        <v>626</v>
      </c>
      <c r="C400" s="705" t="s">
        <v>627</v>
      </c>
      <c r="D400" s="706" t="s">
        <v>639</v>
      </c>
      <c r="E400" s="706" t="s">
        <v>400</v>
      </c>
      <c r="F400" s="706">
        <v>1</v>
      </c>
      <c r="G400" s="706"/>
      <c r="H400" s="720"/>
      <c r="I400" s="720">
        <v>46153</v>
      </c>
      <c r="J400" s="706" t="s">
        <v>355</v>
      </c>
      <c r="K400" t="str">
        <f t="shared" si="22"/>
        <v>Switch</v>
      </c>
      <c r="M400" s="419">
        <f t="shared" si="21"/>
        <v>0</v>
      </c>
      <c r="N400" s="419">
        <f t="shared" si="23"/>
        <v>0</v>
      </c>
      <c r="O400" s="419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1">
        <f>All_Detail_v2[[#This Row],[Scheduled Date]]</f>
        <v>46153</v>
      </c>
      <c r="S400" s="421">
        <f>All_Detail_v2[[#This Row],[Install Date]]</f>
        <v>0</v>
      </c>
    </row>
    <row r="401" spans="1:19">
      <c r="A401">
        <v>397</v>
      </c>
      <c r="B401" s="704" t="s">
        <v>626</v>
      </c>
      <c r="C401" s="705" t="s">
        <v>627</v>
      </c>
      <c r="D401" s="706" t="s">
        <v>640</v>
      </c>
      <c r="E401" s="706" t="s">
        <v>360</v>
      </c>
      <c r="F401" s="706">
        <v>3</v>
      </c>
      <c r="G401" s="706"/>
      <c r="H401" s="720"/>
      <c r="I401" s="720">
        <v>46155</v>
      </c>
      <c r="J401" s="706" t="s">
        <v>355</v>
      </c>
      <c r="K401" t="str">
        <f t="shared" si="22"/>
        <v>Switch</v>
      </c>
      <c r="M401" s="419">
        <f t="shared" si="21"/>
        <v>0</v>
      </c>
      <c r="N401" s="419">
        <f t="shared" si="23"/>
        <v>0</v>
      </c>
      <c r="O401" s="419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1">
        <f>All_Detail_v2[[#This Row],[Scheduled Date]]</f>
        <v>46155</v>
      </c>
      <c r="S401" s="421">
        <f>All_Detail_v2[[#This Row],[Install Date]]</f>
        <v>0</v>
      </c>
    </row>
    <row r="402" spans="1:19">
      <c r="A402">
        <v>398</v>
      </c>
      <c r="B402" s="704" t="s">
        <v>626</v>
      </c>
      <c r="C402" s="705" t="s">
        <v>627</v>
      </c>
      <c r="D402" s="706" t="s">
        <v>640</v>
      </c>
      <c r="E402" s="706" t="s">
        <v>365</v>
      </c>
      <c r="F402" s="706">
        <v>1</v>
      </c>
      <c r="G402" s="706"/>
      <c r="H402" s="720"/>
      <c r="I402" s="720">
        <v>46155</v>
      </c>
      <c r="J402" s="706" t="s">
        <v>355</v>
      </c>
      <c r="K402" t="str">
        <f t="shared" si="22"/>
        <v>Switch</v>
      </c>
      <c r="M402" s="419">
        <f t="shared" si="21"/>
        <v>0</v>
      </c>
      <c r="N402" s="419">
        <f t="shared" si="23"/>
        <v>0</v>
      </c>
      <c r="O402" s="419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1">
        <f>All_Detail_v2[[#This Row],[Scheduled Date]]</f>
        <v>46155</v>
      </c>
      <c r="S402" s="421">
        <f>All_Detail_v2[[#This Row],[Install Date]]</f>
        <v>0</v>
      </c>
    </row>
    <row r="403" spans="1:19">
      <c r="A403">
        <v>399</v>
      </c>
      <c r="B403" s="704" t="s">
        <v>626</v>
      </c>
      <c r="C403" s="705" t="s">
        <v>627</v>
      </c>
      <c r="D403" s="706" t="s">
        <v>640</v>
      </c>
      <c r="E403" s="706" t="s">
        <v>402</v>
      </c>
      <c r="F403" s="706">
        <v>1</v>
      </c>
      <c r="G403" s="706"/>
      <c r="H403" s="720"/>
      <c r="I403" s="720">
        <v>46155</v>
      </c>
      <c r="J403" s="706" t="s">
        <v>355</v>
      </c>
      <c r="K403" t="str">
        <f t="shared" si="22"/>
        <v>Switch</v>
      </c>
      <c r="M403" s="419">
        <f t="shared" si="21"/>
        <v>0</v>
      </c>
      <c r="N403" s="419">
        <f t="shared" si="23"/>
        <v>0</v>
      </c>
      <c r="O403" s="419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1">
        <f>All_Detail_v2[[#This Row],[Scheduled Date]]</f>
        <v>46155</v>
      </c>
      <c r="S403" s="421">
        <f>All_Detail_v2[[#This Row],[Install Date]]</f>
        <v>0</v>
      </c>
    </row>
    <row r="404" spans="1:19">
      <c r="A404">
        <v>400</v>
      </c>
      <c r="B404" s="704" t="s">
        <v>626</v>
      </c>
      <c r="C404" s="705" t="s">
        <v>627</v>
      </c>
      <c r="D404" s="706" t="s">
        <v>640</v>
      </c>
      <c r="E404" s="706" t="s">
        <v>400</v>
      </c>
      <c r="F404" s="706">
        <v>1</v>
      </c>
      <c r="G404" s="706"/>
      <c r="H404" s="720"/>
      <c r="I404" s="720">
        <v>46155</v>
      </c>
      <c r="J404" s="706" t="s">
        <v>355</v>
      </c>
      <c r="K404" t="str">
        <f t="shared" si="22"/>
        <v>Switch</v>
      </c>
      <c r="M404" s="419">
        <f t="shared" si="21"/>
        <v>0</v>
      </c>
      <c r="N404" s="419">
        <f t="shared" si="23"/>
        <v>0</v>
      </c>
      <c r="O404" s="419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1">
        <f>All_Detail_v2[[#This Row],[Scheduled Date]]</f>
        <v>46155</v>
      </c>
      <c r="S404" s="421">
        <f>All_Detail_v2[[#This Row],[Install Date]]</f>
        <v>0</v>
      </c>
    </row>
    <row r="405" spans="1:19">
      <c r="A405">
        <v>401</v>
      </c>
      <c r="B405" s="704" t="s">
        <v>626</v>
      </c>
      <c r="C405" s="705" t="s">
        <v>627</v>
      </c>
      <c r="D405" s="706" t="s">
        <v>641</v>
      </c>
      <c r="E405" s="706" t="s">
        <v>360</v>
      </c>
      <c r="F405" s="706">
        <v>1</v>
      </c>
      <c r="G405" s="706"/>
      <c r="H405" s="720"/>
      <c r="I405" s="720">
        <v>46155</v>
      </c>
      <c r="J405" s="706" t="s">
        <v>355</v>
      </c>
      <c r="K405" t="str">
        <f t="shared" si="22"/>
        <v>Switch</v>
      </c>
      <c r="M405" s="419">
        <f t="shared" si="21"/>
        <v>0</v>
      </c>
      <c r="N405" s="419">
        <f t="shared" si="23"/>
        <v>0</v>
      </c>
      <c r="O405" s="419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1">
        <f>All_Detail_v2[[#This Row],[Scheduled Date]]</f>
        <v>46155</v>
      </c>
      <c r="S405" s="421">
        <f>All_Detail_v2[[#This Row],[Install Date]]</f>
        <v>0</v>
      </c>
    </row>
    <row r="406" spans="1:19">
      <c r="A406">
        <v>402</v>
      </c>
      <c r="B406" s="704" t="s">
        <v>626</v>
      </c>
      <c r="C406" s="705" t="s">
        <v>627</v>
      </c>
      <c r="D406" s="706" t="s">
        <v>641</v>
      </c>
      <c r="E406" s="706" t="s">
        <v>365</v>
      </c>
      <c r="F406" s="706">
        <v>1</v>
      </c>
      <c r="G406" s="706"/>
      <c r="H406" s="720"/>
      <c r="I406" s="720">
        <v>46155</v>
      </c>
      <c r="J406" s="706" t="s">
        <v>355</v>
      </c>
      <c r="K406" t="str">
        <f t="shared" si="22"/>
        <v>Switch</v>
      </c>
      <c r="M406" s="419">
        <f t="shared" si="21"/>
        <v>0</v>
      </c>
      <c r="N406" s="419">
        <f t="shared" si="23"/>
        <v>0</v>
      </c>
      <c r="O406" s="419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1">
        <f>All_Detail_v2[[#This Row],[Scheduled Date]]</f>
        <v>46155</v>
      </c>
      <c r="S406" s="421">
        <f>All_Detail_v2[[#This Row],[Install Date]]</f>
        <v>0</v>
      </c>
    </row>
    <row r="407" spans="1:19">
      <c r="A407">
        <v>403</v>
      </c>
      <c r="B407" s="704" t="s">
        <v>626</v>
      </c>
      <c r="C407" s="705" t="s">
        <v>627</v>
      </c>
      <c r="D407" s="706" t="s">
        <v>641</v>
      </c>
      <c r="E407" s="706" t="s">
        <v>402</v>
      </c>
      <c r="F407" s="706">
        <v>1</v>
      </c>
      <c r="G407" s="706"/>
      <c r="H407" s="720"/>
      <c r="I407" s="720">
        <v>46155</v>
      </c>
      <c r="J407" s="706" t="s">
        <v>355</v>
      </c>
      <c r="K407" t="str">
        <f t="shared" si="22"/>
        <v>Switch</v>
      </c>
      <c r="M407" s="419">
        <f t="shared" si="21"/>
        <v>0</v>
      </c>
      <c r="N407" s="419">
        <f t="shared" si="23"/>
        <v>0</v>
      </c>
      <c r="O407" s="419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1">
        <f>All_Detail_v2[[#This Row],[Scheduled Date]]</f>
        <v>46155</v>
      </c>
      <c r="S407" s="421">
        <f>All_Detail_v2[[#This Row],[Install Date]]</f>
        <v>0</v>
      </c>
    </row>
    <row r="408" spans="1:19">
      <c r="A408">
        <v>404</v>
      </c>
      <c r="B408" s="704" t="s">
        <v>626</v>
      </c>
      <c r="C408" s="705" t="s">
        <v>627</v>
      </c>
      <c r="D408" s="706" t="s">
        <v>641</v>
      </c>
      <c r="E408" s="706" t="s">
        <v>400</v>
      </c>
      <c r="F408" s="706">
        <v>1</v>
      </c>
      <c r="G408" s="706"/>
      <c r="H408" s="720"/>
      <c r="I408" s="720">
        <v>46155</v>
      </c>
      <c r="J408" s="706" t="s">
        <v>355</v>
      </c>
      <c r="K408" t="str">
        <f t="shared" si="22"/>
        <v>Switch</v>
      </c>
      <c r="M408" s="419">
        <f t="shared" si="21"/>
        <v>0</v>
      </c>
      <c r="N408" s="419">
        <f t="shared" si="23"/>
        <v>0</v>
      </c>
      <c r="O408" s="419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1">
        <f>All_Detail_v2[[#This Row],[Scheduled Date]]</f>
        <v>46155</v>
      </c>
      <c r="S408" s="421">
        <f>All_Detail_v2[[#This Row],[Install Date]]</f>
        <v>0</v>
      </c>
    </row>
    <row r="409" spans="1:19">
      <c r="A409">
        <v>405</v>
      </c>
      <c r="B409" s="704" t="s">
        <v>626</v>
      </c>
      <c r="C409" s="705" t="s">
        <v>627</v>
      </c>
      <c r="D409" s="706" t="s">
        <v>642</v>
      </c>
      <c r="E409" s="706" t="s">
        <v>360</v>
      </c>
      <c r="F409" s="706">
        <v>1</v>
      </c>
      <c r="G409" s="706"/>
      <c r="H409" s="720"/>
      <c r="I409" s="720">
        <v>46155</v>
      </c>
      <c r="J409" s="706" t="s">
        <v>355</v>
      </c>
      <c r="K409" t="str">
        <f t="shared" si="22"/>
        <v>Switch</v>
      </c>
      <c r="M409" s="419">
        <f t="shared" si="21"/>
        <v>0</v>
      </c>
      <c r="N409" s="419">
        <f t="shared" si="23"/>
        <v>0</v>
      </c>
      <c r="O409" s="419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1">
        <f>All_Detail_v2[[#This Row],[Scheduled Date]]</f>
        <v>46155</v>
      </c>
      <c r="S409" s="421">
        <f>All_Detail_v2[[#This Row],[Install Date]]</f>
        <v>0</v>
      </c>
    </row>
    <row r="410" spans="1:19">
      <c r="A410">
        <v>406</v>
      </c>
      <c r="B410" s="704" t="s">
        <v>626</v>
      </c>
      <c r="C410" s="705" t="s">
        <v>627</v>
      </c>
      <c r="D410" s="706" t="s">
        <v>642</v>
      </c>
      <c r="E410" s="706" t="s">
        <v>365</v>
      </c>
      <c r="F410" s="706">
        <v>1</v>
      </c>
      <c r="G410" s="706"/>
      <c r="H410" s="720"/>
      <c r="I410" s="720">
        <v>46155</v>
      </c>
      <c r="J410" s="706" t="s">
        <v>355</v>
      </c>
      <c r="K410" t="str">
        <f t="shared" si="22"/>
        <v>Switch</v>
      </c>
      <c r="M410" s="419">
        <f t="shared" si="21"/>
        <v>0</v>
      </c>
      <c r="N410" s="419">
        <f t="shared" si="23"/>
        <v>0</v>
      </c>
      <c r="O410" s="419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1">
        <f>All_Detail_v2[[#This Row],[Scheduled Date]]</f>
        <v>46155</v>
      </c>
      <c r="S410" s="421">
        <f>All_Detail_v2[[#This Row],[Install Date]]</f>
        <v>0</v>
      </c>
    </row>
    <row r="411" spans="1:19">
      <c r="A411">
        <v>407</v>
      </c>
      <c r="B411" s="704" t="s">
        <v>626</v>
      </c>
      <c r="C411" s="705" t="s">
        <v>627</v>
      </c>
      <c r="D411" s="706" t="s">
        <v>642</v>
      </c>
      <c r="E411" s="706" t="s">
        <v>402</v>
      </c>
      <c r="F411" s="706">
        <v>1</v>
      </c>
      <c r="G411" s="706"/>
      <c r="H411" s="720"/>
      <c r="I411" s="720">
        <v>46155</v>
      </c>
      <c r="J411" s="706" t="s">
        <v>355</v>
      </c>
      <c r="K411" t="str">
        <f t="shared" si="22"/>
        <v>Switch</v>
      </c>
      <c r="M411" s="419">
        <f t="shared" si="21"/>
        <v>0</v>
      </c>
      <c r="N411" s="419">
        <f t="shared" si="23"/>
        <v>0</v>
      </c>
      <c r="O411" s="419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1">
        <f>All_Detail_v2[[#This Row],[Scheduled Date]]</f>
        <v>46155</v>
      </c>
      <c r="S411" s="421">
        <f>All_Detail_v2[[#This Row],[Install Date]]</f>
        <v>0</v>
      </c>
    </row>
    <row r="412" spans="1:19">
      <c r="A412">
        <v>408</v>
      </c>
      <c r="B412" s="704" t="s">
        <v>626</v>
      </c>
      <c r="C412" s="705" t="s">
        <v>627</v>
      </c>
      <c r="D412" s="706" t="s">
        <v>643</v>
      </c>
      <c r="E412" s="706" t="s">
        <v>360</v>
      </c>
      <c r="F412" s="706">
        <v>1</v>
      </c>
      <c r="G412" s="706"/>
      <c r="H412" s="720"/>
      <c r="I412" s="720">
        <v>46156</v>
      </c>
      <c r="J412" s="706" t="s">
        <v>355</v>
      </c>
      <c r="K412" t="str">
        <f t="shared" si="22"/>
        <v>Switch</v>
      </c>
      <c r="M412" s="419">
        <f t="shared" si="21"/>
        <v>0</v>
      </c>
      <c r="N412" s="419">
        <f t="shared" si="23"/>
        <v>0</v>
      </c>
      <c r="O412" s="419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1">
        <f>All_Detail_v2[[#This Row],[Scheduled Date]]</f>
        <v>46156</v>
      </c>
      <c r="S412" s="421">
        <f>All_Detail_v2[[#This Row],[Install Date]]</f>
        <v>0</v>
      </c>
    </row>
    <row r="413" spans="1:19">
      <c r="A413">
        <v>409</v>
      </c>
      <c r="B413" s="704" t="s">
        <v>626</v>
      </c>
      <c r="C413" s="705" t="s">
        <v>627</v>
      </c>
      <c r="D413" s="706" t="s">
        <v>643</v>
      </c>
      <c r="E413" s="706" t="s">
        <v>365</v>
      </c>
      <c r="F413" s="706">
        <v>1</v>
      </c>
      <c r="G413" s="706"/>
      <c r="H413" s="720"/>
      <c r="I413" s="720">
        <v>46156</v>
      </c>
      <c r="J413" s="706" t="s">
        <v>355</v>
      </c>
      <c r="K413" t="str">
        <f t="shared" si="22"/>
        <v>Switch</v>
      </c>
      <c r="M413" s="419">
        <f t="shared" si="21"/>
        <v>0</v>
      </c>
      <c r="N413" s="419">
        <f t="shared" si="23"/>
        <v>0</v>
      </c>
      <c r="O413" s="419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1">
        <f>All_Detail_v2[[#This Row],[Scheduled Date]]</f>
        <v>46156</v>
      </c>
      <c r="S413" s="421">
        <f>All_Detail_v2[[#This Row],[Install Date]]</f>
        <v>0</v>
      </c>
    </row>
    <row r="414" spans="1:19">
      <c r="A414">
        <v>410</v>
      </c>
      <c r="B414" s="704" t="s">
        <v>626</v>
      </c>
      <c r="C414" s="705" t="s">
        <v>627</v>
      </c>
      <c r="D414" s="706" t="s">
        <v>644</v>
      </c>
      <c r="E414" s="706" t="s">
        <v>360</v>
      </c>
      <c r="F414" s="706">
        <v>1</v>
      </c>
      <c r="G414" s="706"/>
      <c r="H414" s="720"/>
      <c r="I414" s="720">
        <v>46156</v>
      </c>
      <c r="J414" s="706" t="s">
        <v>355</v>
      </c>
      <c r="K414" t="str">
        <f t="shared" si="22"/>
        <v>Switch</v>
      </c>
      <c r="M414" s="419">
        <f t="shared" si="21"/>
        <v>0</v>
      </c>
      <c r="N414" s="419">
        <f t="shared" si="23"/>
        <v>0</v>
      </c>
      <c r="O414" s="419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1">
        <f>All_Detail_v2[[#This Row],[Scheduled Date]]</f>
        <v>46156</v>
      </c>
      <c r="S414" s="421">
        <f>All_Detail_v2[[#This Row],[Install Date]]</f>
        <v>0</v>
      </c>
    </row>
    <row r="415" spans="1:19">
      <c r="A415">
        <v>411</v>
      </c>
      <c r="B415" s="704" t="s">
        <v>626</v>
      </c>
      <c r="C415" s="705" t="s">
        <v>627</v>
      </c>
      <c r="D415" s="706" t="s">
        <v>644</v>
      </c>
      <c r="E415" s="706" t="s">
        <v>365</v>
      </c>
      <c r="F415" s="706">
        <v>1</v>
      </c>
      <c r="G415" s="706"/>
      <c r="H415" s="720"/>
      <c r="I415" s="720">
        <v>46156</v>
      </c>
      <c r="J415" s="706" t="s">
        <v>355</v>
      </c>
      <c r="K415" t="str">
        <f t="shared" si="22"/>
        <v>Switch</v>
      </c>
      <c r="M415" s="419">
        <f t="shared" si="21"/>
        <v>0</v>
      </c>
      <c r="N415" s="419">
        <f t="shared" si="23"/>
        <v>0</v>
      </c>
      <c r="O415" s="419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1">
        <f>All_Detail_v2[[#This Row],[Scheduled Date]]</f>
        <v>46156</v>
      </c>
      <c r="S415" s="421">
        <f>All_Detail_v2[[#This Row],[Install Date]]</f>
        <v>0</v>
      </c>
    </row>
    <row r="416" spans="1:19">
      <c r="A416">
        <v>412</v>
      </c>
      <c r="B416" s="704" t="s">
        <v>626</v>
      </c>
      <c r="C416" s="705" t="s">
        <v>627</v>
      </c>
      <c r="D416" s="706" t="s">
        <v>644</v>
      </c>
      <c r="E416" s="706" t="s">
        <v>402</v>
      </c>
      <c r="F416" s="706">
        <v>1</v>
      </c>
      <c r="G416" s="706"/>
      <c r="H416" s="720"/>
      <c r="I416" s="720">
        <v>46156</v>
      </c>
      <c r="J416" s="706" t="s">
        <v>355</v>
      </c>
      <c r="K416" t="str">
        <f t="shared" si="22"/>
        <v>Switch</v>
      </c>
      <c r="M416" s="419">
        <f t="shared" si="21"/>
        <v>0</v>
      </c>
      <c r="N416" s="419">
        <f t="shared" si="23"/>
        <v>0</v>
      </c>
      <c r="O416" s="419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1">
        <f>All_Detail_v2[[#This Row],[Scheduled Date]]</f>
        <v>46156</v>
      </c>
      <c r="S416" s="421">
        <f>All_Detail_v2[[#This Row],[Install Date]]</f>
        <v>0</v>
      </c>
    </row>
    <row r="417" spans="1:19">
      <c r="A417">
        <v>413</v>
      </c>
      <c r="B417" s="704" t="s">
        <v>626</v>
      </c>
      <c r="C417" s="705" t="s">
        <v>627</v>
      </c>
      <c r="D417" s="706" t="s">
        <v>645</v>
      </c>
      <c r="E417" s="706" t="s">
        <v>360</v>
      </c>
      <c r="F417" s="706">
        <v>4</v>
      </c>
      <c r="G417" s="706"/>
      <c r="H417" s="720"/>
      <c r="I417" s="720">
        <v>46156</v>
      </c>
      <c r="J417" s="706" t="s">
        <v>355</v>
      </c>
      <c r="K417" t="str">
        <f t="shared" si="22"/>
        <v>Switch</v>
      </c>
      <c r="M417" s="419">
        <f t="shared" si="21"/>
        <v>0</v>
      </c>
      <c r="N417" s="419">
        <f t="shared" si="23"/>
        <v>0</v>
      </c>
      <c r="O417" s="419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1">
        <f>All_Detail_v2[[#This Row],[Scheduled Date]]</f>
        <v>46156</v>
      </c>
      <c r="S417" s="421">
        <f>All_Detail_v2[[#This Row],[Install Date]]</f>
        <v>0</v>
      </c>
    </row>
    <row r="418" spans="1:19">
      <c r="A418">
        <v>414</v>
      </c>
      <c r="B418" s="704" t="s">
        <v>626</v>
      </c>
      <c r="C418" s="705" t="s">
        <v>627</v>
      </c>
      <c r="D418" s="706" t="s">
        <v>645</v>
      </c>
      <c r="E418" s="706" t="s">
        <v>365</v>
      </c>
      <c r="F418" s="706">
        <v>3</v>
      </c>
      <c r="G418" s="706"/>
      <c r="H418" s="720"/>
      <c r="I418" s="720">
        <v>46156</v>
      </c>
      <c r="J418" s="706" t="s">
        <v>355</v>
      </c>
      <c r="K418" t="str">
        <f t="shared" si="22"/>
        <v>Switch</v>
      </c>
      <c r="M418" s="419">
        <f t="shared" si="21"/>
        <v>0</v>
      </c>
      <c r="N418" s="419">
        <f t="shared" si="23"/>
        <v>0</v>
      </c>
      <c r="O418" s="419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1">
        <f>All_Detail_v2[[#This Row],[Scheduled Date]]</f>
        <v>46156</v>
      </c>
      <c r="S418" s="421">
        <f>All_Detail_v2[[#This Row],[Install Date]]</f>
        <v>0</v>
      </c>
    </row>
    <row r="419" spans="1:19">
      <c r="A419">
        <v>415</v>
      </c>
      <c r="B419" s="704" t="s">
        <v>626</v>
      </c>
      <c r="C419" s="705" t="s">
        <v>627</v>
      </c>
      <c r="D419" s="706" t="s">
        <v>645</v>
      </c>
      <c r="E419" s="706" t="s">
        <v>402</v>
      </c>
      <c r="F419" s="706">
        <v>2</v>
      </c>
      <c r="G419" s="706"/>
      <c r="H419" s="720"/>
      <c r="I419" s="720">
        <v>46156</v>
      </c>
      <c r="J419" s="706" t="s">
        <v>355</v>
      </c>
      <c r="K419" t="str">
        <f t="shared" si="22"/>
        <v>Switch</v>
      </c>
      <c r="M419" s="419">
        <f t="shared" si="21"/>
        <v>0</v>
      </c>
      <c r="N419" s="419">
        <f t="shared" si="23"/>
        <v>0</v>
      </c>
      <c r="O419" s="419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1">
        <f>All_Detail_v2[[#This Row],[Scheduled Date]]</f>
        <v>46156</v>
      </c>
      <c r="S419" s="421">
        <f>All_Detail_v2[[#This Row],[Install Date]]</f>
        <v>0</v>
      </c>
    </row>
    <row r="420" spans="1:19">
      <c r="A420">
        <v>416</v>
      </c>
      <c r="B420" s="704" t="s">
        <v>626</v>
      </c>
      <c r="C420" s="705" t="s">
        <v>627</v>
      </c>
      <c r="D420" s="706" t="s">
        <v>646</v>
      </c>
      <c r="E420" s="706" t="s">
        <v>360</v>
      </c>
      <c r="F420" s="706">
        <v>3</v>
      </c>
      <c r="G420" s="706"/>
      <c r="H420" s="720"/>
      <c r="I420" s="720">
        <v>46157</v>
      </c>
      <c r="J420" s="706" t="s">
        <v>355</v>
      </c>
      <c r="K420" t="str">
        <f t="shared" si="22"/>
        <v>Switch</v>
      </c>
      <c r="M420" s="419">
        <f t="shared" si="21"/>
        <v>0</v>
      </c>
      <c r="N420" s="419">
        <f t="shared" si="23"/>
        <v>0</v>
      </c>
      <c r="O420" s="419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1">
        <f>All_Detail_v2[[#This Row],[Scheduled Date]]</f>
        <v>46157</v>
      </c>
      <c r="S420" s="421">
        <f>All_Detail_v2[[#This Row],[Install Date]]</f>
        <v>0</v>
      </c>
    </row>
    <row r="421" spans="1:19">
      <c r="A421">
        <v>417</v>
      </c>
      <c r="B421" s="704" t="s">
        <v>626</v>
      </c>
      <c r="C421" s="705" t="s">
        <v>627</v>
      </c>
      <c r="D421" s="706" t="s">
        <v>646</v>
      </c>
      <c r="E421" s="706" t="s">
        <v>365</v>
      </c>
      <c r="F421" s="706">
        <v>1</v>
      </c>
      <c r="G421" s="706"/>
      <c r="H421" s="720"/>
      <c r="I421" s="720">
        <v>46157</v>
      </c>
      <c r="J421" s="706" t="s">
        <v>355</v>
      </c>
      <c r="K421" t="str">
        <f t="shared" si="22"/>
        <v>Switch</v>
      </c>
      <c r="M421" s="419">
        <f t="shared" si="21"/>
        <v>0</v>
      </c>
      <c r="N421" s="419">
        <f t="shared" si="23"/>
        <v>0</v>
      </c>
      <c r="O421" s="419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1">
        <f>All_Detail_v2[[#This Row],[Scheduled Date]]</f>
        <v>46157</v>
      </c>
      <c r="S421" s="421">
        <f>All_Detail_v2[[#This Row],[Install Date]]</f>
        <v>0</v>
      </c>
    </row>
    <row r="422" spans="1:19">
      <c r="A422">
        <v>418</v>
      </c>
      <c r="B422" s="704" t="s">
        <v>626</v>
      </c>
      <c r="C422" s="705" t="s">
        <v>627</v>
      </c>
      <c r="D422" s="706" t="s">
        <v>646</v>
      </c>
      <c r="E422" s="706" t="s">
        <v>402</v>
      </c>
      <c r="F422" s="706">
        <v>1</v>
      </c>
      <c r="G422" s="706"/>
      <c r="H422" s="720"/>
      <c r="I422" s="720">
        <v>46157</v>
      </c>
      <c r="J422" s="706" t="s">
        <v>355</v>
      </c>
      <c r="K422" t="str">
        <f t="shared" si="22"/>
        <v>Switch</v>
      </c>
      <c r="M422" s="419">
        <f t="shared" si="21"/>
        <v>0</v>
      </c>
      <c r="N422" s="419">
        <f t="shared" si="23"/>
        <v>0</v>
      </c>
      <c r="O422" s="419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1">
        <f>All_Detail_v2[[#This Row],[Scheduled Date]]</f>
        <v>46157</v>
      </c>
      <c r="S422" s="421">
        <f>All_Detail_v2[[#This Row],[Install Date]]</f>
        <v>0</v>
      </c>
    </row>
    <row r="423" spans="1:19">
      <c r="A423">
        <v>419</v>
      </c>
      <c r="B423" s="704" t="s">
        <v>626</v>
      </c>
      <c r="C423" s="705" t="s">
        <v>627</v>
      </c>
      <c r="D423" s="706" t="s">
        <v>646</v>
      </c>
      <c r="E423" s="706" t="s">
        <v>400</v>
      </c>
      <c r="F423" s="706">
        <v>1</v>
      </c>
      <c r="G423" s="706"/>
      <c r="H423" s="720"/>
      <c r="I423" s="720">
        <v>46157</v>
      </c>
      <c r="J423" s="706" t="s">
        <v>355</v>
      </c>
      <c r="K423" t="str">
        <f t="shared" si="22"/>
        <v>Switch</v>
      </c>
      <c r="M423" s="419">
        <f t="shared" si="21"/>
        <v>0</v>
      </c>
      <c r="N423" s="419">
        <f t="shared" si="23"/>
        <v>0</v>
      </c>
      <c r="O423" s="419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1">
        <f>All_Detail_v2[[#This Row],[Scheduled Date]]</f>
        <v>46157</v>
      </c>
      <c r="S423" s="421">
        <f>All_Detail_v2[[#This Row],[Install Date]]</f>
        <v>0</v>
      </c>
    </row>
    <row r="424" spans="1:19">
      <c r="A424">
        <v>420</v>
      </c>
      <c r="B424" s="704" t="s">
        <v>626</v>
      </c>
      <c r="C424" s="705" t="s">
        <v>627</v>
      </c>
      <c r="D424" s="706" t="s">
        <v>647</v>
      </c>
      <c r="E424" s="706" t="s">
        <v>360</v>
      </c>
      <c r="F424" s="706">
        <v>3</v>
      </c>
      <c r="G424" s="706"/>
      <c r="H424" s="720"/>
      <c r="I424" s="720">
        <v>46157</v>
      </c>
      <c r="J424" s="706" t="s">
        <v>355</v>
      </c>
      <c r="K424" t="str">
        <f t="shared" si="22"/>
        <v>Switch</v>
      </c>
      <c r="M424" s="419">
        <f t="shared" si="21"/>
        <v>0</v>
      </c>
      <c r="N424" s="419">
        <f t="shared" si="23"/>
        <v>0</v>
      </c>
      <c r="O424" s="419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1">
        <f>All_Detail_v2[[#This Row],[Scheduled Date]]</f>
        <v>46157</v>
      </c>
      <c r="S424" s="421">
        <f>All_Detail_v2[[#This Row],[Install Date]]</f>
        <v>0</v>
      </c>
    </row>
    <row r="425" spans="1:19">
      <c r="A425">
        <v>421</v>
      </c>
      <c r="B425" s="704" t="s">
        <v>626</v>
      </c>
      <c r="C425" s="705" t="s">
        <v>627</v>
      </c>
      <c r="D425" s="706" t="s">
        <v>647</v>
      </c>
      <c r="E425" s="706" t="s">
        <v>365</v>
      </c>
      <c r="F425" s="706">
        <v>2</v>
      </c>
      <c r="G425" s="706"/>
      <c r="H425" s="720"/>
      <c r="I425" s="720">
        <v>46157</v>
      </c>
      <c r="J425" s="706" t="s">
        <v>355</v>
      </c>
      <c r="K425" t="str">
        <f t="shared" si="22"/>
        <v>Switch</v>
      </c>
      <c r="M425" s="419">
        <f t="shared" si="21"/>
        <v>0</v>
      </c>
      <c r="N425" s="419">
        <f t="shared" si="23"/>
        <v>0</v>
      </c>
      <c r="O425" s="419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1">
        <f>All_Detail_v2[[#This Row],[Scheduled Date]]</f>
        <v>46157</v>
      </c>
      <c r="S425" s="421">
        <f>All_Detail_v2[[#This Row],[Install Date]]</f>
        <v>0</v>
      </c>
    </row>
    <row r="426" spans="1:19">
      <c r="A426">
        <v>422</v>
      </c>
      <c r="B426" s="704" t="s">
        <v>626</v>
      </c>
      <c r="C426" s="705" t="s">
        <v>627</v>
      </c>
      <c r="D426" s="706" t="s">
        <v>647</v>
      </c>
      <c r="E426" s="706" t="s">
        <v>402</v>
      </c>
      <c r="F426" s="706">
        <v>1</v>
      </c>
      <c r="G426" s="706"/>
      <c r="H426" s="720"/>
      <c r="I426" s="720">
        <v>46157</v>
      </c>
      <c r="J426" s="706" t="s">
        <v>355</v>
      </c>
      <c r="K426" t="str">
        <f t="shared" si="22"/>
        <v>Switch</v>
      </c>
      <c r="M426" s="419">
        <f t="shared" si="21"/>
        <v>0</v>
      </c>
      <c r="N426" s="419">
        <f t="shared" si="23"/>
        <v>0</v>
      </c>
      <c r="O426" s="419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1">
        <f>All_Detail_v2[[#This Row],[Scheduled Date]]</f>
        <v>46157</v>
      </c>
      <c r="S426" s="421">
        <f>All_Detail_v2[[#This Row],[Install Date]]</f>
        <v>0</v>
      </c>
    </row>
    <row r="427" spans="1:19">
      <c r="A427">
        <v>423</v>
      </c>
      <c r="B427" s="704" t="s">
        <v>626</v>
      </c>
      <c r="C427" s="705" t="s">
        <v>627</v>
      </c>
      <c r="D427" s="706" t="s">
        <v>648</v>
      </c>
      <c r="E427" s="706" t="s">
        <v>360</v>
      </c>
      <c r="F427" s="706">
        <v>2</v>
      </c>
      <c r="G427" s="706"/>
      <c r="H427" s="720"/>
      <c r="I427" s="720">
        <v>46160</v>
      </c>
      <c r="J427" s="706" t="s">
        <v>355</v>
      </c>
      <c r="K427" t="str">
        <f t="shared" si="22"/>
        <v>Switch</v>
      </c>
      <c r="M427" s="419">
        <f t="shared" si="21"/>
        <v>0</v>
      </c>
      <c r="N427" s="419">
        <f t="shared" si="23"/>
        <v>0</v>
      </c>
      <c r="O427" s="419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1">
        <f>All_Detail_v2[[#This Row],[Scheduled Date]]</f>
        <v>46160</v>
      </c>
      <c r="S427" s="421">
        <f>All_Detail_v2[[#This Row],[Install Date]]</f>
        <v>0</v>
      </c>
    </row>
    <row r="428" spans="1:19">
      <c r="A428">
        <v>424</v>
      </c>
      <c r="B428" s="704" t="s">
        <v>626</v>
      </c>
      <c r="C428" s="705" t="s">
        <v>627</v>
      </c>
      <c r="D428" s="706" t="s">
        <v>648</v>
      </c>
      <c r="E428" s="706" t="s">
        <v>365</v>
      </c>
      <c r="F428" s="706">
        <v>1</v>
      </c>
      <c r="G428" s="706"/>
      <c r="H428" s="720"/>
      <c r="I428" s="720">
        <v>46160</v>
      </c>
      <c r="J428" s="706" t="s">
        <v>355</v>
      </c>
      <c r="K428" t="str">
        <f t="shared" si="22"/>
        <v>Switch</v>
      </c>
      <c r="M428" s="419">
        <f t="shared" si="21"/>
        <v>0</v>
      </c>
      <c r="N428" s="419">
        <f t="shared" si="23"/>
        <v>0</v>
      </c>
      <c r="O428" s="419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1">
        <f>All_Detail_v2[[#This Row],[Scheduled Date]]</f>
        <v>46160</v>
      </c>
      <c r="S428" s="421">
        <f>All_Detail_v2[[#This Row],[Install Date]]</f>
        <v>0</v>
      </c>
    </row>
    <row r="429" spans="1:19">
      <c r="A429">
        <v>425</v>
      </c>
      <c r="B429" s="704" t="s">
        <v>626</v>
      </c>
      <c r="C429" s="705" t="s">
        <v>627</v>
      </c>
      <c r="D429" s="706" t="s">
        <v>648</v>
      </c>
      <c r="E429" s="706" t="s">
        <v>402</v>
      </c>
      <c r="F429" s="706">
        <v>1</v>
      </c>
      <c r="G429" s="706"/>
      <c r="H429" s="720"/>
      <c r="I429" s="720">
        <v>46160</v>
      </c>
      <c r="J429" s="706" t="s">
        <v>355</v>
      </c>
      <c r="K429" t="str">
        <f t="shared" si="22"/>
        <v>Switch</v>
      </c>
      <c r="M429" s="419">
        <f t="shared" si="21"/>
        <v>0</v>
      </c>
      <c r="N429" s="419">
        <f t="shared" si="23"/>
        <v>0</v>
      </c>
      <c r="O429" s="419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1">
        <f>All_Detail_v2[[#This Row],[Scheduled Date]]</f>
        <v>46160</v>
      </c>
      <c r="S429" s="421">
        <f>All_Detail_v2[[#This Row],[Install Date]]</f>
        <v>0</v>
      </c>
    </row>
    <row r="430" spans="1:19">
      <c r="A430">
        <v>426</v>
      </c>
      <c r="B430" s="704" t="s">
        <v>626</v>
      </c>
      <c r="C430" s="705" t="s">
        <v>627</v>
      </c>
      <c r="D430" s="706" t="s">
        <v>649</v>
      </c>
      <c r="E430" s="706" t="s">
        <v>360</v>
      </c>
      <c r="F430" s="706">
        <v>1</v>
      </c>
      <c r="G430" s="706"/>
      <c r="H430" s="720"/>
      <c r="I430" s="720">
        <v>46160</v>
      </c>
      <c r="J430" s="706" t="s">
        <v>355</v>
      </c>
      <c r="K430" t="str">
        <f t="shared" si="22"/>
        <v>Switch</v>
      </c>
      <c r="M430" s="419">
        <f t="shared" si="21"/>
        <v>0</v>
      </c>
      <c r="N430" s="419">
        <f t="shared" si="23"/>
        <v>0</v>
      </c>
      <c r="O430" s="419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1">
        <f>All_Detail_v2[[#This Row],[Scheduled Date]]</f>
        <v>46160</v>
      </c>
      <c r="S430" s="421">
        <f>All_Detail_v2[[#This Row],[Install Date]]</f>
        <v>0</v>
      </c>
    </row>
    <row r="431" spans="1:19">
      <c r="A431">
        <v>427</v>
      </c>
      <c r="B431" s="704" t="s">
        <v>626</v>
      </c>
      <c r="C431" s="705" t="s">
        <v>627</v>
      </c>
      <c r="D431" s="706" t="s">
        <v>649</v>
      </c>
      <c r="E431" s="706" t="s">
        <v>365</v>
      </c>
      <c r="F431" s="706">
        <v>1</v>
      </c>
      <c r="G431" s="706"/>
      <c r="H431" s="720"/>
      <c r="I431" s="720">
        <v>46160</v>
      </c>
      <c r="J431" s="706" t="s">
        <v>355</v>
      </c>
      <c r="K431" t="str">
        <f t="shared" si="22"/>
        <v>Switch</v>
      </c>
      <c r="M431" s="419">
        <f t="shared" si="21"/>
        <v>0</v>
      </c>
      <c r="N431" s="419">
        <f t="shared" si="23"/>
        <v>0</v>
      </c>
      <c r="O431" s="419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1">
        <f>All_Detail_v2[[#This Row],[Scheduled Date]]</f>
        <v>46160</v>
      </c>
      <c r="S431" s="421">
        <f>All_Detail_v2[[#This Row],[Install Date]]</f>
        <v>0</v>
      </c>
    </row>
    <row r="432" spans="1:19">
      <c r="A432">
        <v>428</v>
      </c>
      <c r="B432" s="704" t="s">
        <v>626</v>
      </c>
      <c r="C432" s="705" t="s">
        <v>627</v>
      </c>
      <c r="D432" s="706" t="s">
        <v>649</v>
      </c>
      <c r="E432" s="706" t="s">
        <v>400</v>
      </c>
      <c r="F432" s="706">
        <v>1</v>
      </c>
      <c r="G432" s="706"/>
      <c r="H432" s="720"/>
      <c r="I432" s="720">
        <v>46160</v>
      </c>
      <c r="J432" s="706" t="s">
        <v>355</v>
      </c>
      <c r="K432" t="str">
        <f t="shared" si="22"/>
        <v>Switch</v>
      </c>
      <c r="M432" s="419">
        <f t="shared" si="21"/>
        <v>0</v>
      </c>
      <c r="N432" s="419">
        <f t="shared" si="23"/>
        <v>0</v>
      </c>
      <c r="O432" s="419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1">
        <f>All_Detail_v2[[#This Row],[Scheduled Date]]</f>
        <v>46160</v>
      </c>
      <c r="S432" s="421">
        <f>All_Detail_v2[[#This Row],[Install Date]]</f>
        <v>0</v>
      </c>
    </row>
    <row r="433" spans="1:19">
      <c r="A433">
        <v>429</v>
      </c>
      <c r="B433" s="704" t="s">
        <v>626</v>
      </c>
      <c r="C433" s="705" t="s">
        <v>627</v>
      </c>
      <c r="D433" s="706" t="s">
        <v>650</v>
      </c>
      <c r="E433" s="706" t="s">
        <v>360</v>
      </c>
      <c r="F433" s="706">
        <v>1</v>
      </c>
      <c r="G433" s="706"/>
      <c r="H433" s="720"/>
      <c r="I433" s="720">
        <v>46160</v>
      </c>
      <c r="J433" s="706" t="s">
        <v>355</v>
      </c>
      <c r="K433" t="str">
        <f t="shared" si="22"/>
        <v>Switch</v>
      </c>
      <c r="M433" s="419">
        <f t="shared" si="21"/>
        <v>0</v>
      </c>
      <c r="N433" s="419">
        <f t="shared" si="23"/>
        <v>0</v>
      </c>
      <c r="O433" s="419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1">
        <f>All_Detail_v2[[#This Row],[Scheduled Date]]</f>
        <v>46160</v>
      </c>
      <c r="S433" s="421">
        <f>All_Detail_v2[[#This Row],[Install Date]]</f>
        <v>0</v>
      </c>
    </row>
    <row r="434" spans="1:19">
      <c r="A434">
        <v>430</v>
      </c>
      <c r="B434" s="704" t="s">
        <v>626</v>
      </c>
      <c r="C434" s="705" t="s">
        <v>627</v>
      </c>
      <c r="D434" s="706" t="s">
        <v>650</v>
      </c>
      <c r="E434" s="706" t="s">
        <v>365</v>
      </c>
      <c r="F434" s="706">
        <v>1</v>
      </c>
      <c r="G434" s="706"/>
      <c r="H434" s="720"/>
      <c r="I434" s="720">
        <v>46160</v>
      </c>
      <c r="J434" s="706" t="s">
        <v>355</v>
      </c>
      <c r="K434" t="str">
        <f t="shared" si="22"/>
        <v>Switch</v>
      </c>
      <c r="M434" s="419">
        <f t="shared" si="21"/>
        <v>0</v>
      </c>
      <c r="N434" s="419">
        <f t="shared" si="23"/>
        <v>0</v>
      </c>
      <c r="O434" s="419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1">
        <f>All_Detail_v2[[#This Row],[Scheduled Date]]</f>
        <v>46160</v>
      </c>
      <c r="S434" s="421">
        <f>All_Detail_v2[[#This Row],[Install Date]]</f>
        <v>0</v>
      </c>
    </row>
    <row r="435" spans="1:19">
      <c r="A435">
        <v>431</v>
      </c>
      <c r="B435" s="704" t="s">
        <v>626</v>
      </c>
      <c r="C435" s="705" t="s">
        <v>627</v>
      </c>
      <c r="D435" s="706" t="s">
        <v>651</v>
      </c>
      <c r="E435" s="706" t="s">
        <v>360</v>
      </c>
      <c r="F435" s="706">
        <v>1</v>
      </c>
      <c r="G435" s="706"/>
      <c r="H435" s="720"/>
      <c r="I435" s="720">
        <v>46161</v>
      </c>
      <c r="J435" s="706" t="s">
        <v>355</v>
      </c>
      <c r="K435" t="str">
        <f t="shared" si="22"/>
        <v>Switch</v>
      </c>
      <c r="M435" s="419">
        <f t="shared" si="21"/>
        <v>0</v>
      </c>
      <c r="N435" s="419">
        <f t="shared" si="23"/>
        <v>0</v>
      </c>
      <c r="O435" s="419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1">
        <f>All_Detail_v2[[#This Row],[Scheduled Date]]</f>
        <v>46161</v>
      </c>
      <c r="S435" s="421">
        <f>All_Detail_v2[[#This Row],[Install Date]]</f>
        <v>0</v>
      </c>
    </row>
    <row r="436" spans="1:19">
      <c r="A436">
        <v>432</v>
      </c>
      <c r="B436" s="704" t="s">
        <v>626</v>
      </c>
      <c r="C436" s="705" t="s">
        <v>627</v>
      </c>
      <c r="D436" s="706" t="s">
        <v>651</v>
      </c>
      <c r="E436" s="706" t="s">
        <v>365</v>
      </c>
      <c r="F436" s="706">
        <v>1</v>
      </c>
      <c r="G436" s="706"/>
      <c r="H436" s="720"/>
      <c r="I436" s="720">
        <v>46161</v>
      </c>
      <c r="J436" s="706" t="s">
        <v>355</v>
      </c>
      <c r="K436" t="str">
        <f t="shared" si="22"/>
        <v>Switch</v>
      </c>
      <c r="M436" s="419">
        <f t="shared" si="21"/>
        <v>0</v>
      </c>
      <c r="N436" s="419">
        <f t="shared" si="23"/>
        <v>0</v>
      </c>
      <c r="O436" s="419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1">
        <f>All_Detail_v2[[#This Row],[Scheduled Date]]</f>
        <v>46161</v>
      </c>
      <c r="S436" s="421">
        <f>All_Detail_v2[[#This Row],[Install Date]]</f>
        <v>0</v>
      </c>
    </row>
    <row r="437" spans="1:19">
      <c r="A437">
        <v>433</v>
      </c>
      <c r="B437" s="704" t="s">
        <v>626</v>
      </c>
      <c r="C437" s="705" t="s">
        <v>627</v>
      </c>
      <c r="D437" s="706" t="s">
        <v>652</v>
      </c>
      <c r="E437" s="706" t="s">
        <v>360</v>
      </c>
      <c r="F437" s="706">
        <v>1</v>
      </c>
      <c r="G437" s="706"/>
      <c r="H437" s="720"/>
      <c r="I437" s="720">
        <v>46161</v>
      </c>
      <c r="J437" s="706" t="s">
        <v>355</v>
      </c>
      <c r="K437" t="str">
        <f t="shared" si="22"/>
        <v>Switch</v>
      </c>
      <c r="M437" s="419">
        <f t="shared" si="21"/>
        <v>0</v>
      </c>
      <c r="N437" s="419">
        <f t="shared" si="23"/>
        <v>0</v>
      </c>
      <c r="O437" s="419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1">
        <f>All_Detail_v2[[#This Row],[Scheduled Date]]</f>
        <v>46161</v>
      </c>
      <c r="S437" s="421">
        <f>All_Detail_v2[[#This Row],[Install Date]]</f>
        <v>0</v>
      </c>
    </row>
    <row r="438" spans="1:19">
      <c r="A438">
        <v>434</v>
      </c>
      <c r="B438" s="704" t="s">
        <v>626</v>
      </c>
      <c r="C438" s="705" t="s">
        <v>627</v>
      </c>
      <c r="D438" s="706" t="s">
        <v>652</v>
      </c>
      <c r="E438" s="706" t="s">
        <v>365</v>
      </c>
      <c r="F438" s="706">
        <v>1</v>
      </c>
      <c r="G438" s="706"/>
      <c r="H438" s="720"/>
      <c r="I438" s="720">
        <v>46161</v>
      </c>
      <c r="J438" s="706" t="s">
        <v>355</v>
      </c>
      <c r="K438" t="str">
        <f t="shared" si="22"/>
        <v>Switch</v>
      </c>
      <c r="M438" s="419">
        <f t="shared" si="21"/>
        <v>0</v>
      </c>
      <c r="N438" s="419">
        <f t="shared" si="23"/>
        <v>0</v>
      </c>
      <c r="O438" s="419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1">
        <f>All_Detail_v2[[#This Row],[Scheduled Date]]</f>
        <v>46161</v>
      </c>
      <c r="S438" s="421">
        <f>All_Detail_v2[[#This Row],[Install Date]]</f>
        <v>0</v>
      </c>
    </row>
    <row r="439" spans="1:19">
      <c r="A439">
        <v>435</v>
      </c>
      <c r="B439" s="704" t="s">
        <v>626</v>
      </c>
      <c r="C439" s="705" t="s">
        <v>627</v>
      </c>
      <c r="D439" s="706" t="s">
        <v>653</v>
      </c>
      <c r="E439" s="706" t="s">
        <v>360</v>
      </c>
      <c r="F439" s="706">
        <v>1</v>
      </c>
      <c r="G439" s="706"/>
      <c r="H439" s="720"/>
      <c r="I439" s="720">
        <v>46161</v>
      </c>
      <c r="J439" s="706" t="s">
        <v>355</v>
      </c>
      <c r="K439" t="str">
        <f t="shared" si="22"/>
        <v>Switch</v>
      </c>
      <c r="M439" s="419">
        <f t="shared" si="21"/>
        <v>0</v>
      </c>
      <c r="N439" s="419">
        <f t="shared" si="23"/>
        <v>0</v>
      </c>
      <c r="O439" s="419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1">
        <f>All_Detail_v2[[#This Row],[Scheduled Date]]</f>
        <v>46161</v>
      </c>
      <c r="S439" s="421">
        <f>All_Detail_v2[[#This Row],[Install Date]]</f>
        <v>0</v>
      </c>
    </row>
    <row r="440" spans="1:19">
      <c r="A440">
        <v>436</v>
      </c>
      <c r="B440" s="704" t="s">
        <v>626</v>
      </c>
      <c r="C440" s="705" t="s">
        <v>627</v>
      </c>
      <c r="D440" s="706" t="s">
        <v>653</v>
      </c>
      <c r="E440" s="706" t="s">
        <v>365</v>
      </c>
      <c r="F440" s="706">
        <v>1</v>
      </c>
      <c r="G440" s="706"/>
      <c r="H440" s="720"/>
      <c r="I440" s="720">
        <v>46161</v>
      </c>
      <c r="J440" s="706" t="s">
        <v>355</v>
      </c>
      <c r="K440" t="str">
        <f t="shared" si="22"/>
        <v>Switch</v>
      </c>
      <c r="M440" s="419">
        <f t="shared" si="21"/>
        <v>0</v>
      </c>
      <c r="N440" s="419">
        <f t="shared" si="23"/>
        <v>0</v>
      </c>
      <c r="O440" s="419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1">
        <f>All_Detail_v2[[#This Row],[Scheduled Date]]</f>
        <v>46161</v>
      </c>
      <c r="S440" s="421">
        <f>All_Detail_v2[[#This Row],[Install Date]]</f>
        <v>0</v>
      </c>
    </row>
    <row r="441" spans="1:19">
      <c r="A441">
        <v>437</v>
      </c>
      <c r="B441" s="704" t="s">
        <v>626</v>
      </c>
      <c r="C441" s="705" t="s">
        <v>627</v>
      </c>
      <c r="D441" s="706" t="s">
        <v>654</v>
      </c>
      <c r="E441" s="706" t="s">
        <v>360</v>
      </c>
      <c r="F441" s="706">
        <v>1</v>
      </c>
      <c r="G441" s="706"/>
      <c r="H441" s="720"/>
      <c r="I441" s="720">
        <v>46161</v>
      </c>
      <c r="J441" s="706" t="s">
        <v>355</v>
      </c>
      <c r="K441" t="str">
        <f t="shared" si="22"/>
        <v>Switch</v>
      </c>
      <c r="M441" s="419">
        <f t="shared" si="21"/>
        <v>0</v>
      </c>
      <c r="N441" s="419">
        <f t="shared" si="23"/>
        <v>0</v>
      </c>
      <c r="O441" s="419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1">
        <f>All_Detail_v2[[#This Row],[Scheduled Date]]</f>
        <v>46161</v>
      </c>
      <c r="S441" s="421">
        <f>All_Detail_v2[[#This Row],[Install Date]]</f>
        <v>0</v>
      </c>
    </row>
    <row r="442" spans="1:19">
      <c r="A442">
        <v>438</v>
      </c>
      <c r="B442" s="704" t="s">
        <v>626</v>
      </c>
      <c r="C442" s="705" t="s">
        <v>627</v>
      </c>
      <c r="D442" s="706" t="s">
        <v>654</v>
      </c>
      <c r="E442" s="706" t="s">
        <v>365</v>
      </c>
      <c r="F442" s="706">
        <v>1</v>
      </c>
      <c r="G442" s="706"/>
      <c r="H442" s="720"/>
      <c r="I442" s="720">
        <v>46161</v>
      </c>
      <c r="J442" s="706" t="s">
        <v>355</v>
      </c>
      <c r="K442" t="str">
        <f t="shared" si="22"/>
        <v>Switch</v>
      </c>
      <c r="M442" s="419">
        <f t="shared" si="21"/>
        <v>0</v>
      </c>
      <c r="N442" s="419">
        <f t="shared" si="23"/>
        <v>0</v>
      </c>
      <c r="O442" s="419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1">
        <f>All_Detail_v2[[#This Row],[Scheduled Date]]</f>
        <v>46161</v>
      </c>
      <c r="S442" s="421">
        <f>All_Detail_v2[[#This Row],[Install Date]]</f>
        <v>0</v>
      </c>
    </row>
    <row r="443" spans="1:19">
      <c r="A443">
        <v>439</v>
      </c>
      <c r="B443" s="704" t="s">
        <v>626</v>
      </c>
      <c r="C443" s="705" t="s">
        <v>627</v>
      </c>
      <c r="D443" s="706" t="s">
        <v>655</v>
      </c>
      <c r="E443" s="706" t="s">
        <v>360</v>
      </c>
      <c r="F443" s="706">
        <v>1</v>
      </c>
      <c r="G443" s="706"/>
      <c r="H443" s="720"/>
      <c r="I443" s="720">
        <v>46161</v>
      </c>
      <c r="J443" s="706" t="s">
        <v>355</v>
      </c>
      <c r="K443" t="str">
        <f t="shared" si="22"/>
        <v>Switch</v>
      </c>
      <c r="M443" s="419">
        <f t="shared" si="21"/>
        <v>0</v>
      </c>
      <c r="N443" s="419">
        <f t="shared" si="23"/>
        <v>0</v>
      </c>
      <c r="O443" s="419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1">
        <f>All_Detail_v2[[#This Row],[Scheduled Date]]</f>
        <v>46161</v>
      </c>
      <c r="S443" s="421">
        <f>All_Detail_v2[[#This Row],[Install Date]]</f>
        <v>0</v>
      </c>
    </row>
    <row r="444" spans="1:19">
      <c r="A444">
        <v>440</v>
      </c>
      <c r="B444" s="704" t="s">
        <v>626</v>
      </c>
      <c r="C444" s="705" t="s">
        <v>627</v>
      </c>
      <c r="D444" s="706" t="s">
        <v>655</v>
      </c>
      <c r="E444" s="706" t="s">
        <v>365</v>
      </c>
      <c r="F444" s="706">
        <v>1</v>
      </c>
      <c r="G444" s="706"/>
      <c r="H444" s="720"/>
      <c r="I444" s="720">
        <v>46161</v>
      </c>
      <c r="J444" s="706" t="s">
        <v>355</v>
      </c>
      <c r="K444" t="str">
        <f t="shared" si="22"/>
        <v>Switch</v>
      </c>
      <c r="M444" s="419">
        <f t="shared" si="21"/>
        <v>0</v>
      </c>
      <c r="N444" s="419">
        <f t="shared" si="23"/>
        <v>0</v>
      </c>
      <c r="O444" s="419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1">
        <f>All_Detail_v2[[#This Row],[Scheduled Date]]</f>
        <v>46161</v>
      </c>
      <c r="S444" s="421">
        <f>All_Detail_v2[[#This Row],[Install Date]]</f>
        <v>0</v>
      </c>
    </row>
    <row r="445" spans="1:19">
      <c r="A445">
        <v>441</v>
      </c>
      <c r="B445" s="704" t="s">
        <v>626</v>
      </c>
      <c r="C445" s="705" t="s">
        <v>627</v>
      </c>
      <c r="D445" s="706" t="s">
        <v>656</v>
      </c>
      <c r="E445" s="706" t="s">
        <v>360</v>
      </c>
      <c r="F445" s="706">
        <v>1</v>
      </c>
      <c r="G445" s="706"/>
      <c r="H445" s="720"/>
      <c r="I445" s="720">
        <v>46161</v>
      </c>
      <c r="J445" s="706" t="s">
        <v>355</v>
      </c>
      <c r="K445" t="str">
        <f t="shared" si="22"/>
        <v>Switch</v>
      </c>
      <c r="M445" s="419">
        <f t="shared" si="21"/>
        <v>0</v>
      </c>
      <c r="N445" s="419">
        <f t="shared" si="23"/>
        <v>0</v>
      </c>
      <c r="O445" s="419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1">
        <f>All_Detail_v2[[#This Row],[Scheduled Date]]</f>
        <v>46161</v>
      </c>
      <c r="S445" s="421">
        <f>All_Detail_v2[[#This Row],[Install Date]]</f>
        <v>0</v>
      </c>
    </row>
    <row r="446" spans="1:19">
      <c r="A446">
        <v>442</v>
      </c>
      <c r="B446" s="704" t="s">
        <v>626</v>
      </c>
      <c r="C446" s="705" t="s">
        <v>627</v>
      </c>
      <c r="D446" s="706" t="s">
        <v>656</v>
      </c>
      <c r="E446" s="706" t="s">
        <v>365</v>
      </c>
      <c r="F446" s="706">
        <v>2</v>
      </c>
      <c r="G446" s="706"/>
      <c r="H446" s="720"/>
      <c r="I446" s="720">
        <v>46161</v>
      </c>
      <c r="J446" s="706" t="s">
        <v>355</v>
      </c>
      <c r="K446" t="str">
        <f t="shared" si="22"/>
        <v>Switch</v>
      </c>
      <c r="M446" s="419">
        <f t="shared" si="21"/>
        <v>0</v>
      </c>
      <c r="N446" s="419">
        <f t="shared" si="23"/>
        <v>0</v>
      </c>
      <c r="O446" s="419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1">
        <f>All_Detail_v2[[#This Row],[Scheduled Date]]</f>
        <v>46161</v>
      </c>
      <c r="S446" s="421">
        <f>All_Detail_v2[[#This Row],[Install Date]]</f>
        <v>0</v>
      </c>
    </row>
    <row r="447" spans="1:19">
      <c r="A447">
        <v>443</v>
      </c>
      <c r="B447" s="704" t="s">
        <v>626</v>
      </c>
      <c r="C447" s="705" t="s">
        <v>627</v>
      </c>
      <c r="D447" s="706" t="s">
        <v>657</v>
      </c>
      <c r="E447" s="706" t="s">
        <v>360</v>
      </c>
      <c r="F447" s="706">
        <v>1</v>
      </c>
      <c r="G447" s="706"/>
      <c r="H447" s="720"/>
      <c r="I447" s="720">
        <v>46162</v>
      </c>
      <c r="J447" s="706" t="s">
        <v>355</v>
      </c>
      <c r="K447" t="str">
        <f t="shared" si="22"/>
        <v>Switch</v>
      </c>
      <c r="M447" s="419">
        <f t="shared" si="21"/>
        <v>0</v>
      </c>
      <c r="N447" s="419">
        <f t="shared" si="23"/>
        <v>0</v>
      </c>
      <c r="O447" s="419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1">
        <f>All_Detail_v2[[#This Row],[Scheduled Date]]</f>
        <v>46162</v>
      </c>
      <c r="S447" s="421">
        <f>All_Detail_v2[[#This Row],[Install Date]]</f>
        <v>0</v>
      </c>
    </row>
    <row r="448" spans="1:19">
      <c r="A448">
        <v>444</v>
      </c>
      <c r="B448" s="704" t="s">
        <v>626</v>
      </c>
      <c r="C448" s="705" t="s">
        <v>627</v>
      </c>
      <c r="D448" s="706" t="s">
        <v>657</v>
      </c>
      <c r="E448" s="706" t="s">
        <v>365</v>
      </c>
      <c r="F448" s="706">
        <v>1</v>
      </c>
      <c r="G448" s="706"/>
      <c r="H448" s="720"/>
      <c r="I448" s="720">
        <v>46162</v>
      </c>
      <c r="J448" s="706" t="s">
        <v>355</v>
      </c>
      <c r="K448" t="str">
        <f t="shared" si="22"/>
        <v>Switch</v>
      </c>
      <c r="M448" s="419">
        <f t="shared" si="21"/>
        <v>0</v>
      </c>
      <c r="N448" s="419">
        <f t="shared" si="23"/>
        <v>0</v>
      </c>
      <c r="O448" s="419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1">
        <f>All_Detail_v2[[#This Row],[Scheduled Date]]</f>
        <v>46162</v>
      </c>
      <c r="S448" s="421">
        <f>All_Detail_v2[[#This Row],[Install Date]]</f>
        <v>0</v>
      </c>
    </row>
    <row r="449" spans="1:19">
      <c r="A449">
        <v>445</v>
      </c>
      <c r="B449" s="704" t="s">
        <v>626</v>
      </c>
      <c r="C449" s="705" t="s">
        <v>627</v>
      </c>
      <c r="D449" s="706" t="s">
        <v>658</v>
      </c>
      <c r="E449" s="706" t="s">
        <v>360</v>
      </c>
      <c r="F449" s="706">
        <v>1</v>
      </c>
      <c r="G449" s="706"/>
      <c r="H449" s="720"/>
      <c r="I449" s="720">
        <v>46162</v>
      </c>
      <c r="J449" s="706" t="s">
        <v>355</v>
      </c>
      <c r="K449" t="str">
        <f t="shared" si="22"/>
        <v>Switch</v>
      </c>
      <c r="M449" s="419">
        <f t="shared" si="21"/>
        <v>0</v>
      </c>
      <c r="N449" s="419">
        <f t="shared" si="23"/>
        <v>0</v>
      </c>
      <c r="O449" s="419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1">
        <f>All_Detail_v2[[#This Row],[Scheduled Date]]</f>
        <v>46162</v>
      </c>
      <c r="S449" s="421">
        <f>All_Detail_v2[[#This Row],[Install Date]]</f>
        <v>0</v>
      </c>
    </row>
    <row r="450" spans="1:19">
      <c r="A450">
        <v>446</v>
      </c>
      <c r="B450" s="704" t="s">
        <v>626</v>
      </c>
      <c r="C450" s="705" t="s">
        <v>627</v>
      </c>
      <c r="D450" s="706" t="s">
        <v>658</v>
      </c>
      <c r="E450" s="706" t="s">
        <v>365</v>
      </c>
      <c r="F450" s="706">
        <v>1</v>
      </c>
      <c r="G450" s="706"/>
      <c r="H450" s="720"/>
      <c r="I450" s="720">
        <v>46162</v>
      </c>
      <c r="J450" s="706" t="s">
        <v>355</v>
      </c>
      <c r="K450" t="str">
        <f t="shared" si="22"/>
        <v>Switch</v>
      </c>
      <c r="M450" s="419">
        <f t="shared" ref="M450:M513" si="24">O450</f>
        <v>0</v>
      </c>
      <c r="N450" s="419">
        <f t="shared" si="23"/>
        <v>0</v>
      </c>
      <c r="O450" s="419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1">
        <f>All_Detail_v2[[#This Row],[Scheduled Date]]</f>
        <v>46162</v>
      </c>
      <c r="S450" s="421">
        <f>All_Detail_v2[[#This Row],[Install Date]]</f>
        <v>0</v>
      </c>
    </row>
    <row r="451" spans="1:19" ht="21" customHeight="1">
      <c r="A451">
        <v>447</v>
      </c>
      <c r="B451" s="704" t="s">
        <v>626</v>
      </c>
      <c r="C451" s="705" t="s">
        <v>627</v>
      </c>
      <c r="D451" s="706" t="s">
        <v>659</v>
      </c>
      <c r="E451" s="706" t="s">
        <v>360</v>
      </c>
      <c r="F451" s="706">
        <v>1</v>
      </c>
      <c r="G451" s="706"/>
      <c r="H451" s="720"/>
      <c r="I451" s="720">
        <v>46162</v>
      </c>
      <c r="J451" s="706" t="s">
        <v>355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9">
        <f t="shared" si="24"/>
        <v>0</v>
      </c>
      <c r="N451" s="419">
        <f t="shared" si="23"/>
        <v>0</v>
      </c>
      <c r="O451" s="419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1">
        <f>All_Detail_v2[[#This Row],[Scheduled Date]]</f>
        <v>46162</v>
      </c>
      <c r="S451" s="421">
        <f>All_Detail_v2[[#This Row],[Install Date]]</f>
        <v>0</v>
      </c>
    </row>
    <row r="452" spans="1:19">
      <c r="A452">
        <v>448</v>
      </c>
      <c r="B452" s="704" t="s">
        <v>626</v>
      </c>
      <c r="C452" s="705" t="s">
        <v>627</v>
      </c>
      <c r="D452" s="706" t="s">
        <v>659</v>
      </c>
      <c r="E452" s="706" t="s">
        <v>365</v>
      </c>
      <c r="F452" s="706">
        <v>1</v>
      </c>
      <c r="G452" s="706"/>
      <c r="H452" s="720"/>
      <c r="I452" s="720">
        <v>46162</v>
      </c>
      <c r="J452" s="706" t="s">
        <v>355</v>
      </c>
      <c r="K452" t="str">
        <f t="shared" si="25"/>
        <v>Switch</v>
      </c>
      <c r="M452" s="419">
        <f t="shared" si="24"/>
        <v>0</v>
      </c>
      <c r="N452" s="419">
        <f t="shared" si="23"/>
        <v>0</v>
      </c>
      <c r="O452" s="419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1">
        <f>All_Detail_v2[[#This Row],[Scheduled Date]]</f>
        <v>46162</v>
      </c>
      <c r="S452" s="421">
        <f>All_Detail_v2[[#This Row],[Install Date]]</f>
        <v>0</v>
      </c>
    </row>
    <row r="453" spans="1:19">
      <c r="A453">
        <v>449</v>
      </c>
      <c r="B453" s="704" t="s">
        <v>626</v>
      </c>
      <c r="C453" s="705" t="s">
        <v>627</v>
      </c>
      <c r="D453" s="706" t="s">
        <v>660</v>
      </c>
      <c r="E453" s="706" t="s">
        <v>360</v>
      </c>
      <c r="F453" s="706">
        <v>1</v>
      </c>
      <c r="G453" s="706"/>
      <c r="H453" s="720"/>
      <c r="I453" s="720">
        <v>46162</v>
      </c>
      <c r="J453" s="706" t="s">
        <v>355</v>
      </c>
      <c r="K453" t="str">
        <f t="shared" si="25"/>
        <v>Switch</v>
      </c>
      <c r="M453" s="419">
        <f t="shared" si="24"/>
        <v>0</v>
      </c>
      <c r="N453" s="419">
        <f t="shared" si="23"/>
        <v>0</v>
      </c>
      <c r="O453" s="419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1">
        <f>All_Detail_v2[[#This Row],[Scheduled Date]]</f>
        <v>46162</v>
      </c>
      <c r="S453" s="421">
        <f>All_Detail_v2[[#This Row],[Install Date]]</f>
        <v>0</v>
      </c>
    </row>
    <row r="454" spans="1:19">
      <c r="A454">
        <v>450</v>
      </c>
      <c r="B454" s="704" t="s">
        <v>626</v>
      </c>
      <c r="C454" s="705" t="s">
        <v>627</v>
      </c>
      <c r="D454" s="706" t="s">
        <v>660</v>
      </c>
      <c r="E454" s="706" t="s">
        <v>365</v>
      </c>
      <c r="F454" s="706">
        <v>1</v>
      </c>
      <c r="G454" s="706"/>
      <c r="H454" s="720"/>
      <c r="I454" s="720">
        <v>46162</v>
      </c>
      <c r="J454" s="706" t="s">
        <v>355</v>
      </c>
      <c r="K454" t="str">
        <f t="shared" si="25"/>
        <v>Switch</v>
      </c>
      <c r="M454" s="419">
        <f t="shared" si="24"/>
        <v>0</v>
      </c>
      <c r="N454" s="419">
        <f t="shared" ref="N454:N517" si="26">O454</f>
        <v>0</v>
      </c>
      <c r="O454" s="419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1">
        <f>All_Detail_v2[[#This Row],[Scheduled Date]]</f>
        <v>46162</v>
      </c>
      <c r="S454" s="421">
        <f>All_Detail_v2[[#This Row],[Install Date]]</f>
        <v>0</v>
      </c>
    </row>
    <row r="455" spans="1:19">
      <c r="A455">
        <v>451</v>
      </c>
      <c r="B455" s="704" t="s">
        <v>626</v>
      </c>
      <c r="C455" s="705" t="s">
        <v>627</v>
      </c>
      <c r="D455" s="706" t="s">
        <v>661</v>
      </c>
      <c r="E455" s="706" t="s">
        <v>360</v>
      </c>
      <c r="F455" s="706">
        <v>1</v>
      </c>
      <c r="G455" s="706"/>
      <c r="H455" s="720"/>
      <c r="I455" s="720">
        <v>46162</v>
      </c>
      <c r="J455" s="706" t="s">
        <v>355</v>
      </c>
      <c r="K455" t="str">
        <f t="shared" si="25"/>
        <v>Switch</v>
      </c>
      <c r="M455" s="419">
        <f t="shared" si="24"/>
        <v>0</v>
      </c>
      <c r="N455" s="419">
        <f t="shared" si="26"/>
        <v>0</v>
      </c>
      <c r="O455" s="419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1">
        <f>All_Detail_v2[[#This Row],[Scheduled Date]]</f>
        <v>46162</v>
      </c>
      <c r="S455" s="421">
        <f>All_Detail_v2[[#This Row],[Install Date]]</f>
        <v>0</v>
      </c>
    </row>
    <row r="456" spans="1:19">
      <c r="A456">
        <v>452</v>
      </c>
      <c r="B456" s="704" t="s">
        <v>626</v>
      </c>
      <c r="C456" s="705" t="s">
        <v>627</v>
      </c>
      <c r="D456" s="706" t="s">
        <v>661</v>
      </c>
      <c r="E456" s="706" t="s">
        <v>365</v>
      </c>
      <c r="F456" s="706">
        <v>1</v>
      </c>
      <c r="G456" s="706"/>
      <c r="H456" s="720"/>
      <c r="I456" s="720">
        <v>46162</v>
      </c>
      <c r="J456" s="706" t="s">
        <v>355</v>
      </c>
      <c r="K456" t="str">
        <f t="shared" si="25"/>
        <v>Switch</v>
      </c>
      <c r="M456" s="419">
        <f t="shared" si="24"/>
        <v>0</v>
      </c>
      <c r="N456" s="419">
        <f t="shared" si="26"/>
        <v>0</v>
      </c>
      <c r="O456" s="419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1">
        <f>All_Detail_v2[[#This Row],[Scheduled Date]]</f>
        <v>46162</v>
      </c>
      <c r="S456" s="421">
        <f>All_Detail_v2[[#This Row],[Install Date]]</f>
        <v>0</v>
      </c>
    </row>
    <row r="457" spans="1:19">
      <c r="A457">
        <v>453</v>
      </c>
      <c r="B457" s="704" t="s">
        <v>626</v>
      </c>
      <c r="C457" s="705" t="s">
        <v>627</v>
      </c>
      <c r="D457" s="706" t="s">
        <v>662</v>
      </c>
      <c r="E457" s="706" t="s">
        <v>360</v>
      </c>
      <c r="F457" s="706">
        <v>1</v>
      </c>
      <c r="G457" s="706"/>
      <c r="H457" s="720"/>
      <c r="I457" s="720">
        <v>46162</v>
      </c>
      <c r="J457" s="706" t="s">
        <v>355</v>
      </c>
      <c r="K457" t="str">
        <f t="shared" si="25"/>
        <v>Switch</v>
      </c>
      <c r="M457" s="419">
        <f t="shared" si="24"/>
        <v>0</v>
      </c>
      <c r="N457" s="419">
        <f t="shared" si="26"/>
        <v>0</v>
      </c>
      <c r="O457" s="419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1">
        <f>All_Detail_v2[[#This Row],[Scheduled Date]]</f>
        <v>46162</v>
      </c>
      <c r="S457" s="421">
        <f>All_Detail_v2[[#This Row],[Install Date]]</f>
        <v>0</v>
      </c>
    </row>
    <row r="458" spans="1:19">
      <c r="A458">
        <v>454</v>
      </c>
      <c r="B458" s="704" t="s">
        <v>626</v>
      </c>
      <c r="C458" s="705" t="s">
        <v>627</v>
      </c>
      <c r="D458" s="706" t="s">
        <v>662</v>
      </c>
      <c r="E458" s="706" t="s">
        <v>365</v>
      </c>
      <c r="F458" s="706">
        <v>1</v>
      </c>
      <c r="G458" s="706"/>
      <c r="H458" s="720"/>
      <c r="I458" s="720">
        <v>46162</v>
      </c>
      <c r="J458" s="706" t="s">
        <v>355</v>
      </c>
      <c r="K458" t="str">
        <f t="shared" si="25"/>
        <v>Switch</v>
      </c>
      <c r="M458" s="419">
        <f t="shared" si="24"/>
        <v>0</v>
      </c>
      <c r="N458" s="419">
        <f t="shared" si="26"/>
        <v>0</v>
      </c>
      <c r="O458" s="419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1">
        <f>All_Detail_v2[[#This Row],[Scheduled Date]]</f>
        <v>46162</v>
      </c>
      <c r="S458" s="421">
        <f>All_Detail_v2[[#This Row],[Install Date]]</f>
        <v>0</v>
      </c>
    </row>
    <row r="459" spans="1:19">
      <c r="A459">
        <v>455</v>
      </c>
      <c r="B459" s="704" t="s">
        <v>626</v>
      </c>
      <c r="C459" s="705" t="s">
        <v>627</v>
      </c>
      <c r="D459" s="706" t="s">
        <v>663</v>
      </c>
      <c r="E459" s="706" t="s">
        <v>360</v>
      </c>
      <c r="F459" s="706">
        <v>1</v>
      </c>
      <c r="G459" s="706"/>
      <c r="H459" s="720"/>
      <c r="I459" s="720">
        <v>46163</v>
      </c>
      <c r="J459" s="706" t="s">
        <v>355</v>
      </c>
      <c r="K459" t="str">
        <f t="shared" si="25"/>
        <v>Switch</v>
      </c>
      <c r="M459" s="419">
        <f t="shared" si="24"/>
        <v>0</v>
      </c>
      <c r="N459" s="419">
        <f t="shared" si="26"/>
        <v>0</v>
      </c>
      <c r="O459" s="419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1">
        <f>All_Detail_v2[[#This Row],[Scheduled Date]]</f>
        <v>46163</v>
      </c>
      <c r="S459" s="421">
        <f>All_Detail_v2[[#This Row],[Install Date]]</f>
        <v>0</v>
      </c>
    </row>
    <row r="460" spans="1:19">
      <c r="A460">
        <v>456</v>
      </c>
      <c r="B460" s="704" t="s">
        <v>626</v>
      </c>
      <c r="C460" s="705" t="s">
        <v>627</v>
      </c>
      <c r="D460" s="706" t="s">
        <v>663</v>
      </c>
      <c r="E460" s="706" t="s">
        <v>365</v>
      </c>
      <c r="F460" s="706">
        <v>1</v>
      </c>
      <c r="G460" s="706"/>
      <c r="H460" s="720"/>
      <c r="I460" s="720">
        <v>46163</v>
      </c>
      <c r="J460" s="706" t="s">
        <v>355</v>
      </c>
      <c r="K460" t="str">
        <f t="shared" si="25"/>
        <v>Switch</v>
      </c>
      <c r="M460" s="419">
        <f t="shared" si="24"/>
        <v>0</v>
      </c>
      <c r="N460" s="419">
        <f t="shared" si="26"/>
        <v>0</v>
      </c>
      <c r="O460" s="419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1">
        <f>All_Detail_v2[[#This Row],[Scheduled Date]]</f>
        <v>46163</v>
      </c>
      <c r="S460" s="421">
        <f>All_Detail_v2[[#This Row],[Install Date]]</f>
        <v>0</v>
      </c>
    </row>
    <row r="461" spans="1:19">
      <c r="A461">
        <v>457</v>
      </c>
      <c r="B461" s="704" t="s">
        <v>626</v>
      </c>
      <c r="C461" s="705" t="s">
        <v>627</v>
      </c>
      <c r="D461" s="706" t="s">
        <v>664</v>
      </c>
      <c r="E461" s="706" t="s">
        <v>360</v>
      </c>
      <c r="F461" s="706">
        <v>1</v>
      </c>
      <c r="G461" s="706"/>
      <c r="H461" s="720"/>
      <c r="I461" s="720">
        <v>46163</v>
      </c>
      <c r="J461" s="706" t="s">
        <v>355</v>
      </c>
      <c r="K461" t="str">
        <f t="shared" si="25"/>
        <v>Switch</v>
      </c>
      <c r="M461" s="419">
        <f t="shared" si="24"/>
        <v>0</v>
      </c>
      <c r="N461" s="419">
        <f t="shared" si="26"/>
        <v>0</v>
      </c>
      <c r="O461" s="419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1">
        <f>All_Detail_v2[[#This Row],[Scheduled Date]]</f>
        <v>46163</v>
      </c>
      <c r="S461" s="421">
        <f>All_Detail_v2[[#This Row],[Install Date]]</f>
        <v>0</v>
      </c>
    </row>
    <row r="462" spans="1:19">
      <c r="A462">
        <v>458</v>
      </c>
      <c r="B462" s="704" t="s">
        <v>626</v>
      </c>
      <c r="C462" s="705" t="s">
        <v>627</v>
      </c>
      <c r="D462" s="706" t="s">
        <v>664</v>
      </c>
      <c r="E462" s="706" t="s">
        <v>365</v>
      </c>
      <c r="F462" s="706">
        <v>1</v>
      </c>
      <c r="G462" s="706"/>
      <c r="H462" s="720"/>
      <c r="I462" s="720">
        <v>46163</v>
      </c>
      <c r="J462" s="706" t="s">
        <v>355</v>
      </c>
      <c r="K462" t="str">
        <f t="shared" si="25"/>
        <v>Switch</v>
      </c>
      <c r="M462" s="419">
        <f t="shared" si="24"/>
        <v>0</v>
      </c>
      <c r="N462" s="419">
        <f t="shared" si="26"/>
        <v>0</v>
      </c>
      <c r="O462" s="419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1">
        <f>All_Detail_v2[[#This Row],[Scheduled Date]]</f>
        <v>46163</v>
      </c>
      <c r="S462" s="421">
        <f>All_Detail_v2[[#This Row],[Install Date]]</f>
        <v>0</v>
      </c>
    </row>
    <row r="463" spans="1:19">
      <c r="A463">
        <v>459</v>
      </c>
      <c r="B463" s="704" t="s">
        <v>626</v>
      </c>
      <c r="C463" s="705" t="s">
        <v>627</v>
      </c>
      <c r="D463" s="706" t="s">
        <v>665</v>
      </c>
      <c r="E463" s="706" t="s">
        <v>360</v>
      </c>
      <c r="F463" s="706">
        <v>1</v>
      </c>
      <c r="G463" s="706"/>
      <c r="H463" s="720"/>
      <c r="I463" s="720">
        <v>46163</v>
      </c>
      <c r="J463" s="706" t="s">
        <v>355</v>
      </c>
      <c r="K463" t="str">
        <f t="shared" si="25"/>
        <v>Switch</v>
      </c>
      <c r="M463" s="419">
        <f t="shared" si="24"/>
        <v>0</v>
      </c>
      <c r="N463" s="419">
        <f t="shared" si="26"/>
        <v>0</v>
      </c>
      <c r="O463" s="419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1">
        <f>All_Detail_v2[[#This Row],[Scheduled Date]]</f>
        <v>46163</v>
      </c>
      <c r="S463" s="421">
        <f>All_Detail_v2[[#This Row],[Install Date]]</f>
        <v>0</v>
      </c>
    </row>
    <row r="464" spans="1:19">
      <c r="A464">
        <v>460</v>
      </c>
      <c r="B464" s="704" t="s">
        <v>626</v>
      </c>
      <c r="C464" s="705" t="s">
        <v>627</v>
      </c>
      <c r="D464" s="706" t="s">
        <v>666</v>
      </c>
      <c r="E464" s="706" t="s">
        <v>360</v>
      </c>
      <c r="F464" s="706">
        <v>2</v>
      </c>
      <c r="G464" s="706"/>
      <c r="H464" s="720"/>
      <c r="I464" s="720">
        <v>46163</v>
      </c>
      <c r="J464" s="706" t="s">
        <v>355</v>
      </c>
      <c r="K464" t="str">
        <f t="shared" si="25"/>
        <v>Switch</v>
      </c>
      <c r="M464" s="419">
        <f t="shared" si="24"/>
        <v>0</v>
      </c>
      <c r="N464" s="419">
        <f t="shared" si="26"/>
        <v>0</v>
      </c>
      <c r="O464" s="419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1">
        <f>All_Detail_v2[[#This Row],[Scheduled Date]]</f>
        <v>46163</v>
      </c>
      <c r="S464" s="421">
        <f>All_Detail_v2[[#This Row],[Install Date]]</f>
        <v>0</v>
      </c>
    </row>
    <row r="465" spans="1:19">
      <c r="A465">
        <v>461</v>
      </c>
      <c r="B465" s="704" t="s">
        <v>626</v>
      </c>
      <c r="C465" s="705" t="s">
        <v>627</v>
      </c>
      <c r="D465" s="706" t="s">
        <v>666</v>
      </c>
      <c r="E465" s="706" t="s">
        <v>365</v>
      </c>
      <c r="F465" s="706">
        <v>1</v>
      </c>
      <c r="G465" s="706"/>
      <c r="H465" s="720"/>
      <c r="I465" s="720">
        <v>46163</v>
      </c>
      <c r="J465" s="706" t="s">
        <v>355</v>
      </c>
      <c r="K465" t="str">
        <f t="shared" si="25"/>
        <v>Switch</v>
      </c>
      <c r="M465" s="419">
        <f t="shared" si="24"/>
        <v>0</v>
      </c>
      <c r="N465" s="419">
        <f t="shared" si="26"/>
        <v>0</v>
      </c>
      <c r="O465" s="419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1">
        <f>All_Detail_v2[[#This Row],[Scheduled Date]]</f>
        <v>46163</v>
      </c>
      <c r="S465" s="421">
        <f>All_Detail_v2[[#This Row],[Install Date]]</f>
        <v>0</v>
      </c>
    </row>
    <row r="466" spans="1:19">
      <c r="A466">
        <v>462</v>
      </c>
      <c r="B466" s="704" t="s">
        <v>626</v>
      </c>
      <c r="C466" s="705" t="s">
        <v>627</v>
      </c>
      <c r="D466" s="706" t="s">
        <v>667</v>
      </c>
      <c r="E466" s="706" t="s">
        <v>360</v>
      </c>
      <c r="F466" s="706">
        <v>2</v>
      </c>
      <c r="G466" s="706"/>
      <c r="H466" s="720"/>
      <c r="I466" s="720">
        <v>46163</v>
      </c>
      <c r="J466" s="706" t="s">
        <v>355</v>
      </c>
      <c r="K466" t="str">
        <f t="shared" si="25"/>
        <v>Switch</v>
      </c>
      <c r="M466" s="419">
        <f t="shared" si="24"/>
        <v>0</v>
      </c>
      <c r="N466" s="419">
        <f t="shared" si="26"/>
        <v>0</v>
      </c>
      <c r="O466" s="419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1">
        <f>All_Detail_v2[[#This Row],[Scheduled Date]]</f>
        <v>46163</v>
      </c>
      <c r="S466" s="421">
        <f>All_Detail_v2[[#This Row],[Install Date]]</f>
        <v>0</v>
      </c>
    </row>
    <row r="467" spans="1:19">
      <c r="A467">
        <v>463</v>
      </c>
      <c r="B467" s="704" t="s">
        <v>626</v>
      </c>
      <c r="C467" s="705" t="s">
        <v>627</v>
      </c>
      <c r="D467" s="706" t="s">
        <v>667</v>
      </c>
      <c r="E467" s="706" t="s">
        <v>365</v>
      </c>
      <c r="F467" s="706">
        <v>1</v>
      </c>
      <c r="G467" s="706"/>
      <c r="H467" s="720"/>
      <c r="I467" s="720">
        <v>46163</v>
      </c>
      <c r="J467" s="706" t="s">
        <v>355</v>
      </c>
      <c r="K467" t="str">
        <f t="shared" si="25"/>
        <v>Switch</v>
      </c>
      <c r="M467" s="419">
        <f t="shared" si="24"/>
        <v>0</v>
      </c>
      <c r="N467" s="419">
        <f t="shared" si="26"/>
        <v>0</v>
      </c>
      <c r="O467" s="419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1">
        <f>All_Detail_v2[[#This Row],[Scheduled Date]]</f>
        <v>46163</v>
      </c>
      <c r="S467" s="421">
        <f>All_Detail_v2[[#This Row],[Install Date]]</f>
        <v>0</v>
      </c>
    </row>
    <row r="468" spans="1:19">
      <c r="A468">
        <v>464</v>
      </c>
      <c r="B468" s="704" t="s">
        <v>626</v>
      </c>
      <c r="C468" s="705" t="s">
        <v>627</v>
      </c>
      <c r="D468" s="706" t="s">
        <v>668</v>
      </c>
      <c r="E468" s="706" t="s">
        <v>360</v>
      </c>
      <c r="F468" s="706">
        <v>2</v>
      </c>
      <c r="G468" s="706"/>
      <c r="H468" s="720"/>
      <c r="I468" s="720">
        <v>46164</v>
      </c>
      <c r="J468" s="706" t="s">
        <v>355</v>
      </c>
      <c r="K468" t="str">
        <f t="shared" si="25"/>
        <v>Switch</v>
      </c>
      <c r="M468" s="419">
        <f t="shared" si="24"/>
        <v>0</v>
      </c>
      <c r="N468" s="419">
        <f t="shared" si="26"/>
        <v>0</v>
      </c>
      <c r="O468" s="419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1">
        <f>All_Detail_v2[[#This Row],[Scheduled Date]]</f>
        <v>46164</v>
      </c>
      <c r="S468" s="421">
        <f>All_Detail_v2[[#This Row],[Install Date]]</f>
        <v>0</v>
      </c>
    </row>
    <row r="469" spans="1:19">
      <c r="A469">
        <v>465</v>
      </c>
      <c r="B469" s="704" t="s">
        <v>626</v>
      </c>
      <c r="C469" s="705" t="s">
        <v>627</v>
      </c>
      <c r="D469" s="706" t="s">
        <v>668</v>
      </c>
      <c r="E469" s="706" t="s">
        <v>365</v>
      </c>
      <c r="F469" s="706">
        <v>1</v>
      </c>
      <c r="G469" s="706"/>
      <c r="H469" s="720"/>
      <c r="I469" s="720">
        <v>46164</v>
      </c>
      <c r="J469" s="706" t="s">
        <v>355</v>
      </c>
      <c r="K469" t="str">
        <f t="shared" si="25"/>
        <v>Switch</v>
      </c>
      <c r="M469" s="419">
        <f t="shared" si="24"/>
        <v>0</v>
      </c>
      <c r="N469" s="419">
        <f t="shared" si="26"/>
        <v>0</v>
      </c>
      <c r="O469" s="419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1">
        <f>All_Detail_v2[[#This Row],[Scheduled Date]]</f>
        <v>46164</v>
      </c>
      <c r="S469" s="421">
        <f>All_Detail_v2[[#This Row],[Install Date]]</f>
        <v>0</v>
      </c>
    </row>
    <row r="470" spans="1:19">
      <c r="A470">
        <v>466</v>
      </c>
      <c r="B470" s="704" t="s">
        <v>626</v>
      </c>
      <c r="C470" s="705" t="s">
        <v>627</v>
      </c>
      <c r="D470" s="706" t="s">
        <v>669</v>
      </c>
      <c r="E470" s="706" t="s">
        <v>360</v>
      </c>
      <c r="F470" s="706">
        <v>2</v>
      </c>
      <c r="G470" s="706"/>
      <c r="H470" s="720"/>
      <c r="I470" s="720">
        <v>46164</v>
      </c>
      <c r="J470" s="706" t="s">
        <v>355</v>
      </c>
      <c r="K470" t="str">
        <f t="shared" si="25"/>
        <v>Switch</v>
      </c>
      <c r="M470" s="419">
        <f t="shared" si="24"/>
        <v>0</v>
      </c>
      <c r="N470" s="419">
        <f t="shared" si="26"/>
        <v>0</v>
      </c>
      <c r="O470" s="419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1">
        <f>All_Detail_v2[[#This Row],[Scheduled Date]]</f>
        <v>46164</v>
      </c>
      <c r="S470" s="421">
        <f>All_Detail_v2[[#This Row],[Install Date]]</f>
        <v>0</v>
      </c>
    </row>
    <row r="471" spans="1:19">
      <c r="A471">
        <v>467</v>
      </c>
      <c r="B471" s="704" t="s">
        <v>626</v>
      </c>
      <c r="C471" s="705" t="s">
        <v>627</v>
      </c>
      <c r="D471" s="706" t="s">
        <v>669</v>
      </c>
      <c r="E471" s="706" t="s">
        <v>365</v>
      </c>
      <c r="F471" s="706">
        <v>1</v>
      </c>
      <c r="G471" s="706"/>
      <c r="H471" s="720"/>
      <c r="I471" s="720">
        <v>46164</v>
      </c>
      <c r="J471" s="706" t="s">
        <v>355</v>
      </c>
      <c r="K471" t="str">
        <f t="shared" si="25"/>
        <v>Switch</v>
      </c>
      <c r="M471" s="419">
        <f t="shared" si="24"/>
        <v>0</v>
      </c>
      <c r="N471" s="419">
        <f t="shared" si="26"/>
        <v>0</v>
      </c>
      <c r="O471" s="419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1">
        <f>All_Detail_v2[[#This Row],[Scheduled Date]]</f>
        <v>46164</v>
      </c>
      <c r="S471" s="421">
        <f>All_Detail_v2[[#This Row],[Install Date]]</f>
        <v>0</v>
      </c>
    </row>
    <row r="472" spans="1:19">
      <c r="A472">
        <v>468</v>
      </c>
      <c r="B472" s="704" t="s">
        <v>626</v>
      </c>
      <c r="C472" s="705" t="s">
        <v>627</v>
      </c>
      <c r="D472" s="706" t="s">
        <v>670</v>
      </c>
      <c r="E472" s="706" t="s">
        <v>360</v>
      </c>
      <c r="F472" s="706">
        <v>2</v>
      </c>
      <c r="G472" s="706"/>
      <c r="H472" s="720"/>
      <c r="I472" s="720">
        <v>46164</v>
      </c>
      <c r="J472" s="706" t="s">
        <v>355</v>
      </c>
      <c r="K472" t="str">
        <f t="shared" si="25"/>
        <v>Switch</v>
      </c>
      <c r="M472" s="419">
        <f t="shared" si="24"/>
        <v>0</v>
      </c>
      <c r="N472" s="419">
        <f t="shared" si="26"/>
        <v>0</v>
      </c>
      <c r="O472" s="419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1">
        <f>All_Detail_v2[[#This Row],[Scheduled Date]]</f>
        <v>46164</v>
      </c>
      <c r="S472" s="421">
        <f>All_Detail_v2[[#This Row],[Install Date]]</f>
        <v>0</v>
      </c>
    </row>
    <row r="473" spans="1:19">
      <c r="A473">
        <v>469</v>
      </c>
      <c r="B473" s="704" t="s">
        <v>626</v>
      </c>
      <c r="C473" s="705" t="s">
        <v>627</v>
      </c>
      <c r="D473" s="706" t="s">
        <v>670</v>
      </c>
      <c r="E473" s="706" t="s">
        <v>365</v>
      </c>
      <c r="F473" s="706">
        <v>1</v>
      </c>
      <c r="G473" s="706"/>
      <c r="H473" s="720"/>
      <c r="I473" s="720">
        <v>46164</v>
      </c>
      <c r="J473" s="706" t="s">
        <v>355</v>
      </c>
      <c r="K473" t="str">
        <f t="shared" si="25"/>
        <v>Switch</v>
      </c>
      <c r="M473" s="419">
        <f t="shared" si="24"/>
        <v>0</v>
      </c>
      <c r="N473" s="419">
        <f t="shared" si="26"/>
        <v>0</v>
      </c>
      <c r="O473" s="419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1">
        <f>All_Detail_v2[[#This Row],[Scheduled Date]]</f>
        <v>46164</v>
      </c>
      <c r="S473" s="421">
        <f>All_Detail_v2[[#This Row],[Install Date]]</f>
        <v>0</v>
      </c>
    </row>
    <row r="474" spans="1:19">
      <c r="A474">
        <v>470</v>
      </c>
      <c r="B474" s="704" t="s">
        <v>626</v>
      </c>
      <c r="C474" s="705" t="s">
        <v>627</v>
      </c>
      <c r="D474" s="706" t="s">
        <v>671</v>
      </c>
      <c r="E474" s="706" t="s">
        <v>360</v>
      </c>
      <c r="F474" s="706">
        <v>1</v>
      </c>
      <c r="G474" s="706"/>
      <c r="H474" s="720"/>
      <c r="I474" s="720">
        <v>46164</v>
      </c>
      <c r="J474" s="706" t="s">
        <v>355</v>
      </c>
      <c r="K474" t="str">
        <f t="shared" si="25"/>
        <v>Switch</v>
      </c>
      <c r="M474" s="419">
        <f t="shared" si="24"/>
        <v>0</v>
      </c>
      <c r="N474" s="419">
        <f t="shared" si="26"/>
        <v>0</v>
      </c>
      <c r="O474" s="419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1">
        <f>All_Detail_v2[[#This Row],[Scheduled Date]]</f>
        <v>46164</v>
      </c>
      <c r="S474" s="421">
        <f>All_Detail_v2[[#This Row],[Install Date]]</f>
        <v>0</v>
      </c>
    </row>
    <row r="475" spans="1:19">
      <c r="A475">
        <v>471</v>
      </c>
      <c r="B475" s="704" t="s">
        <v>626</v>
      </c>
      <c r="C475" s="705" t="s">
        <v>627</v>
      </c>
      <c r="D475" s="706" t="s">
        <v>671</v>
      </c>
      <c r="E475" s="706" t="s">
        <v>365</v>
      </c>
      <c r="F475" s="706">
        <v>1</v>
      </c>
      <c r="G475" s="706"/>
      <c r="H475" s="720"/>
      <c r="I475" s="720">
        <v>46164</v>
      </c>
      <c r="J475" s="706" t="s">
        <v>355</v>
      </c>
      <c r="K475" t="str">
        <f t="shared" si="25"/>
        <v>Switch</v>
      </c>
      <c r="M475" s="419">
        <f t="shared" si="24"/>
        <v>0</v>
      </c>
      <c r="N475" s="419">
        <f t="shared" si="26"/>
        <v>0</v>
      </c>
      <c r="O475" s="419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1">
        <f>All_Detail_v2[[#This Row],[Scheduled Date]]</f>
        <v>46164</v>
      </c>
      <c r="S475" s="421">
        <f>All_Detail_v2[[#This Row],[Install Date]]</f>
        <v>0</v>
      </c>
    </row>
    <row r="476" spans="1:19">
      <c r="A476">
        <v>472</v>
      </c>
      <c r="B476" s="704" t="s">
        <v>626</v>
      </c>
      <c r="C476" s="705" t="s">
        <v>627</v>
      </c>
      <c r="D476" s="706" t="s">
        <v>671</v>
      </c>
      <c r="E476" s="706" t="s">
        <v>402</v>
      </c>
      <c r="F476" s="706">
        <v>1</v>
      </c>
      <c r="G476" s="706"/>
      <c r="H476" s="720"/>
      <c r="I476" s="720">
        <v>46164</v>
      </c>
      <c r="J476" s="706" t="s">
        <v>355</v>
      </c>
      <c r="K476" t="str">
        <f t="shared" si="25"/>
        <v>Switch</v>
      </c>
      <c r="M476" s="419">
        <f t="shared" si="24"/>
        <v>0</v>
      </c>
      <c r="N476" s="419">
        <f t="shared" si="26"/>
        <v>0</v>
      </c>
      <c r="O476" s="419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1">
        <f>All_Detail_v2[[#This Row],[Scheduled Date]]</f>
        <v>46164</v>
      </c>
      <c r="S476" s="421">
        <f>All_Detail_v2[[#This Row],[Install Date]]</f>
        <v>0</v>
      </c>
    </row>
    <row r="477" spans="1:19">
      <c r="A477">
        <v>473</v>
      </c>
      <c r="B477" s="704" t="s">
        <v>626</v>
      </c>
      <c r="C477" s="705" t="s">
        <v>627</v>
      </c>
      <c r="D477" s="706" t="s">
        <v>671</v>
      </c>
      <c r="E477" s="706" t="s">
        <v>400</v>
      </c>
      <c r="F477" s="706">
        <v>1</v>
      </c>
      <c r="G477" s="706"/>
      <c r="H477" s="720"/>
      <c r="I477" s="720">
        <v>46164</v>
      </c>
      <c r="J477" s="706" t="s">
        <v>355</v>
      </c>
      <c r="K477" t="str">
        <f t="shared" si="25"/>
        <v>Switch</v>
      </c>
      <c r="M477" s="419">
        <f t="shared" si="24"/>
        <v>0</v>
      </c>
      <c r="N477" s="419">
        <f t="shared" si="26"/>
        <v>0</v>
      </c>
      <c r="O477" s="419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1">
        <f>All_Detail_v2[[#This Row],[Scheduled Date]]</f>
        <v>46164</v>
      </c>
      <c r="S477" s="421">
        <f>All_Detail_v2[[#This Row],[Install Date]]</f>
        <v>0</v>
      </c>
    </row>
    <row r="478" spans="1:19">
      <c r="A478">
        <v>474</v>
      </c>
      <c r="B478" s="704" t="s">
        <v>626</v>
      </c>
      <c r="C478" s="705" t="s">
        <v>627</v>
      </c>
      <c r="D478" s="706" t="s">
        <v>672</v>
      </c>
      <c r="E478" s="706" t="s">
        <v>360</v>
      </c>
      <c r="F478" s="706">
        <v>1</v>
      </c>
      <c r="G478" s="706"/>
      <c r="H478" s="720"/>
      <c r="I478" s="720">
        <v>46167</v>
      </c>
      <c r="J478" s="706" t="s">
        <v>355</v>
      </c>
      <c r="K478" t="str">
        <f t="shared" si="25"/>
        <v>Switch</v>
      </c>
      <c r="M478" s="419">
        <f t="shared" si="24"/>
        <v>0</v>
      </c>
      <c r="N478" s="419">
        <f t="shared" si="26"/>
        <v>0</v>
      </c>
      <c r="O478" s="419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1">
        <f>All_Detail_v2[[#This Row],[Scheduled Date]]</f>
        <v>46167</v>
      </c>
      <c r="S478" s="421">
        <f>All_Detail_v2[[#This Row],[Install Date]]</f>
        <v>0</v>
      </c>
    </row>
    <row r="479" spans="1:19">
      <c r="A479">
        <v>475</v>
      </c>
      <c r="B479" s="704" t="s">
        <v>626</v>
      </c>
      <c r="C479" s="705" t="s">
        <v>627</v>
      </c>
      <c r="D479" s="706" t="s">
        <v>672</v>
      </c>
      <c r="E479" s="706" t="s">
        <v>365</v>
      </c>
      <c r="F479" s="706">
        <v>1</v>
      </c>
      <c r="G479" s="706"/>
      <c r="H479" s="720"/>
      <c r="I479" s="720">
        <v>46167</v>
      </c>
      <c r="J479" s="706" t="s">
        <v>355</v>
      </c>
      <c r="K479" t="str">
        <f t="shared" si="25"/>
        <v>Switch</v>
      </c>
      <c r="M479" s="419">
        <f t="shared" si="24"/>
        <v>0</v>
      </c>
      <c r="N479" s="419">
        <f t="shared" si="26"/>
        <v>0</v>
      </c>
      <c r="O479" s="419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1">
        <f>All_Detail_v2[[#This Row],[Scheduled Date]]</f>
        <v>46167</v>
      </c>
      <c r="S479" s="421">
        <f>All_Detail_v2[[#This Row],[Install Date]]</f>
        <v>0</v>
      </c>
    </row>
    <row r="480" spans="1:19">
      <c r="A480">
        <v>476</v>
      </c>
      <c r="B480" s="704" t="s">
        <v>626</v>
      </c>
      <c r="C480" s="705" t="s">
        <v>627</v>
      </c>
      <c r="D480" s="706" t="s">
        <v>673</v>
      </c>
      <c r="E480" s="706" t="s">
        <v>360</v>
      </c>
      <c r="F480" s="706">
        <v>2</v>
      </c>
      <c r="G480" s="706"/>
      <c r="H480" s="720"/>
      <c r="I480" s="720">
        <v>46167</v>
      </c>
      <c r="J480" s="706" t="s">
        <v>355</v>
      </c>
      <c r="K480" t="str">
        <f t="shared" si="25"/>
        <v>Switch</v>
      </c>
      <c r="M480" s="419">
        <f t="shared" si="24"/>
        <v>0</v>
      </c>
      <c r="N480" s="419">
        <f t="shared" si="26"/>
        <v>0</v>
      </c>
      <c r="O480" s="419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1">
        <f>All_Detail_v2[[#This Row],[Scheduled Date]]</f>
        <v>46167</v>
      </c>
      <c r="S480" s="421">
        <f>All_Detail_v2[[#This Row],[Install Date]]</f>
        <v>0</v>
      </c>
    </row>
    <row r="481" spans="1:19">
      <c r="A481">
        <v>477</v>
      </c>
      <c r="B481" s="704" t="s">
        <v>626</v>
      </c>
      <c r="C481" s="705" t="s">
        <v>627</v>
      </c>
      <c r="D481" s="706" t="s">
        <v>673</v>
      </c>
      <c r="E481" s="706" t="s">
        <v>365</v>
      </c>
      <c r="F481" s="706">
        <v>1</v>
      </c>
      <c r="G481" s="706"/>
      <c r="H481" s="720"/>
      <c r="I481" s="720">
        <v>46167</v>
      </c>
      <c r="J481" s="706" t="s">
        <v>355</v>
      </c>
      <c r="K481" t="str">
        <f t="shared" si="25"/>
        <v>Switch</v>
      </c>
      <c r="M481" s="419">
        <f t="shared" si="24"/>
        <v>0</v>
      </c>
      <c r="N481" s="419">
        <f t="shared" si="26"/>
        <v>0</v>
      </c>
      <c r="O481" s="419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1">
        <f>All_Detail_v2[[#This Row],[Scheduled Date]]</f>
        <v>46167</v>
      </c>
      <c r="S481" s="421">
        <f>All_Detail_v2[[#This Row],[Install Date]]</f>
        <v>0</v>
      </c>
    </row>
    <row r="482" spans="1:19">
      <c r="A482">
        <v>478</v>
      </c>
      <c r="B482" s="704" t="s">
        <v>626</v>
      </c>
      <c r="C482" s="705" t="s">
        <v>627</v>
      </c>
      <c r="D482" s="706" t="s">
        <v>673</v>
      </c>
      <c r="E482" s="706" t="s">
        <v>402</v>
      </c>
      <c r="F482" s="706">
        <v>1</v>
      </c>
      <c r="G482" s="706"/>
      <c r="H482" s="720"/>
      <c r="I482" s="720">
        <v>46167</v>
      </c>
      <c r="J482" s="706" t="s">
        <v>355</v>
      </c>
      <c r="K482" t="str">
        <f t="shared" si="25"/>
        <v>Switch</v>
      </c>
      <c r="M482" s="419">
        <f t="shared" si="24"/>
        <v>0</v>
      </c>
      <c r="N482" s="419">
        <f t="shared" si="26"/>
        <v>0</v>
      </c>
      <c r="O482" s="419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1">
        <f>All_Detail_v2[[#This Row],[Scheduled Date]]</f>
        <v>46167</v>
      </c>
      <c r="S482" s="421">
        <f>All_Detail_v2[[#This Row],[Install Date]]</f>
        <v>0</v>
      </c>
    </row>
    <row r="483" spans="1:19">
      <c r="A483">
        <v>479</v>
      </c>
      <c r="B483" s="704" t="s">
        <v>626</v>
      </c>
      <c r="C483" s="705" t="s">
        <v>627</v>
      </c>
      <c r="D483" s="706" t="s">
        <v>673</v>
      </c>
      <c r="E483" s="706" t="s">
        <v>400</v>
      </c>
      <c r="F483" s="706">
        <v>1</v>
      </c>
      <c r="G483" s="706"/>
      <c r="H483" s="720"/>
      <c r="I483" s="720">
        <v>46167</v>
      </c>
      <c r="J483" s="706" t="s">
        <v>355</v>
      </c>
      <c r="K483" t="str">
        <f t="shared" si="25"/>
        <v>Switch</v>
      </c>
      <c r="M483" s="419">
        <f t="shared" si="24"/>
        <v>0</v>
      </c>
      <c r="N483" s="419">
        <f t="shared" si="26"/>
        <v>0</v>
      </c>
      <c r="O483" s="419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1">
        <f>All_Detail_v2[[#This Row],[Scheduled Date]]</f>
        <v>46167</v>
      </c>
      <c r="S483" s="421">
        <f>All_Detail_v2[[#This Row],[Install Date]]</f>
        <v>0</v>
      </c>
    </row>
    <row r="484" spans="1:19">
      <c r="A484">
        <v>480</v>
      </c>
      <c r="B484" s="704" t="s">
        <v>626</v>
      </c>
      <c r="C484" s="705" t="s">
        <v>627</v>
      </c>
      <c r="D484" s="706" t="s">
        <v>674</v>
      </c>
      <c r="E484" s="706" t="s">
        <v>360</v>
      </c>
      <c r="F484" s="706">
        <v>1</v>
      </c>
      <c r="G484" s="706"/>
      <c r="H484" s="720"/>
      <c r="I484" s="720">
        <v>46167</v>
      </c>
      <c r="J484" s="706" t="s">
        <v>355</v>
      </c>
      <c r="K484" t="str">
        <f t="shared" si="25"/>
        <v>Switch</v>
      </c>
      <c r="M484" s="419">
        <f t="shared" si="24"/>
        <v>0</v>
      </c>
      <c r="N484" s="419">
        <f t="shared" si="26"/>
        <v>0</v>
      </c>
      <c r="O484" s="419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1">
        <f>All_Detail_v2[[#This Row],[Scheduled Date]]</f>
        <v>46167</v>
      </c>
      <c r="S484" s="421">
        <f>All_Detail_v2[[#This Row],[Install Date]]</f>
        <v>0</v>
      </c>
    </row>
    <row r="485" spans="1:19">
      <c r="A485">
        <v>481</v>
      </c>
      <c r="B485" s="704" t="s">
        <v>626</v>
      </c>
      <c r="C485" s="705" t="s">
        <v>627</v>
      </c>
      <c r="D485" s="706" t="s">
        <v>674</v>
      </c>
      <c r="E485" s="706" t="s">
        <v>365</v>
      </c>
      <c r="F485" s="706">
        <v>1</v>
      </c>
      <c r="G485" s="706"/>
      <c r="H485" s="720"/>
      <c r="I485" s="720">
        <v>46167</v>
      </c>
      <c r="J485" s="706" t="s">
        <v>355</v>
      </c>
      <c r="K485" t="str">
        <f t="shared" si="25"/>
        <v>Switch</v>
      </c>
      <c r="M485" s="419">
        <f t="shared" si="24"/>
        <v>0</v>
      </c>
      <c r="N485" s="419">
        <f t="shared" si="26"/>
        <v>0</v>
      </c>
      <c r="O485" s="419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1">
        <f>All_Detail_v2[[#This Row],[Scheduled Date]]</f>
        <v>46167</v>
      </c>
      <c r="S485" s="421">
        <f>All_Detail_v2[[#This Row],[Install Date]]</f>
        <v>0</v>
      </c>
    </row>
    <row r="486" spans="1:19">
      <c r="A486">
        <v>482</v>
      </c>
      <c r="B486" s="704" t="s">
        <v>626</v>
      </c>
      <c r="C486" s="705" t="s">
        <v>627</v>
      </c>
      <c r="D486" s="706" t="s">
        <v>675</v>
      </c>
      <c r="E486" s="706" t="s">
        <v>360</v>
      </c>
      <c r="F486" s="706">
        <v>1</v>
      </c>
      <c r="G486" s="706"/>
      <c r="H486" s="720"/>
      <c r="I486" s="720">
        <v>46167</v>
      </c>
      <c r="J486" s="706" t="s">
        <v>355</v>
      </c>
      <c r="K486" t="str">
        <f t="shared" si="25"/>
        <v>Switch</v>
      </c>
      <c r="M486" s="419">
        <f t="shared" si="24"/>
        <v>0</v>
      </c>
      <c r="N486" s="419">
        <f t="shared" si="26"/>
        <v>0</v>
      </c>
      <c r="O486" s="419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1">
        <f>All_Detail_v2[[#This Row],[Scheduled Date]]</f>
        <v>46167</v>
      </c>
      <c r="S486" s="421">
        <f>All_Detail_v2[[#This Row],[Install Date]]</f>
        <v>0</v>
      </c>
    </row>
    <row r="487" spans="1:19">
      <c r="A487">
        <v>483</v>
      </c>
      <c r="B487" s="704" t="s">
        <v>626</v>
      </c>
      <c r="C487" s="705" t="s">
        <v>627</v>
      </c>
      <c r="D487" s="706" t="s">
        <v>675</v>
      </c>
      <c r="E487" s="706" t="s">
        <v>365</v>
      </c>
      <c r="F487" s="706">
        <v>1</v>
      </c>
      <c r="G487" s="706"/>
      <c r="H487" s="720"/>
      <c r="I487" s="720">
        <v>46167</v>
      </c>
      <c r="J487" s="706" t="s">
        <v>355</v>
      </c>
      <c r="K487" t="str">
        <f t="shared" si="25"/>
        <v>Switch</v>
      </c>
      <c r="M487" s="419">
        <f t="shared" si="24"/>
        <v>0</v>
      </c>
      <c r="N487" s="419">
        <f t="shared" si="26"/>
        <v>0</v>
      </c>
      <c r="O487" s="419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1">
        <f>All_Detail_v2[[#This Row],[Scheduled Date]]</f>
        <v>46167</v>
      </c>
      <c r="S487" s="421">
        <f>All_Detail_v2[[#This Row],[Install Date]]</f>
        <v>0</v>
      </c>
    </row>
    <row r="488" spans="1:19">
      <c r="A488">
        <v>484</v>
      </c>
      <c r="B488" s="704" t="s">
        <v>626</v>
      </c>
      <c r="C488" s="705" t="s">
        <v>627</v>
      </c>
      <c r="D488" s="706" t="s">
        <v>675</v>
      </c>
      <c r="E488" s="706" t="s">
        <v>402</v>
      </c>
      <c r="F488" s="706">
        <v>1</v>
      </c>
      <c r="G488" s="706"/>
      <c r="H488" s="720"/>
      <c r="I488" s="720">
        <v>46167</v>
      </c>
      <c r="J488" s="706" t="s">
        <v>355</v>
      </c>
      <c r="K488" t="str">
        <f t="shared" si="25"/>
        <v>Switch</v>
      </c>
      <c r="M488" s="419">
        <f t="shared" si="24"/>
        <v>0</v>
      </c>
      <c r="N488" s="419">
        <f t="shared" si="26"/>
        <v>0</v>
      </c>
      <c r="O488" s="419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1">
        <f>All_Detail_v2[[#This Row],[Scheduled Date]]</f>
        <v>46167</v>
      </c>
      <c r="S488" s="421">
        <f>All_Detail_v2[[#This Row],[Install Date]]</f>
        <v>0</v>
      </c>
    </row>
    <row r="489" spans="1:19">
      <c r="A489">
        <v>485</v>
      </c>
      <c r="B489" s="704" t="s">
        <v>626</v>
      </c>
      <c r="C489" s="705" t="s">
        <v>627</v>
      </c>
      <c r="D489" s="706" t="s">
        <v>675</v>
      </c>
      <c r="E489" s="706" t="s">
        <v>400</v>
      </c>
      <c r="F489" s="706">
        <v>1</v>
      </c>
      <c r="G489" s="706"/>
      <c r="H489" s="720"/>
      <c r="I489" s="720">
        <v>46167</v>
      </c>
      <c r="J489" s="706" t="s">
        <v>355</v>
      </c>
      <c r="K489" t="str">
        <f t="shared" si="25"/>
        <v>Switch</v>
      </c>
      <c r="M489" s="419">
        <f t="shared" si="24"/>
        <v>0</v>
      </c>
      <c r="N489" s="419">
        <f t="shared" si="26"/>
        <v>0</v>
      </c>
      <c r="O489" s="419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1">
        <f>All_Detail_v2[[#This Row],[Scheduled Date]]</f>
        <v>46167</v>
      </c>
      <c r="S489" s="421">
        <f>All_Detail_v2[[#This Row],[Install Date]]</f>
        <v>0</v>
      </c>
    </row>
    <row r="490" spans="1:19">
      <c r="A490">
        <v>486</v>
      </c>
      <c r="B490" s="704" t="s">
        <v>626</v>
      </c>
      <c r="C490" s="705" t="s">
        <v>627</v>
      </c>
      <c r="D490" s="706" t="s">
        <v>676</v>
      </c>
      <c r="E490" s="706" t="s">
        <v>360</v>
      </c>
      <c r="F490" s="706">
        <v>2</v>
      </c>
      <c r="G490" s="706"/>
      <c r="H490" s="720"/>
      <c r="I490" s="720">
        <v>46168</v>
      </c>
      <c r="J490" s="706" t="s">
        <v>355</v>
      </c>
      <c r="K490" t="str">
        <f t="shared" si="25"/>
        <v>Switch</v>
      </c>
      <c r="M490" s="419">
        <f t="shared" si="24"/>
        <v>0</v>
      </c>
      <c r="N490" s="419">
        <f t="shared" si="26"/>
        <v>0</v>
      </c>
      <c r="O490" s="419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1">
        <f>All_Detail_v2[[#This Row],[Scheduled Date]]</f>
        <v>46168</v>
      </c>
      <c r="S490" s="421">
        <f>All_Detail_v2[[#This Row],[Install Date]]</f>
        <v>0</v>
      </c>
    </row>
    <row r="491" spans="1:19">
      <c r="A491">
        <v>487</v>
      </c>
      <c r="B491" s="704" t="s">
        <v>626</v>
      </c>
      <c r="C491" s="705" t="s">
        <v>627</v>
      </c>
      <c r="D491" s="706" t="s">
        <v>676</v>
      </c>
      <c r="E491" s="706" t="s">
        <v>365</v>
      </c>
      <c r="F491" s="706">
        <v>1</v>
      </c>
      <c r="G491" s="706"/>
      <c r="H491" s="720"/>
      <c r="I491" s="720">
        <v>46168</v>
      </c>
      <c r="J491" s="706" t="s">
        <v>355</v>
      </c>
      <c r="K491" t="str">
        <f t="shared" si="25"/>
        <v>Switch</v>
      </c>
      <c r="M491" s="419">
        <f t="shared" si="24"/>
        <v>0</v>
      </c>
      <c r="N491" s="419">
        <f t="shared" si="26"/>
        <v>0</v>
      </c>
      <c r="O491" s="419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1">
        <f>All_Detail_v2[[#This Row],[Scheduled Date]]</f>
        <v>46168</v>
      </c>
      <c r="S491" s="421">
        <f>All_Detail_v2[[#This Row],[Install Date]]</f>
        <v>0</v>
      </c>
    </row>
    <row r="492" spans="1:19">
      <c r="A492">
        <v>488</v>
      </c>
      <c r="B492" s="704" t="s">
        <v>626</v>
      </c>
      <c r="C492" s="705" t="s">
        <v>627</v>
      </c>
      <c r="D492" s="706" t="s">
        <v>676</v>
      </c>
      <c r="E492" s="706" t="s">
        <v>402</v>
      </c>
      <c r="F492" s="706">
        <v>1</v>
      </c>
      <c r="G492" s="706"/>
      <c r="H492" s="720"/>
      <c r="I492" s="720">
        <v>46168</v>
      </c>
      <c r="J492" s="706" t="s">
        <v>355</v>
      </c>
      <c r="K492" t="str">
        <f t="shared" si="25"/>
        <v>Switch</v>
      </c>
      <c r="M492" s="419">
        <f t="shared" si="24"/>
        <v>0</v>
      </c>
      <c r="N492" s="419">
        <f t="shared" si="26"/>
        <v>0</v>
      </c>
      <c r="O492" s="419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1">
        <f>All_Detail_v2[[#This Row],[Scheduled Date]]</f>
        <v>46168</v>
      </c>
      <c r="S492" s="421">
        <f>All_Detail_v2[[#This Row],[Install Date]]</f>
        <v>0</v>
      </c>
    </row>
    <row r="493" spans="1:19">
      <c r="A493">
        <v>489</v>
      </c>
      <c r="B493" s="704" t="s">
        <v>626</v>
      </c>
      <c r="C493" s="705" t="s">
        <v>627</v>
      </c>
      <c r="D493" s="706" t="s">
        <v>676</v>
      </c>
      <c r="E493" s="706" t="s">
        <v>400</v>
      </c>
      <c r="F493" s="706">
        <v>1</v>
      </c>
      <c r="G493" s="706"/>
      <c r="H493" s="720"/>
      <c r="I493" s="720">
        <v>46168</v>
      </c>
      <c r="J493" s="706" t="s">
        <v>355</v>
      </c>
      <c r="K493" t="str">
        <f t="shared" si="25"/>
        <v>Switch</v>
      </c>
      <c r="M493" s="419">
        <f t="shared" si="24"/>
        <v>0</v>
      </c>
      <c r="N493" s="419">
        <f t="shared" si="26"/>
        <v>0</v>
      </c>
      <c r="O493" s="419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1">
        <f>All_Detail_v2[[#This Row],[Scheduled Date]]</f>
        <v>46168</v>
      </c>
      <c r="S493" s="421">
        <f>All_Detail_v2[[#This Row],[Install Date]]</f>
        <v>0</v>
      </c>
    </row>
    <row r="494" spans="1:19">
      <c r="A494">
        <v>490</v>
      </c>
      <c r="B494" s="704" t="s">
        <v>626</v>
      </c>
      <c r="C494" s="705" t="s">
        <v>627</v>
      </c>
      <c r="D494" s="706" t="s">
        <v>677</v>
      </c>
      <c r="E494" s="706" t="s">
        <v>360</v>
      </c>
      <c r="F494" s="706">
        <v>1</v>
      </c>
      <c r="G494" s="706"/>
      <c r="H494" s="720"/>
      <c r="I494" s="720">
        <v>46168</v>
      </c>
      <c r="J494" s="706" t="s">
        <v>355</v>
      </c>
      <c r="K494" t="str">
        <f t="shared" si="25"/>
        <v>Switch</v>
      </c>
      <c r="M494" s="419">
        <f t="shared" si="24"/>
        <v>0</v>
      </c>
      <c r="N494" s="419">
        <f t="shared" si="26"/>
        <v>0</v>
      </c>
      <c r="O494" s="419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1">
        <f>All_Detail_v2[[#This Row],[Scheduled Date]]</f>
        <v>46168</v>
      </c>
      <c r="S494" s="421">
        <f>All_Detail_v2[[#This Row],[Install Date]]</f>
        <v>0</v>
      </c>
    </row>
    <row r="495" spans="1:19">
      <c r="A495">
        <v>491</v>
      </c>
      <c r="B495" s="704" t="s">
        <v>626</v>
      </c>
      <c r="C495" s="705" t="s">
        <v>627</v>
      </c>
      <c r="D495" s="706" t="s">
        <v>677</v>
      </c>
      <c r="E495" s="706" t="s">
        <v>365</v>
      </c>
      <c r="F495" s="706">
        <v>1</v>
      </c>
      <c r="G495" s="706"/>
      <c r="H495" s="720"/>
      <c r="I495" s="720">
        <v>46168</v>
      </c>
      <c r="J495" s="706" t="s">
        <v>355</v>
      </c>
      <c r="K495" t="str">
        <f t="shared" si="25"/>
        <v>Switch</v>
      </c>
      <c r="M495" s="419">
        <f t="shared" si="24"/>
        <v>0</v>
      </c>
      <c r="N495" s="419">
        <f t="shared" si="26"/>
        <v>0</v>
      </c>
      <c r="O495" s="419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1">
        <f>All_Detail_v2[[#This Row],[Scheduled Date]]</f>
        <v>46168</v>
      </c>
      <c r="S495" s="421">
        <f>All_Detail_v2[[#This Row],[Install Date]]</f>
        <v>0</v>
      </c>
    </row>
    <row r="496" spans="1:19">
      <c r="A496">
        <v>492</v>
      </c>
      <c r="B496" s="704" t="s">
        <v>626</v>
      </c>
      <c r="C496" s="705" t="s">
        <v>627</v>
      </c>
      <c r="D496" s="706" t="s">
        <v>678</v>
      </c>
      <c r="E496" s="706" t="s">
        <v>360</v>
      </c>
      <c r="F496" s="706">
        <v>1</v>
      </c>
      <c r="G496" s="706"/>
      <c r="H496" s="720"/>
      <c r="I496" s="720">
        <v>46168</v>
      </c>
      <c r="J496" s="706" t="s">
        <v>355</v>
      </c>
      <c r="K496" t="str">
        <f t="shared" si="25"/>
        <v>Switch</v>
      </c>
      <c r="M496" s="419">
        <f t="shared" si="24"/>
        <v>0</v>
      </c>
      <c r="N496" s="419">
        <f t="shared" si="26"/>
        <v>0</v>
      </c>
      <c r="O496" s="419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1">
        <f>All_Detail_v2[[#This Row],[Scheduled Date]]</f>
        <v>46168</v>
      </c>
      <c r="S496" s="421">
        <f>All_Detail_v2[[#This Row],[Install Date]]</f>
        <v>0</v>
      </c>
    </row>
    <row r="497" spans="1:19">
      <c r="A497">
        <v>493</v>
      </c>
      <c r="B497" s="704" t="s">
        <v>626</v>
      </c>
      <c r="C497" s="705" t="s">
        <v>627</v>
      </c>
      <c r="D497" s="706" t="s">
        <v>679</v>
      </c>
      <c r="E497" s="706" t="s">
        <v>360</v>
      </c>
      <c r="F497" s="706">
        <v>1</v>
      </c>
      <c r="G497" s="706"/>
      <c r="H497" s="720"/>
      <c r="I497" s="720">
        <v>46168</v>
      </c>
      <c r="J497" s="706" t="s">
        <v>355</v>
      </c>
      <c r="K497" t="str">
        <f t="shared" si="25"/>
        <v>Switch</v>
      </c>
      <c r="M497" s="419">
        <f t="shared" si="24"/>
        <v>0</v>
      </c>
      <c r="N497" s="419">
        <f t="shared" si="26"/>
        <v>0</v>
      </c>
      <c r="O497" s="419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1">
        <f>All_Detail_v2[[#This Row],[Scheduled Date]]</f>
        <v>46168</v>
      </c>
      <c r="S497" s="421">
        <f>All_Detail_v2[[#This Row],[Install Date]]</f>
        <v>0</v>
      </c>
    </row>
    <row r="498" spans="1:19">
      <c r="A498">
        <v>494</v>
      </c>
      <c r="B498" s="704" t="s">
        <v>626</v>
      </c>
      <c r="C498" s="705" t="s">
        <v>627</v>
      </c>
      <c r="D498" s="706" t="s">
        <v>680</v>
      </c>
      <c r="E498" s="706" t="s">
        <v>360</v>
      </c>
      <c r="F498" s="706">
        <v>1</v>
      </c>
      <c r="G498" s="706"/>
      <c r="H498" s="720"/>
      <c r="I498" s="720">
        <v>46168</v>
      </c>
      <c r="J498" s="706" t="s">
        <v>355</v>
      </c>
      <c r="K498" t="str">
        <f t="shared" si="25"/>
        <v>Switch</v>
      </c>
      <c r="M498" s="419">
        <f t="shared" si="24"/>
        <v>0</v>
      </c>
      <c r="N498" s="419">
        <f t="shared" si="26"/>
        <v>0</v>
      </c>
      <c r="O498" s="419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1">
        <f>All_Detail_v2[[#This Row],[Scheduled Date]]</f>
        <v>46168</v>
      </c>
      <c r="S498" s="421">
        <f>All_Detail_v2[[#This Row],[Install Date]]</f>
        <v>0</v>
      </c>
    </row>
    <row r="499" spans="1:19">
      <c r="A499">
        <v>495</v>
      </c>
      <c r="B499" s="704" t="s">
        <v>626</v>
      </c>
      <c r="C499" s="705" t="s">
        <v>627</v>
      </c>
      <c r="D499" s="706" t="s">
        <v>681</v>
      </c>
      <c r="E499" s="706" t="s">
        <v>360</v>
      </c>
      <c r="F499" s="706">
        <v>1</v>
      </c>
      <c r="G499" s="706"/>
      <c r="H499" s="720"/>
      <c r="I499" s="720">
        <v>46169</v>
      </c>
      <c r="J499" s="706" t="s">
        <v>355</v>
      </c>
      <c r="K499" t="str">
        <f t="shared" si="25"/>
        <v>Switch</v>
      </c>
      <c r="M499" s="419">
        <f t="shared" si="24"/>
        <v>0</v>
      </c>
      <c r="N499" s="419">
        <f t="shared" si="26"/>
        <v>0</v>
      </c>
      <c r="O499" s="419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1">
        <f>All_Detail_v2[[#This Row],[Scheduled Date]]</f>
        <v>46169</v>
      </c>
      <c r="S499" s="421">
        <f>All_Detail_v2[[#This Row],[Install Date]]</f>
        <v>0</v>
      </c>
    </row>
    <row r="500" spans="1:19">
      <c r="A500">
        <v>496</v>
      </c>
      <c r="B500" s="704" t="s">
        <v>626</v>
      </c>
      <c r="C500" s="705" t="s">
        <v>627</v>
      </c>
      <c r="D500" s="706" t="s">
        <v>682</v>
      </c>
      <c r="E500" s="706" t="s">
        <v>360</v>
      </c>
      <c r="F500" s="706">
        <v>1</v>
      </c>
      <c r="G500" s="706"/>
      <c r="H500" s="720"/>
      <c r="I500" s="720">
        <v>46169</v>
      </c>
      <c r="J500" s="706" t="s">
        <v>355</v>
      </c>
      <c r="K500" t="str">
        <f t="shared" si="25"/>
        <v>Switch</v>
      </c>
      <c r="M500" s="419">
        <f t="shared" si="24"/>
        <v>0</v>
      </c>
      <c r="N500" s="419">
        <f t="shared" si="26"/>
        <v>0</v>
      </c>
      <c r="O500" s="419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1">
        <f>All_Detail_v2[[#This Row],[Scheduled Date]]</f>
        <v>46169</v>
      </c>
      <c r="S500" s="421">
        <f>All_Detail_v2[[#This Row],[Install Date]]</f>
        <v>0</v>
      </c>
    </row>
    <row r="501" spans="1:19">
      <c r="A501">
        <v>497</v>
      </c>
      <c r="B501" s="704" t="s">
        <v>626</v>
      </c>
      <c r="C501" s="705" t="s">
        <v>627</v>
      </c>
      <c r="D501" s="706" t="s">
        <v>683</v>
      </c>
      <c r="E501" s="706" t="s">
        <v>360</v>
      </c>
      <c r="F501" s="706">
        <v>1</v>
      </c>
      <c r="G501" s="706"/>
      <c r="H501" s="720"/>
      <c r="I501" s="720">
        <v>46169</v>
      </c>
      <c r="J501" s="706" t="s">
        <v>355</v>
      </c>
      <c r="K501" t="str">
        <f t="shared" si="25"/>
        <v>Switch</v>
      </c>
      <c r="M501" s="419">
        <f t="shared" si="24"/>
        <v>0</v>
      </c>
      <c r="N501" s="419">
        <f t="shared" si="26"/>
        <v>0</v>
      </c>
      <c r="O501" s="419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1">
        <f>All_Detail_v2[[#This Row],[Scheduled Date]]</f>
        <v>46169</v>
      </c>
      <c r="S501" s="421">
        <f>All_Detail_v2[[#This Row],[Install Date]]</f>
        <v>0</v>
      </c>
    </row>
    <row r="502" spans="1:19">
      <c r="A502">
        <v>498</v>
      </c>
      <c r="B502" s="704" t="s">
        <v>626</v>
      </c>
      <c r="C502" s="705" t="s">
        <v>627</v>
      </c>
      <c r="D502" s="706" t="s">
        <v>683</v>
      </c>
      <c r="E502" s="706" t="s">
        <v>365</v>
      </c>
      <c r="F502" s="706">
        <v>1</v>
      </c>
      <c r="G502" s="706"/>
      <c r="H502" s="720"/>
      <c r="I502" s="720">
        <v>46169</v>
      </c>
      <c r="J502" s="706" t="s">
        <v>355</v>
      </c>
      <c r="K502" t="str">
        <f t="shared" si="25"/>
        <v>Switch</v>
      </c>
      <c r="M502" s="419">
        <f t="shared" si="24"/>
        <v>0</v>
      </c>
      <c r="N502" s="419">
        <f t="shared" si="26"/>
        <v>0</v>
      </c>
      <c r="O502" s="419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1">
        <f>All_Detail_v2[[#This Row],[Scheduled Date]]</f>
        <v>46169</v>
      </c>
      <c r="S502" s="421">
        <f>All_Detail_v2[[#This Row],[Install Date]]</f>
        <v>0</v>
      </c>
    </row>
    <row r="503" spans="1:19">
      <c r="A503">
        <v>499</v>
      </c>
      <c r="B503" s="704" t="s">
        <v>626</v>
      </c>
      <c r="C503" s="706" t="s">
        <v>684</v>
      </c>
      <c r="D503" s="706" t="s">
        <v>685</v>
      </c>
      <c r="E503" s="706" t="s">
        <v>364</v>
      </c>
      <c r="F503" s="706">
        <v>3</v>
      </c>
      <c r="G503" s="706"/>
      <c r="H503" s="720"/>
      <c r="I503" s="720">
        <v>46139</v>
      </c>
      <c r="J503" s="706" t="s">
        <v>355</v>
      </c>
      <c r="K503" t="str">
        <f t="shared" si="25"/>
        <v>Switch</v>
      </c>
      <c r="M503" s="419">
        <f t="shared" si="24"/>
        <v>0</v>
      </c>
      <c r="N503" s="419">
        <f t="shared" si="26"/>
        <v>0</v>
      </c>
      <c r="O503" s="419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1">
        <f>All_Detail_v2[[#This Row],[Scheduled Date]]</f>
        <v>46139</v>
      </c>
      <c r="S503" s="421">
        <f>All_Detail_v2[[#This Row],[Install Date]]</f>
        <v>0</v>
      </c>
    </row>
    <row r="504" spans="1:19">
      <c r="A504">
        <v>500</v>
      </c>
      <c r="B504" s="704" t="s">
        <v>626</v>
      </c>
      <c r="C504" s="706" t="s">
        <v>684</v>
      </c>
      <c r="D504" s="706" t="s">
        <v>685</v>
      </c>
      <c r="E504" s="706" t="s">
        <v>360</v>
      </c>
      <c r="F504" s="706">
        <v>23</v>
      </c>
      <c r="G504" s="706"/>
      <c r="H504" s="720"/>
      <c r="I504" s="720">
        <v>46139</v>
      </c>
      <c r="J504" s="706" t="s">
        <v>355</v>
      </c>
      <c r="K504" t="str">
        <f t="shared" si="25"/>
        <v>Switch</v>
      </c>
      <c r="M504" s="419">
        <f t="shared" si="24"/>
        <v>0</v>
      </c>
      <c r="N504" s="419">
        <f t="shared" si="26"/>
        <v>0</v>
      </c>
      <c r="O504" s="419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1">
        <f>All_Detail_v2[[#This Row],[Scheduled Date]]</f>
        <v>46139</v>
      </c>
      <c r="S504" s="421">
        <f>All_Detail_v2[[#This Row],[Install Date]]</f>
        <v>0</v>
      </c>
    </row>
    <row r="505" spans="1:19">
      <c r="A505">
        <v>501</v>
      </c>
      <c r="B505" s="704" t="s">
        <v>626</v>
      </c>
      <c r="C505" s="706" t="s">
        <v>684</v>
      </c>
      <c r="D505" s="706" t="s">
        <v>685</v>
      </c>
      <c r="E505" s="706" t="s">
        <v>357</v>
      </c>
      <c r="F505" s="706">
        <v>3</v>
      </c>
      <c r="G505" s="706"/>
      <c r="H505" s="720"/>
      <c r="I505" s="720">
        <v>46139</v>
      </c>
      <c r="J505" s="706" t="s">
        <v>355</v>
      </c>
      <c r="K505" t="str">
        <f t="shared" si="25"/>
        <v>Switch</v>
      </c>
      <c r="M505" s="419">
        <f t="shared" si="24"/>
        <v>0</v>
      </c>
      <c r="N505" s="419">
        <f t="shared" si="26"/>
        <v>0</v>
      </c>
      <c r="O505" s="419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1">
        <f>All_Detail_v2[[#This Row],[Scheduled Date]]</f>
        <v>46139</v>
      </c>
      <c r="S505" s="421">
        <f>All_Detail_v2[[#This Row],[Install Date]]</f>
        <v>0</v>
      </c>
    </row>
    <row r="506" spans="1:19">
      <c r="A506">
        <v>502</v>
      </c>
      <c r="B506" s="704" t="s">
        <v>626</v>
      </c>
      <c r="C506" s="706" t="s">
        <v>684</v>
      </c>
      <c r="D506" s="706" t="s">
        <v>685</v>
      </c>
      <c r="E506" s="706" t="s">
        <v>365</v>
      </c>
      <c r="F506" s="706">
        <v>9</v>
      </c>
      <c r="G506" s="706"/>
      <c r="H506" s="720"/>
      <c r="I506" s="720">
        <v>46139</v>
      </c>
      <c r="J506" s="706" t="s">
        <v>355</v>
      </c>
      <c r="K506" t="str">
        <f t="shared" si="25"/>
        <v>Switch</v>
      </c>
      <c r="M506" s="419">
        <f t="shared" si="24"/>
        <v>0</v>
      </c>
      <c r="N506" s="419">
        <f t="shared" si="26"/>
        <v>0</v>
      </c>
      <c r="O506" s="419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1">
        <f>All_Detail_v2[[#This Row],[Scheduled Date]]</f>
        <v>46139</v>
      </c>
      <c r="S506" s="421">
        <f>All_Detail_v2[[#This Row],[Install Date]]</f>
        <v>0</v>
      </c>
    </row>
    <row r="507" spans="1:19">
      <c r="A507">
        <v>503</v>
      </c>
      <c r="B507" s="704" t="s">
        <v>626</v>
      </c>
      <c r="C507" s="706" t="s">
        <v>684</v>
      </c>
      <c r="D507" s="706" t="s">
        <v>685</v>
      </c>
      <c r="E507" s="706" t="s">
        <v>400</v>
      </c>
      <c r="F507" s="706">
        <v>1</v>
      </c>
      <c r="G507" s="706"/>
      <c r="H507" s="720"/>
      <c r="I507" s="720">
        <v>46139</v>
      </c>
      <c r="J507" s="706" t="s">
        <v>355</v>
      </c>
      <c r="K507" t="str">
        <f t="shared" si="25"/>
        <v>Switch</v>
      </c>
      <c r="M507" s="419">
        <f t="shared" si="24"/>
        <v>0</v>
      </c>
      <c r="N507" s="419">
        <f t="shared" si="26"/>
        <v>0</v>
      </c>
      <c r="O507" s="419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1">
        <f>All_Detail_v2[[#This Row],[Scheduled Date]]</f>
        <v>46139</v>
      </c>
      <c r="S507" s="421">
        <f>All_Detail_v2[[#This Row],[Install Date]]</f>
        <v>0</v>
      </c>
    </row>
    <row r="508" spans="1:19">
      <c r="A508">
        <v>504</v>
      </c>
      <c r="B508" s="704" t="s">
        <v>626</v>
      </c>
      <c r="C508" s="706" t="s">
        <v>684</v>
      </c>
      <c r="D508" s="706" t="s">
        <v>686</v>
      </c>
      <c r="E508" s="706" t="s">
        <v>360</v>
      </c>
      <c r="F508" s="706">
        <v>1</v>
      </c>
      <c r="G508" s="706"/>
      <c r="H508" s="720"/>
      <c r="I508" s="720">
        <v>46142</v>
      </c>
      <c r="J508" s="706" t="s">
        <v>355</v>
      </c>
      <c r="K508" t="str">
        <f t="shared" si="25"/>
        <v>Switch</v>
      </c>
      <c r="M508" s="419">
        <f t="shared" si="24"/>
        <v>0</v>
      </c>
      <c r="N508" s="419">
        <f t="shared" si="26"/>
        <v>0</v>
      </c>
      <c r="O508" s="419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1">
        <f>All_Detail_v2[[#This Row],[Scheduled Date]]</f>
        <v>46142</v>
      </c>
      <c r="S508" s="421">
        <f>All_Detail_v2[[#This Row],[Install Date]]</f>
        <v>0</v>
      </c>
    </row>
    <row r="509" spans="1:19">
      <c r="A509">
        <v>505</v>
      </c>
      <c r="B509" s="704" t="s">
        <v>626</v>
      </c>
      <c r="C509" s="706" t="s">
        <v>684</v>
      </c>
      <c r="D509" s="706" t="s">
        <v>686</v>
      </c>
      <c r="E509" s="706" t="s">
        <v>365</v>
      </c>
      <c r="F509" s="706">
        <v>1</v>
      </c>
      <c r="G509" s="706"/>
      <c r="H509" s="720"/>
      <c r="I509" s="720">
        <v>46142</v>
      </c>
      <c r="J509" s="706" t="s">
        <v>355</v>
      </c>
      <c r="K509" t="str">
        <f t="shared" si="25"/>
        <v>Switch</v>
      </c>
      <c r="M509" s="419">
        <f t="shared" si="24"/>
        <v>0</v>
      </c>
      <c r="N509" s="419">
        <f t="shared" si="26"/>
        <v>0</v>
      </c>
      <c r="O509" s="419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1">
        <f>All_Detail_v2[[#This Row],[Scheduled Date]]</f>
        <v>46142</v>
      </c>
      <c r="S509" s="421">
        <f>All_Detail_v2[[#This Row],[Install Date]]</f>
        <v>0</v>
      </c>
    </row>
    <row r="510" spans="1:19">
      <c r="A510">
        <v>506</v>
      </c>
      <c r="B510" s="704" t="s">
        <v>626</v>
      </c>
      <c r="C510" s="706" t="s">
        <v>684</v>
      </c>
      <c r="D510" s="706" t="s">
        <v>687</v>
      </c>
      <c r="E510" s="706" t="s">
        <v>360</v>
      </c>
      <c r="F510" s="706">
        <v>2</v>
      </c>
      <c r="G510" s="706"/>
      <c r="H510" s="720"/>
      <c r="I510" s="720">
        <v>46142</v>
      </c>
      <c r="J510" s="706" t="s">
        <v>355</v>
      </c>
      <c r="K510" t="str">
        <f t="shared" si="25"/>
        <v>Switch</v>
      </c>
      <c r="M510" s="419">
        <f t="shared" si="24"/>
        <v>0</v>
      </c>
      <c r="N510" s="419">
        <f t="shared" si="26"/>
        <v>0</v>
      </c>
      <c r="O510" s="419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1">
        <f>All_Detail_v2[[#This Row],[Scheduled Date]]</f>
        <v>46142</v>
      </c>
      <c r="S510" s="421">
        <f>All_Detail_v2[[#This Row],[Install Date]]</f>
        <v>0</v>
      </c>
    </row>
    <row r="511" spans="1:19">
      <c r="A511">
        <v>507</v>
      </c>
      <c r="B511" s="704" t="s">
        <v>626</v>
      </c>
      <c r="C511" s="706" t="s">
        <v>684</v>
      </c>
      <c r="D511" s="706" t="s">
        <v>687</v>
      </c>
      <c r="E511" s="706" t="s">
        <v>365</v>
      </c>
      <c r="F511" s="706">
        <v>1</v>
      </c>
      <c r="G511" s="706"/>
      <c r="H511" s="720"/>
      <c r="I511" s="720">
        <v>46142</v>
      </c>
      <c r="J511" s="706" t="s">
        <v>355</v>
      </c>
      <c r="K511" t="str">
        <f t="shared" si="25"/>
        <v>Switch</v>
      </c>
      <c r="M511" s="419">
        <f t="shared" si="24"/>
        <v>0</v>
      </c>
      <c r="N511" s="419">
        <f t="shared" si="26"/>
        <v>0</v>
      </c>
      <c r="O511" s="419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1">
        <f>All_Detail_v2[[#This Row],[Scheduled Date]]</f>
        <v>46142</v>
      </c>
      <c r="S511" s="421">
        <f>All_Detail_v2[[#This Row],[Install Date]]</f>
        <v>0</v>
      </c>
    </row>
    <row r="512" spans="1:19">
      <c r="A512">
        <v>508</v>
      </c>
      <c r="B512" s="704" t="s">
        <v>626</v>
      </c>
      <c r="C512" s="706" t="s">
        <v>688</v>
      </c>
      <c r="D512" s="706" t="s">
        <v>689</v>
      </c>
      <c r="E512" s="706" t="s">
        <v>364</v>
      </c>
      <c r="F512" s="706">
        <v>3</v>
      </c>
      <c r="G512" s="706"/>
      <c r="H512" s="720"/>
      <c r="I512" s="720">
        <v>46147</v>
      </c>
      <c r="J512" s="706" t="s">
        <v>355</v>
      </c>
      <c r="K512" t="str">
        <f t="shared" si="25"/>
        <v>Switch</v>
      </c>
      <c r="M512" s="419">
        <f t="shared" si="24"/>
        <v>0</v>
      </c>
      <c r="N512" s="419">
        <f t="shared" si="26"/>
        <v>0</v>
      </c>
      <c r="O512" s="419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1">
        <f>All_Detail_v2[[#This Row],[Scheduled Date]]</f>
        <v>46147</v>
      </c>
      <c r="S512" s="421">
        <f>All_Detail_v2[[#This Row],[Install Date]]</f>
        <v>0</v>
      </c>
    </row>
    <row r="513" spans="1:19">
      <c r="A513">
        <v>509</v>
      </c>
      <c r="B513" s="704" t="s">
        <v>626</v>
      </c>
      <c r="C513" s="706" t="s">
        <v>688</v>
      </c>
      <c r="D513" s="706" t="s">
        <v>689</v>
      </c>
      <c r="E513" s="706" t="s">
        <v>360</v>
      </c>
      <c r="F513" s="706">
        <v>17</v>
      </c>
      <c r="G513" s="706"/>
      <c r="H513" s="720"/>
      <c r="I513" s="720">
        <v>46147</v>
      </c>
      <c r="J513" s="706" t="s">
        <v>355</v>
      </c>
      <c r="K513" t="str">
        <f t="shared" si="25"/>
        <v>Switch</v>
      </c>
      <c r="M513" s="419">
        <f t="shared" si="24"/>
        <v>0</v>
      </c>
      <c r="N513" s="419">
        <f t="shared" si="26"/>
        <v>0</v>
      </c>
      <c r="O513" s="419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1">
        <f>All_Detail_v2[[#This Row],[Scheduled Date]]</f>
        <v>46147</v>
      </c>
      <c r="S513" s="421">
        <f>All_Detail_v2[[#This Row],[Install Date]]</f>
        <v>0</v>
      </c>
    </row>
    <row r="514" spans="1:19">
      <c r="A514">
        <v>510</v>
      </c>
      <c r="B514" s="704" t="s">
        <v>626</v>
      </c>
      <c r="C514" s="706" t="s">
        <v>688</v>
      </c>
      <c r="D514" s="706" t="s">
        <v>689</v>
      </c>
      <c r="E514" s="706" t="s">
        <v>357</v>
      </c>
      <c r="F514" s="706">
        <v>4</v>
      </c>
      <c r="G514" s="706"/>
      <c r="H514" s="720"/>
      <c r="I514" s="720">
        <v>46147</v>
      </c>
      <c r="J514" s="706" t="s">
        <v>355</v>
      </c>
      <c r="K514" t="str">
        <f t="shared" si="25"/>
        <v>Switch</v>
      </c>
      <c r="M514" s="419">
        <f t="shared" ref="M514:M577" si="27">O514</f>
        <v>0</v>
      </c>
      <c r="N514" s="419">
        <f t="shared" si="26"/>
        <v>0</v>
      </c>
      <c r="O514" s="419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1">
        <f>All_Detail_v2[[#This Row],[Scheduled Date]]</f>
        <v>46147</v>
      </c>
      <c r="S514" s="421">
        <f>All_Detail_v2[[#This Row],[Install Date]]</f>
        <v>0</v>
      </c>
    </row>
    <row r="515" spans="1:19">
      <c r="A515">
        <v>511</v>
      </c>
      <c r="B515" s="704" t="s">
        <v>626</v>
      </c>
      <c r="C515" s="706" t="s">
        <v>688</v>
      </c>
      <c r="D515" s="706" t="s">
        <v>689</v>
      </c>
      <c r="E515" s="706" t="s">
        <v>365</v>
      </c>
      <c r="F515" s="706">
        <v>12</v>
      </c>
      <c r="G515" s="706"/>
      <c r="H515" s="720"/>
      <c r="I515" s="720">
        <v>46147</v>
      </c>
      <c r="J515" s="706" t="s">
        <v>355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9">
        <f t="shared" si="27"/>
        <v>0</v>
      </c>
      <c r="N515" s="419">
        <f t="shared" si="26"/>
        <v>0</v>
      </c>
      <c r="O515" s="419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1">
        <f>All_Detail_v2[[#This Row],[Scheduled Date]]</f>
        <v>46147</v>
      </c>
      <c r="S515" s="421">
        <f>All_Detail_v2[[#This Row],[Install Date]]</f>
        <v>0</v>
      </c>
    </row>
    <row r="516" spans="1:19">
      <c r="A516">
        <v>512</v>
      </c>
      <c r="B516" s="704" t="s">
        <v>626</v>
      </c>
      <c r="C516" s="706" t="s">
        <v>688</v>
      </c>
      <c r="D516" s="706" t="s">
        <v>689</v>
      </c>
      <c r="E516" s="706" t="s">
        <v>400</v>
      </c>
      <c r="F516" s="706">
        <v>1</v>
      </c>
      <c r="G516" s="706"/>
      <c r="H516" s="720"/>
      <c r="I516" s="720">
        <v>46147</v>
      </c>
      <c r="J516" s="706" t="s">
        <v>355</v>
      </c>
      <c r="K516" t="str">
        <f t="shared" si="28"/>
        <v>Switch</v>
      </c>
      <c r="M516" s="419">
        <f t="shared" si="27"/>
        <v>0</v>
      </c>
      <c r="N516" s="419">
        <f t="shared" si="26"/>
        <v>0</v>
      </c>
      <c r="O516" s="419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1">
        <f>All_Detail_v2[[#This Row],[Scheduled Date]]</f>
        <v>46147</v>
      </c>
      <c r="S516" s="421">
        <f>All_Detail_v2[[#This Row],[Install Date]]</f>
        <v>0</v>
      </c>
    </row>
    <row r="517" spans="1:19">
      <c r="A517">
        <v>513</v>
      </c>
      <c r="B517" s="704" t="s">
        <v>626</v>
      </c>
      <c r="C517" s="706" t="s">
        <v>688</v>
      </c>
      <c r="D517" s="706" t="s">
        <v>690</v>
      </c>
      <c r="E517" s="706" t="s">
        <v>360</v>
      </c>
      <c r="F517" s="706">
        <v>1</v>
      </c>
      <c r="G517" s="706"/>
      <c r="H517" s="720"/>
      <c r="I517" s="720">
        <v>46150</v>
      </c>
      <c r="J517" s="706" t="s">
        <v>355</v>
      </c>
      <c r="K517" t="str">
        <f t="shared" si="28"/>
        <v>Switch</v>
      </c>
      <c r="M517" s="419">
        <f t="shared" si="27"/>
        <v>0</v>
      </c>
      <c r="N517" s="419">
        <f t="shared" si="26"/>
        <v>0</v>
      </c>
      <c r="O517" s="419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1">
        <f>All_Detail_v2[[#This Row],[Scheduled Date]]</f>
        <v>46150</v>
      </c>
      <c r="S517" s="421">
        <f>All_Detail_v2[[#This Row],[Install Date]]</f>
        <v>0</v>
      </c>
    </row>
    <row r="518" spans="1:19">
      <c r="A518">
        <v>514</v>
      </c>
      <c r="B518" s="704" t="s">
        <v>626</v>
      </c>
      <c r="C518" s="706" t="s">
        <v>688</v>
      </c>
      <c r="D518" s="706" t="s">
        <v>690</v>
      </c>
      <c r="E518" s="706" t="s">
        <v>365</v>
      </c>
      <c r="F518" s="706">
        <v>1</v>
      </c>
      <c r="G518" s="706"/>
      <c r="H518" s="720"/>
      <c r="I518" s="720">
        <v>46150</v>
      </c>
      <c r="J518" s="706" t="s">
        <v>355</v>
      </c>
      <c r="K518" t="str">
        <f t="shared" si="28"/>
        <v>Switch</v>
      </c>
      <c r="M518" s="419">
        <f t="shared" si="27"/>
        <v>0</v>
      </c>
      <c r="N518" s="419">
        <f t="shared" ref="N518:N581" si="29">O518</f>
        <v>0</v>
      </c>
      <c r="O518" s="419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1">
        <f>All_Detail_v2[[#This Row],[Scheduled Date]]</f>
        <v>46150</v>
      </c>
      <c r="S518" s="421">
        <f>All_Detail_v2[[#This Row],[Install Date]]</f>
        <v>0</v>
      </c>
    </row>
    <row r="519" spans="1:19">
      <c r="A519">
        <v>515</v>
      </c>
      <c r="B519" s="704" t="s">
        <v>626</v>
      </c>
      <c r="C519" s="705" t="s">
        <v>691</v>
      </c>
      <c r="D519" s="705" t="s">
        <v>692</v>
      </c>
      <c r="E519" s="706" t="s">
        <v>360</v>
      </c>
      <c r="F519" s="706">
        <v>1</v>
      </c>
      <c r="G519" s="706"/>
      <c r="H519" s="720"/>
      <c r="I519" s="720">
        <v>46150</v>
      </c>
      <c r="J519" s="706" t="s">
        <v>355</v>
      </c>
      <c r="K519" t="str">
        <f t="shared" si="28"/>
        <v>Switch</v>
      </c>
      <c r="M519" s="419">
        <f t="shared" si="27"/>
        <v>0</v>
      </c>
      <c r="N519" s="419">
        <f t="shared" si="29"/>
        <v>0</v>
      </c>
      <c r="O519" s="419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1">
        <f>All_Detail_v2[[#This Row],[Scheduled Date]]</f>
        <v>46150</v>
      </c>
      <c r="S519" s="421">
        <f>All_Detail_v2[[#This Row],[Install Date]]</f>
        <v>0</v>
      </c>
    </row>
    <row r="520" spans="1:19">
      <c r="A520">
        <v>516</v>
      </c>
      <c r="B520" s="704" t="s">
        <v>626</v>
      </c>
      <c r="C520" s="705" t="s">
        <v>691</v>
      </c>
      <c r="D520" s="705" t="s">
        <v>692</v>
      </c>
      <c r="E520" s="706" t="s">
        <v>365</v>
      </c>
      <c r="F520" s="706">
        <v>2</v>
      </c>
      <c r="G520" s="706"/>
      <c r="H520" s="720"/>
      <c r="I520" s="720">
        <v>46150</v>
      </c>
      <c r="J520" s="706" t="s">
        <v>355</v>
      </c>
      <c r="K520" t="str">
        <f t="shared" si="28"/>
        <v>Switch</v>
      </c>
      <c r="M520" s="419">
        <f t="shared" si="27"/>
        <v>0</v>
      </c>
      <c r="N520" s="419">
        <f t="shared" si="29"/>
        <v>0</v>
      </c>
      <c r="O520" s="419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1">
        <f>All_Detail_v2[[#This Row],[Scheduled Date]]</f>
        <v>46150</v>
      </c>
      <c r="S520" s="421">
        <f>All_Detail_v2[[#This Row],[Install Date]]</f>
        <v>0</v>
      </c>
    </row>
    <row r="521" spans="1:19">
      <c r="A521">
        <v>517</v>
      </c>
      <c r="B521" s="704" t="s">
        <v>626</v>
      </c>
      <c r="C521" s="705" t="s">
        <v>691</v>
      </c>
      <c r="D521" s="705" t="s">
        <v>693</v>
      </c>
      <c r="E521" s="706" t="s">
        <v>360</v>
      </c>
      <c r="F521" s="706">
        <v>2</v>
      </c>
      <c r="G521" s="706"/>
      <c r="H521" s="720"/>
      <c r="I521" s="720">
        <v>46150</v>
      </c>
      <c r="J521" s="706" t="s">
        <v>355</v>
      </c>
      <c r="K521" t="str">
        <f t="shared" si="28"/>
        <v>Switch</v>
      </c>
      <c r="M521" s="419">
        <f t="shared" si="27"/>
        <v>0</v>
      </c>
      <c r="N521" s="419">
        <f t="shared" si="29"/>
        <v>0</v>
      </c>
      <c r="O521" s="419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1">
        <f>All_Detail_v2[[#This Row],[Scheduled Date]]</f>
        <v>46150</v>
      </c>
      <c r="S521" s="421">
        <f>All_Detail_v2[[#This Row],[Install Date]]</f>
        <v>0</v>
      </c>
    </row>
    <row r="522" spans="1:19">
      <c r="A522">
        <v>518</v>
      </c>
      <c r="B522" s="704" t="s">
        <v>626</v>
      </c>
      <c r="C522" s="705" t="s">
        <v>691</v>
      </c>
      <c r="D522" s="705" t="s">
        <v>693</v>
      </c>
      <c r="E522" s="706" t="s">
        <v>365</v>
      </c>
      <c r="F522" s="706">
        <v>1</v>
      </c>
      <c r="G522" s="706"/>
      <c r="H522" s="720"/>
      <c r="I522" s="720">
        <v>46150</v>
      </c>
      <c r="J522" s="706" t="s">
        <v>355</v>
      </c>
      <c r="K522" t="str">
        <f t="shared" si="28"/>
        <v>Switch</v>
      </c>
      <c r="M522" s="419">
        <f t="shared" si="27"/>
        <v>0</v>
      </c>
      <c r="N522" s="419">
        <f t="shared" si="29"/>
        <v>0</v>
      </c>
      <c r="O522" s="419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1">
        <f>All_Detail_v2[[#This Row],[Scheduled Date]]</f>
        <v>46150</v>
      </c>
      <c r="S522" s="421">
        <f>All_Detail_v2[[#This Row],[Install Date]]</f>
        <v>0</v>
      </c>
    </row>
    <row r="523" spans="1:19">
      <c r="A523">
        <v>519</v>
      </c>
      <c r="B523" s="704" t="s">
        <v>626</v>
      </c>
      <c r="C523" s="705" t="s">
        <v>691</v>
      </c>
      <c r="D523" s="705" t="s">
        <v>693</v>
      </c>
      <c r="E523" s="706" t="s">
        <v>400</v>
      </c>
      <c r="F523" s="706">
        <v>2</v>
      </c>
      <c r="G523" s="706"/>
      <c r="H523" s="720"/>
      <c r="I523" s="720">
        <v>46150</v>
      </c>
      <c r="J523" s="706" t="s">
        <v>355</v>
      </c>
      <c r="K523" t="str">
        <f t="shared" si="28"/>
        <v>Switch</v>
      </c>
      <c r="M523" s="419">
        <f t="shared" si="27"/>
        <v>0</v>
      </c>
      <c r="N523" s="419">
        <f t="shared" si="29"/>
        <v>0</v>
      </c>
      <c r="O523" s="419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1">
        <f>All_Detail_v2[[#This Row],[Scheduled Date]]</f>
        <v>46150</v>
      </c>
      <c r="S523" s="421">
        <f>All_Detail_v2[[#This Row],[Install Date]]</f>
        <v>0</v>
      </c>
    </row>
    <row r="524" spans="1:19">
      <c r="A524">
        <v>520</v>
      </c>
      <c r="B524" s="704" t="s">
        <v>626</v>
      </c>
      <c r="C524" s="706" t="s">
        <v>694</v>
      </c>
      <c r="D524" s="706" t="s">
        <v>626</v>
      </c>
      <c r="E524" s="706" t="s">
        <v>408</v>
      </c>
      <c r="F524" s="706">
        <v>2</v>
      </c>
      <c r="G524" s="706"/>
      <c r="H524" s="720"/>
      <c r="I524" s="720">
        <v>46150</v>
      </c>
      <c r="J524" s="706" t="s">
        <v>355</v>
      </c>
      <c r="K524" t="str">
        <f t="shared" si="28"/>
        <v>Switch</v>
      </c>
      <c r="M524" s="419">
        <f t="shared" si="27"/>
        <v>0</v>
      </c>
      <c r="N524" s="419">
        <f t="shared" si="29"/>
        <v>0</v>
      </c>
      <c r="O524" s="419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1">
        <f>All_Detail_v2[[#This Row],[Scheduled Date]]</f>
        <v>46150</v>
      </c>
      <c r="S524" s="421">
        <f>All_Detail_v2[[#This Row],[Install Date]]</f>
        <v>0</v>
      </c>
    </row>
    <row r="525" spans="1:19">
      <c r="A525">
        <v>521</v>
      </c>
      <c r="B525" s="704" t="s">
        <v>626</v>
      </c>
      <c r="C525" s="706" t="s">
        <v>694</v>
      </c>
      <c r="D525" s="706" t="s">
        <v>626</v>
      </c>
      <c r="E525" s="706" t="s">
        <v>411</v>
      </c>
      <c r="F525" s="706">
        <v>2</v>
      </c>
      <c r="G525" s="706">
        <v>2</v>
      </c>
      <c r="H525" s="720">
        <v>46063</v>
      </c>
      <c r="I525" s="720">
        <v>46063</v>
      </c>
      <c r="J525" s="706" t="s">
        <v>358</v>
      </c>
      <c r="K525" t="str">
        <f t="shared" si="28"/>
        <v>Infra</v>
      </c>
      <c r="M525" s="419">
        <f t="shared" si="27"/>
        <v>2</v>
      </c>
      <c r="N525" s="419">
        <f t="shared" si="29"/>
        <v>2</v>
      </c>
      <c r="O525" s="419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1">
        <f>All_Detail_v2[[#This Row],[Scheduled Date]]</f>
        <v>46063</v>
      </c>
      <c r="S525" s="421">
        <f>All_Detail_v2[[#This Row],[Install Date]]</f>
        <v>46063</v>
      </c>
    </row>
    <row r="526" spans="1:19">
      <c r="A526">
        <v>522</v>
      </c>
      <c r="B526" s="704" t="s">
        <v>415</v>
      </c>
      <c r="C526" s="706" t="s">
        <v>695</v>
      </c>
      <c r="D526" s="706" t="s">
        <v>696</v>
      </c>
      <c r="E526" s="706" t="s">
        <v>360</v>
      </c>
      <c r="F526" s="706">
        <v>2</v>
      </c>
      <c r="G526" s="706"/>
      <c r="H526" s="720"/>
      <c r="I526" s="720">
        <v>46170</v>
      </c>
      <c r="J526" s="706" t="s">
        <v>355</v>
      </c>
      <c r="K526" t="str">
        <f t="shared" si="28"/>
        <v>Switch</v>
      </c>
      <c r="M526" s="419">
        <f t="shared" si="27"/>
        <v>0</v>
      </c>
      <c r="N526" s="419">
        <f t="shared" si="29"/>
        <v>0</v>
      </c>
      <c r="O526" s="419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1">
        <f>All_Detail_v2[[#This Row],[Scheduled Date]]</f>
        <v>46170</v>
      </c>
      <c r="S526" s="421">
        <f>All_Detail_v2[[#This Row],[Install Date]]</f>
        <v>0</v>
      </c>
    </row>
    <row r="527" spans="1:19">
      <c r="A527">
        <v>523</v>
      </c>
      <c r="B527" s="704" t="s">
        <v>415</v>
      </c>
      <c r="C527" s="706" t="s">
        <v>695</v>
      </c>
      <c r="D527" s="706" t="s">
        <v>696</v>
      </c>
      <c r="E527" s="706" t="s">
        <v>365</v>
      </c>
      <c r="F527" s="706">
        <v>1</v>
      </c>
      <c r="G527" s="706"/>
      <c r="H527" s="720"/>
      <c r="I527" s="720">
        <v>46170</v>
      </c>
      <c r="J527" s="706" t="s">
        <v>355</v>
      </c>
      <c r="K527" t="str">
        <f t="shared" si="28"/>
        <v>Switch</v>
      </c>
      <c r="M527" s="419">
        <f t="shared" si="27"/>
        <v>0</v>
      </c>
      <c r="N527" s="419">
        <f t="shared" si="29"/>
        <v>0</v>
      </c>
      <c r="O527" s="419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1">
        <f>All_Detail_v2[[#This Row],[Scheduled Date]]</f>
        <v>46170</v>
      </c>
      <c r="S527" s="421">
        <f>All_Detail_v2[[#This Row],[Install Date]]</f>
        <v>0</v>
      </c>
    </row>
    <row r="528" spans="1:19">
      <c r="A528">
        <v>524</v>
      </c>
      <c r="B528" s="704" t="s">
        <v>415</v>
      </c>
      <c r="C528" s="706" t="s">
        <v>695</v>
      </c>
      <c r="D528" s="706" t="s">
        <v>696</v>
      </c>
      <c r="E528" s="706" t="s">
        <v>400</v>
      </c>
      <c r="F528" s="706">
        <v>1</v>
      </c>
      <c r="G528" s="706"/>
      <c r="H528" s="720"/>
      <c r="I528" s="720">
        <v>46170</v>
      </c>
      <c r="J528" s="706" t="s">
        <v>355</v>
      </c>
      <c r="K528" t="str">
        <f t="shared" si="28"/>
        <v>Switch</v>
      </c>
      <c r="M528" s="419">
        <f t="shared" si="27"/>
        <v>0</v>
      </c>
      <c r="N528" s="419">
        <f t="shared" si="29"/>
        <v>0</v>
      </c>
      <c r="O528" s="419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1">
        <f>All_Detail_v2[[#This Row],[Scheduled Date]]</f>
        <v>46170</v>
      </c>
      <c r="S528" s="421">
        <f>All_Detail_v2[[#This Row],[Install Date]]</f>
        <v>0</v>
      </c>
    </row>
    <row r="529" spans="1:19" ht="21" customHeight="1">
      <c r="A529">
        <v>525</v>
      </c>
      <c r="B529" s="704" t="s">
        <v>415</v>
      </c>
      <c r="C529" s="706" t="s">
        <v>695</v>
      </c>
      <c r="D529" s="706" t="s">
        <v>697</v>
      </c>
      <c r="E529" s="706" t="s">
        <v>360</v>
      </c>
      <c r="F529" s="706">
        <v>1</v>
      </c>
      <c r="G529" s="706"/>
      <c r="H529" s="720"/>
      <c r="I529" s="720">
        <v>46170</v>
      </c>
      <c r="J529" s="706" t="s">
        <v>355</v>
      </c>
      <c r="K529" t="str">
        <f t="shared" si="28"/>
        <v>Switch</v>
      </c>
      <c r="M529" s="419">
        <f t="shared" si="27"/>
        <v>0</v>
      </c>
      <c r="N529" s="419">
        <f t="shared" si="29"/>
        <v>0</v>
      </c>
      <c r="O529" s="419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1">
        <f>All_Detail_v2[[#This Row],[Scheduled Date]]</f>
        <v>46170</v>
      </c>
      <c r="S529" s="421">
        <f>All_Detail_v2[[#This Row],[Install Date]]</f>
        <v>0</v>
      </c>
    </row>
    <row r="530" spans="1:19">
      <c r="A530">
        <v>526</v>
      </c>
      <c r="B530" s="704" t="s">
        <v>415</v>
      </c>
      <c r="C530" s="706" t="s">
        <v>695</v>
      </c>
      <c r="D530" s="706" t="s">
        <v>697</v>
      </c>
      <c r="E530" s="706" t="s">
        <v>365</v>
      </c>
      <c r="F530" s="706">
        <v>1</v>
      </c>
      <c r="G530" s="706"/>
      <c r="H530" s="720"/>
      <c r="I530" s="720">
        <v>46170</v>
      </c>
      <c r="J530" s="706" t="s">
        <v>355</v>
      </c>
      <c r="K530" t="str">
        <f t="shared" si="28"/>
        <v>Switch</v>
      </c>
      <c r="M530" s="419">
        <f t="shared" si="27"/>
        <v>0</v>
      </c>
      <c r="N530" s="419">
        <f t="shared" si="29"/>
        <v>0</v>
      </c>
      <c r="O530" s="419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1">
        <f>All_Detail_v2[[#This Row],[Scheduled Date]]</f>
        <v>46170</v>
      </c>
      <c r="S530" s="421">
        <f>All_Detail_v2[[#This Row],[Install Date]]</f>
        <v>0</v>
      </c>
    </row>
    <row r="531" spans="1:19">
      <c r="A531">
        <v>527</v>
      </c>
      <c r="B531" s="704" t="s">
        <v>415</v>
      </c>
      <c r="C531" s="706" t="s">
        <v>695</v>
      </c>
      <c r="D531" s="706" t="s">
        <v>697</v>
      </c>
      <c r="E531" s="706" t="s">
        <v>402</v>
      </c>
      <c r="F531" s="706">
        <v>1</v>
      </c>
      <c r="G531" s="706"/>
      <c r="H531" s="720"/>
      <c r="I531" s="720">
        <v>46170</v>
      </c>
      <c r="J531" s="706" t="s">
        <v>355</v>
      </c>
      <c r="K531" t="str">
        <f t="shared" si="28"/>
        <v>Switch</v>
      </c>
      <c r="M531" s="419">
        <f t="shared" si="27"/>
        <v>0</v>
      </c>
      <c r="N531" s="419">
        <f t="shared" si="29"/>
        <v>0</v>
      </c>
      <c r="O531" s="419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1">
        <f>All_Detail_v2[[#This Row],[Scheduled Date]]</f>
        <v>46170</v>
      </c>
      <c r="S531" s="421">
        <f>All_Detail_v2[[#This Row],[Install Date]]</f>
        <v>0</v>
      </c>
    </row>
    <row r="532" spans="1:19">
      <c r="A532">
        <v>528</v>
      </c>
      <c r="B532" s="704" t="s">
        <v>415</v>
      </c>
      <c r="C532" s="706" t="s">
        <v>695</v>
      </c>
      <c r="D532" s="706" t="s">
        <v>698</v>
      </c>
      <c r="E532" s="706" t="s">
        <v>360</v>
      </c>
      <c r="F532" s="706">
        <v>1</v>
      </c>
      <c r="G532" s="706"/>
      <c r="H532" s="720"/>
      <c r="I532" s="720">
        <v>46170</v>
      </c>
      <c r="J532" s="706" t="s">
        <v>355</v>
      </c>
      <c r="K532" t="str">
        <f t="shared" si="28"/>
        <v>Switch</v>
      </c>
      <c r="M532" s="419">
        <f t="shared" si="27"/>
        <v>0</v>
      </c>
      <c r="N532" s="419">
        <f t="shared" si="29"/>
        <v>0</v>
      </c>
      <c r="O532" s="419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1">
        <f>All_Detail_v2[[#This Row],[Scheduled Date]]</f>
        <v>46170</v>
      </c>
      <c r="S532" s="421">
        <f>All_Detail_v2[[#This Row],[Install Date]]</f>
        <v>0</v>
      </c>
    </row>
    <row r="533" spans="1:19">
      <c r="A533">
        <v>529</v>
      </c>
      <c r="B533" s="704" t="s">
        <v>415</v>
      </c>
      <c r="C533" s="706" t="s">
        <v>695</v>
      </c>
      <c r="D533" s="706" t="s">
        <v>699</v>
      </c>
      <c r="E533" s="706" t="s">
        <v>360</v>
      </c>
      <c r="F533" s="706">
        <v>1</v>
      </c>
      <c r="G533" s="706"/>
      <c r="H533" s="720"/>
      <c r="I533" s="720">
        <v>46170</v>
      </c>
      <c r="J533" s="706" t="s">
        <v>355</v>
      </c>
      <c r="K533" t="str">
        <f t="shared" si="28"/>
        <v>Switch</v>
      </c>
      <c r="M533" s="419">
        <f t="shared" si="27"/>
        <v>0</v>
      </c>
      <c r="N533" s="419">
        <f t="shared" si="29"/>
        <v>0</v>
      </c>
      <c r="O533" s="419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1">
        <f>All_Detail_v2[[#This Row],[Scheduled Date]]</f>
        <v>46170</v>
      </c>
      <c r="S533" s="421">
        <f>All_Detail_v2[[#This Row],[Install Date]]</f>
        <v>0</v>
      </c>
    </row>
    <row r="534" spans="1:19">
      <c r="A534">
        <v>530</v>
      </c>
      <c r="B534" s="704" t="s">
        <v>415</v>
      </c>
      <c r="C534" s="706" t="s">
        <v>695</v>
      </c>
      <c r="D534" s="706" t="s">
        <v>699</v>
      </c>
      <c r="E534" s="706" t="s">
        <v>365</v>
      </c>
      <c r="F534" s="706">
        <v>1</v>
      </c>
      <c r="G534" s="706"/>
      <c r="H534" s="720"/>
      <c r="I534" s="720">
        <v>46170</v>
      </c>
      <c r="J534" s="706" t="s">
        <v>355</v>
      </c>
      <c r="K534" t="str">
        <f t="shared" si="28"/>
        <v>Switch</v>
      </c>
      <c r="M534" s="419">
        <f t="shared" si="27"/>
        <v>0</v>
      </c>
      <c r="N534" s="419">
        <f t="shared" si="29"/>
        <v>0</v>
      </c>
      <c r="O534" s="419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1">
        <f>All_Detail_v2[[#This Row],[Scheduled Date]]</f>
        <v>46170</v>
      </c>
      <c r="S534" s="421">
        <f>All_Detail_v2[[#This Row],[Install Date]]</f>
        <v>0</v>
      </c>
    </row>
    <row r="535" spans="1:19">
      <c r="A535">
        <v>531</v>
      </c>
      <c r="B535" s="704" t="s">
        <v>415</v>
      </c>
      <c r="C535" s="706" t="s">
        <v>695</v>
      </c>
      <c r="D535" s="706" t="s">
        <v>700</v>
      </c>
      <c r="E535" s="706" t="s">
        <v>360</v>
      </c>
      <c r="F535" s="706">
        <v>1</v>
      </c>
      <c r="G535" s="706"/>
      <c r="H535" s="720"/>
      <c r="I535" s="720">
        <v>46170</v>
      </c>
      <c r="J535" s="706" t="s">
        <v>355</v>
      </c>
      <c r="K535" t="str">
        <f t="shared" si="28"/>
        <v>Switch</v>
      </c>
      <c r="M535" s="419">
        <f t="shared" si="27"/>
        <v>0</v>
      </c>
      <c r="N535" s="419">
        <f t="shared" si="29"/>
        <v>0</v>
      </c>
      <c r="O535" s="419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1">
        <f>All_Detail_v2[[#This Row],[Scheduled Date]]</f>
        <v>46170</v>
      </c>
      <c r="S535" s="421">
        <f>All_Detail_v2[[#This Row],[Install Date]]</f>
        <v>0</v>
      </c>
    </row>
    <row r="536" spans="1:19">
      <c r="A536">
        <v>532</v>
      </c>
      <c r="B536" s="704" t="s">
        <v>415</v>
      </c>
      <c r="C536" s="706" t="s">
        <v>695</v>
      </c>
      <c r="D536" s="706" t="s">
        <v>700</v>
      </c>
      <c r="E536" s="706" t="s">
        <v>365</v>
      </c>
      <c r="F536" s="706">
        <v>1</v>
      </c>
      <c r="G536" s="706"/>
      <c r="H536" s="720"/>
      <c r="I536" s="720">
        <v>46170</v>
      </c>
      <c r="J536" s="706" t="s">
        <v>355</v>
      </c>
      <c r="K536" t="str">
        <f t="shared" si="28"/>
        <v>Switch</v>
      </c>
      <c r="M536" s="419">
        <f t="shared" si="27"/>
        <v>0</v>
      </c>
      <c r="N536" s="419">
        <f t="shared" si="29"/>
        <v>0</v>
      </c>
      <c r="O536" s="419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1">
        <f>All_Detail_v2[[#This Row],[Scheduled Date]]</f>
        <v>46170</v>
      </c>
      <c r="S536" s="421">
        <f>All_Detail_v2[[#This Row],[Install Date]]</f>
        <v>0</v>
      </c>
    </row>
    <row r="537" spans="1:19">
      <c r="A537">
        <v>533</v>
      </c>
      <c r="B537" s="704" t="s">
        <v>415</v>
      </c>
      <c r="C537" s="706" t="s">
        <v>695</v>
      </c>
      <c r="D537" s="706" t="s">
        <v>700</v>
      </c>
      <c r="E537" s="706" t="s">
        <v>402</v>
      </c>
      <c r="F537" s="706">
        <v>1</v>
      </c>
      <c r="G537" s="706"/>
      <c r="H537" s="720"/>
      <c r="I537" s="720">
        <v>46170</v>
      </c>
      <c r="J537" s="706" t="s">
        <v>355</v>
      </c>
      <c r="K537" t="str">
        <f t="shared" si="28"/>
        <v>Switch</v>
      </c>
      <c r="M537" s="419">
        <f t="shared" si="27"/>
        <v>0</v>
      </c>
      <c r="N537" s="419">
        <f t="shared" si="29"/>
        <v>0</v>
      </c>
      <c r="O537" s="419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1">
        <f>All_Detail_v2[[#This Row],[Scheduled Date]]</f>
        <v>46170</v>
      </c>
      <c r="S537" s="421">
        <f>All_Detail_v2[[#This Row],[Install Date]]</f>
        <v>0</v>
      </c>
    </row>
    <row r="538" spans="1:19">
      <c r="A538">
        <v>534</v>
      </c>
      <c r="B538" s="704" t="s">
        <v>415</v>
      </c>
      <c r="C538" s="706" t="s">
        <v>695</v>
      </c>
      <c r="D538" s="706" t="s">
        <v>701</v>
      </c>
      <c r="E538" s="706" t="s">
        <v>360</v>
      </c>
      <c r="F538" s="706">
        <v>1</v>
      </c>
      <c r="G538" s="706"/>
      <c r="H538" s="720"/>
      <c r="I538" s="720">
        <v>46171</v>
      </c>
      <c r="J538" s="706" t="s">
        <v>355</v>
      </c>
      <c r="K538" t="str">
        <f t="shared" si="28"/>
        <v>Switch</v>
      </c>
      <c r="M538" s="419">
        <f t="shared" si="27"/>
        <v>0</v>
      </c>
      <c r="N538" s="419">
        <f t="shared" si="29"/>
        <v>0</v>
      </c>
      <c r="O538" s="419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1">
        <f>All_Detail_v2[[#This Row],[Scheduled Date]]</f>
        <v>46171</v>
      </c>
      <c r="S538" s="421">
        <f>All_Detail_v2[[#This Row],[Install Date]]</f>
        <v>0</v>
      </c>
    </row>
    <row r="539" spans="1:19">
      <c r="A539">
        <v>535</v>
      </c>
      <c r="B539" s="704" t="s">
        <v>415</v>
      </c>
      <c r="C539" s="706" t="s">
        <v>695</v>
      </c>
      <c r="D539" s="706" t="s">
        <v>701</v>
      </c>
      <c r="E539" s="706" t="s">
        <v>365</v>
      </c>
      <c r="F539" s="706">
        <v>1</v>
      </c>
      <c r="G539" s="706"/>
      <c r="H539" s="720"/>
      <c r="I539" s="720">
        <v>46171</v>
      </c>
      <c r="J539" s="706" t="s">
        <v>355</v>
      </c>
      <c r="K539" t="str">
        <f t="shared" si="28"/>
        <v>Switch</v>
      </c>
      <c r="M539" s="419">
        <f t="shared" si="27"/>
        <v>0</v>
      </c>
      <c r="N539" s="419">
        <f t="shared" si="29"/>
        <v>0</v>
      </c>
      <c r="O539" s="419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1">
        <f>All_Detail_v2[[#This Row],[Scheduled Date]]</f>
        <v>46171</v>
      </c>
      <c r="S539" s="421">
        <f>All_Detail_v2[[#This Row],[Install Date]]</f>
        <v>0</v>
      </c>
    </row>
    <row r="540" spans="1:19">
      <c r="A540">
        <v>536</v>
      </c>
      <c r="B540" s="704" t="s">
        <v>415</v>
      </c>
      <c r="C540" s="706" t="s">
        <v>695</v>
      </c>
      <c r="D540" s="706" t="s">
        <v>701</v>
      </c>
      <c r="E540" s="706" t="s">
        <v>402</v>
      </c>
      <c r="F540" s="706">
        <v>1</v>
      </c>
      <c r="G540" s="706"/>
      <c r="H540" s="720"/>
      <c r="I540" s="720">
        <v>46171</v>
      </c>
      <c r="J540" s="706" t="s">
        <v>355</v>
      </c>
      <c r="K540" t="str">
        <f t="shared" si="28"/>
        <v>Switch</v>
      </c>
      <c r="M540" s="419">
        <f t="shared" si="27"/>
        <v>0</v>
      </c>
      <c r="N540" s="419">
        <f t="shared" si="29"/>
        <v>0</v>
      </c>
      <c r="O540" s="419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1">
        <f>All_Detail_v2[[#This Row],[Scheduled Date]]</f>
        <v>46171</v>
      </c>
      <c r="S540" s="421">
        <f>All_Detail_v2[[#This Row],[Install Date]]</f>
        <v>0</v>
      </c>
    </row>
    <row r="541" spans="1:19">
      <c r="A541">
        <v>537</v>
      </c>
      <c r="B541" s="704" t="s">
        <v>415</v>
      </c>
      <c r="C541" s="706" t="s">
        <v>695</v>
      </c>
      <c r="D541" s="706" t="s">
        <v>702</v>
      </c>
      <c r="E541" s="706" t="s">
        <v>360</v>
      </c>
      <c r="F541" s="706">
        <v>1</v>
      </c>
      <c r="G541" s="706"/>
      <c r="H541" s="720"/>
      <c r="I541" s="720">
        <v>46171</v>
      </c>
      <c r="J541" s="706" t="s">
        <v>355</v>
      </c>
      <c r="K541" t="str">
        <f t="shared" si="28"/>
        <v>Switch</v>
      </c>
      <c r="M541" s="419">
        <f t="shared" si="27"/>
        <v>0</v>
      </c>
      <c r="N541" s="419">
        <f t="shared" si="29"/>
        <v>0</v>
      </c>
      <c r="O541" s="419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1">
        <f>All_Detail_v2[[#This Row],[Scheduled Date]]</f>
        <v>46171</v>
      </c>
      <c r="S541" s="421">
        <f>All_Detail_v2[[#This Row],[Install Date]]</f>
        <v>0</v>
      </c>
    </row>
    <row r="542" spans="1:19">
      <c r="A542">
        <v>538</v>
      </c>
      <c r="B542" s="704" t="s">
        <v>415</v>
      </c>
      <c r="C542" s="706" t="s">
        <v>695</v>
      </c>
      <c r="D542" s="706" t="s">
        <v>703</v>
      </c>
      <c r="E542" s="706" t="s">
        <v>360</v>
      </c>
      <c r="F542" s="706">
        <v>1</v>
      </c>
      <c r="G542" s="706"/>
      <c r="H542" s="720"/>
      <c r="I542" s="720">
        <v>46171</v>
      </c>
      <c r="J542" s="706" t="s">
        <v>355</v>
      </c>
      <c r="K542" t="str">
        <f t="shared" si="28"/>
        <v>Switch</v>
      </c>
      <c r="M542" s="419">
        <f t="shared" si="27"/>
        <v>0</v>
      </c>
      <c r="N542" s="419">
        <f t="shared" si="29"/>
        <v>0</v>
      </c>
      <c r="O542" s="419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1">
        <f>All_Detail_v2[[#This Row],[Scheduled Date]]</f>
        <v>46171</v>
      </c>
      <c r="S542" s="421">
        <f>All_Detail_v2[[#This Row],[Install Date]]</f>
        <v>0</v>
      </c>
    </row>
    <row r="543" spans="1:19">
      <c r="A543">
        <v>539</v>
      </c>
      <c r="B543" s="704" t="s">
        <v>415</v>
      </c>
      <c r="C543" s="706" t="s">
        <v>695</v>
      </c>
      <c r="D543" s="706" t="s">
        <v>703</v>
      </c>
      <c r="E543" s="706" t="s">
        <v>365</v>
      </c>
      <c r="F543" s="706">
        <v>1</v>
      </c>
      <c r="G543" s="706"/>
      <c r="H543" s="720"/>
      <c r="I543" s="720">
        <v>46171</v>
      </c>
      <c r="J543" s="706" t="s">
        <v>355</v>
      </c>
      <c r="K543" t="str">
        <f t="shared" si="28"/>
        <v>Switch</v>
      </c>
      <c r="M543" s="419">
        <f t="shared" si="27"/>
        <v>0</v>
      </c>
      <c r="N543" s="419">
        <f t="shared" si="29"/>
        <v>0</v>
      </c>
      <c r="O543" s="419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1">
        <f>All_Detail_v2[[#This Row],[Scheduled Date]]</f>
        <v>46171</v>
      </c>
      <c r="S543" s="421">
        <f>All_Detail_v2[[#This Row],[Install Date]]</f>
        <v>0</v>
      </c>
    </row>
    <row r="544" spans="1:19">
      <c r="A544">
        <v>540</v>
      </c>
      <c r="B544" s="704" t="s">
        <v>415</v>
      </c>
      <c r="C544" s="706" t="s">
        <v>695</v>
      </c>
      <c r="D544" s="706" t="s">
        <v>704</v>
      </c>
      <c r="E544" s="706" t="s">
        <v>360</v>
      </c>
      <c r="F544" s="706">
        <v>2</v>
      </c>
      <c r="G544" s="706"/>
      <c r="H544" s="720"/>
      <c r="I544" s="720">
        <v>46171</v>
      </c>
      <c r="J544" s="706" t="s">
        <v>355</v>
      </c>
      <c r="K544" t="str">
        <f t="shared" si="28"/>
        <v>Switch</v>
      </c>
      <c r="M544" s="419">
        <f t="shared" si="27"/>
        <v>0</v>
      </c>
      <c r="N544" s="419">
        <f t="shared" si="29"/>
        <v>0</v>
      </c>
      <c r="O544" s="419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1">
        <f>All_Detail_v2[[#This Row],[Scheduled Date]]</f>
        <v>46171</v>
      </c>
      <c r="S544" s="421">
        <f>All_Detail_v2[[#This Row],[Install Date]]</f>
        <v>0</v>
      </c>
    </row>
    <row r="545" spans="1:19">
      <c r="A545">
        <v>541</v>
      </c>
      <c r="B545" s="704" t="s">
        <v>415</v>
      </c>
      <c r="C545" s="706" t="s">
        <v>695</v>
      </c>
      <c r="D545" s="706" t="s">
        <v>704</v>
      </c>
      <c r="E545" s="706" t="s">
        <v>365</v>
      </c>
      <c r="F545" s="706">
        <v>1</v>
      </c>
      <c r="G545" s="706"/>
      <c r="H545" s="720"/>
      <c r="I545" s="720">
        <v>46171</v>
      </c>
      <c r="J545" s="706" t="s">
        <v>355</v>
      </c>
      <c r="K545" t="str">
        <f t="shared" si="28"/>
        <v>Switch</v>
      </c>
      <c r="M545" s="419">
        <f t="shared" si="27"/>
        <v>0</v>
      </c>
      <c r="N545" s="419">
        <f t="shared" si="29"/>
        <v>0</v>
      </c>
      <c r="O545" s="419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1">
        <f>All_Detail_v2[[#This Row],[Scheduled Date]]</f>
        <v>46171</v>
      </c>
      <c r="S545" s="421">
        <f>All_Detail_v2[[#This Row],[Install Date]]</f>
        <v>0</v>
      </c>
    </row>
    <row r="546" spans="1:19">
      <c r="A546">
        <v>542</v>
      </c>
      <c r="B546" s="704" t="s">
        <v>415</v>
      </c>
      <c r="C546" s="706" t="s">
        <v>695</v>
      </c>
      <c r="D546" s="706" t="s">
        <v>704</v>
      </c>
      <c r="E546" s="706" t="s">
        <v>402</v>
      </c>
      <c r="F546" s="706">
        <v>1</v>
      </c>
      <c r="G546" s="706"/>
      <c r="H546" s="720"/>
      <c r="I546" s="720">
        <v>46171</v>
      </c>
      <c r="J546" s="706" t="s">
        <v>355</v>
      </c>
      <c r="K546" t="str">
        <f t="shared" si="28"/>
        <v>Switch</v>
      </c>
      <c r="M546" s="419">
        <f t="shared" si="27"/>
        <v>0</v>
      </c>
      <c r="N546" s="419">
        <f t="shared" si="29"/>
        <v>0</v>
      </c>
      <c r="O546" s="419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1">
        <f>All_Detail_v2[[#This Row],[Scheduled Date]]</f>
        <v>46171</v>
      </c>
      <c r="S546" s="421">
        <f>All_Detail_v2[[#This Row],[Install Date]]</f>
        <v>0</v>
      </c>
    </row>
    <row r="547" spans="1:19">
      <c r="A547">
        <v>543</v>
      </c>
      <c r="B547" s="704" t="s">
        <v>415</v>
      </c>
      <c r="C547" s="706" t="s">
        <v>695</v>
      </c>
      <c r="D547" s="706" t="s">
        <v>705</v>
      </c>
      <c r="E547" s="706" t="s">
        <v>360</v>
      </c>
      <c r="F547" s="706">
        <v>1</v>
      </c>
      <c r="G547" s="706"/>
      <c r="H547" s="720"/>
      <c r="I547" s="720">
        <v>46171</v>
      </c>
      <c r="J547" s="706" t="s">
        <v>355</v>
      </c>
      <c r="K547" t="str">
        <f t="shared" si="28"/>
        <v>Switch</v>
      </c>
      <c r="M547" s="419">
        <f t="shared" si="27"/>
        <v>0</v>
      </c>
      <c r="N547" s="419">
        <f t="shared" si="29"/>
        <v>0</v>
      </c>
      <c r="O547" s="419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1">
        <f>All_Detail_v2[[#This Row],[Scheduled Date]]</f>
        <v>46171</v>
      </c>
      <c r="S547" s="421">
        <f>All_Detail_v2[[#This Row],[Install Date]]</f>
        <v>0</v>
      </c>
    </row>
    <row r="548" spans="1:19">
      <c r="A548">
        <v>544</v>
      </c>
      <c r="B548" s="704" t="s">
        <v>415</v>
      </c>
      <c r="C548" s="706" t="s">
        <v>695</v>
      </c>
      <c r="D548" s="706" t="s">
        <v>705</v>
      </c>
      <c r="E548" s="706" t="s">
        <v>365</v>
      </c>
      <c r="F548" s="706">
        <v>1</v>
      </c>
      <c r="G548" s="706"/>
      <c r="H548" s="720"/>
      <c r="I548" s="720">
        <v>46171</v>
      </c>
      <c r="J548" s="706" t="s">
        <v>355</v>
      </c>
      <c r="K548" t="str">
        <f t="shared" si="28"/>
        <v>Switch</v>
      </c>
      <c r="M548" s="419">
        <f t="shared" si="27"/>
        <v>0</v>
      </c>
      <c r="N548" s="419">
        <f t="shared" si="29"/>
        <v>0</v>
      </c>
      <c r="O548" s="419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1">
        <f>All_Detail_v2[[#This Row],[Scheduled Date]]</f>
        <v>46171</v>
      </c>
      <c r="S548" s="421">
        <f>All_Detail_v2[[#This Row],[Install Date]]</f>
        <v>0</v>
      </c>
    </row>
    <row r="549" spans="1:19">
      <c r="A549">
        <v>545</v>
      </c>
      <c r="B549" s="704" t="s">
        <v>415</v>
      </c>
      <c r="C549" s="706" t="s">
        <v>695</v>
      </c>
      <c r="D549" s="706" t="s">
        <v>706</v>
      </c>
      <c r="E549" s="706" t="s">
        <v>360</v>
      </c>
      <c r="F549" s="706">
        <v>1</v>
      </c>
      <c r="G549" s="706"/>
      <c r="H549" s="720"/>
      <c r="I549" s="720">
        <v>46174</v>
      </c>
      <c r="J549" s="706" t="s">
        <v>355</v>
      </c>
      <c r="K549" t="str">
        <f t="shared" si="28"/>
        <v>Switch</v>
      </c>
      <c r="M549" s="419">
        <f t="shared" si="27"/>
        <v>0</v>
      </c>
      <c r="N549" s="419">
        <f t="shared" si="29"/>
        <v>0</v>
      </c>
      <c r="O549" s="419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1">
        <f>All_Detail_v2[[#This Row],[Scheduled Date]]</f>
        <v>46174</v>
      </c>
      <c r="S549" s="421">
        <f>All_Detail_v2[[#This Row],[Install Date]]</f>
        <v>0</v>
      </c>
    </row>
    <row r="550" spans="1:19">
      <c r="A550">
        <v>546</v>
      </c>
      <c r="B550" s="704" t="s">
        <v>415</v>
      </c>
      <c r="C550" s="706" t="s">
        <v>695</v>
      </c>
      <c r="D550" s="706" t="s">
        <v>706</v>
      </c>
      <c r="E550" s="706" t="s">
        <v>365</v>
      </c>
      <c r="F550" s="706">
        <v>1</v>
      </c>
      <c r="G550" s="706"/>
      <c r="H550" s="720"/>
      <c r="I550" s="720">
        <v>46174</v>
      </c>
      <c r="J550" s="706" t="s">
        <v>355</v>
      </c>
      <c r="K550" t="str">
        <f t="shared" si="28"/>
        <v>Switch</v>
      </c>
      <c r="M550" s="419">
        <f t="shared" si="27"/>
        <v>0</v>
      </c>
      <c r="N550" s="419">
        <f t="shared" si="29"/>
        <v>0</v>
      </c>
      <c r="O550" s="419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1">
        <f>All_Detail_v2[[#This Row],[Scheduled Date]]</f>
        <v>46174</v>
      </c>
      <c r="S550" s="421">
        <f>All_Detail_v2[[#This Row],[Install Date]]</f>
        <v>0</v>
      </c>
    </row>
    <row r="551" spans="1:19">
      <c r="A551">
        <v>547</v>
      </c>
      <c r="B551" s="704" t="s">
        <v>415</v>
      </c>
      <c r="C551" s="706" t="s">
        <v>695</v>
      </c>
      <c r="D551" s="706" t="s">
        <v>707</v>
      </c>
      <c r="E551" s="706" t="s">
        <v>360</v>
      </c>
      <c r="F551" s="706">
        <v>1</v>
      </c>
      <c r="G551" s="706"/>
      <c r="H551" s="720"/>
      <c r="I551" s="720">
        <v>46174</v>
      </c>
      <c r="J551" s="706" t="s">
        <v>355</v>
      </c>
      <c r="K551" t="str">
        <f t="shared" si="28"/>
        <v>Switch</v>
      </c>
      <c r="M551" s="419">
        <f t="shared" si="27"/>
        <v>0</v>
      </c>
      <c r="N551" s="419">
        <f t="shared" si="29"/>
        <v>0</v>
      </c>
      <c r="O551" s="419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1">
        <f>All_Detail_v2[[#This Row],[Scheduled Date]]</f>
        <v>46174</v>
      </c>
      <c r="S551" s="421">
        <f>All_Detail_v2[[#This Row],[Install Date]]</f>
        <v>0</v>
      </c>
    </row>
    <row r="552" spans="1:19">
      <c r="A552">
        <v>548</v>
      </c>
      <c r="B552" s="704" t="s">
        <v>415</v>
      </c>
      <c r="C552" s="706" t="s">
        <v>695</v>
      </c>
      <c r="D552" s="706" t="s">
        <v>707</v>
      </c>
      <c r="E552" s="706" t="s">
        <v>365</v>
      </c>
      <c r="F552" s="706">
        <v>1</v>
      </c>
      <c r="G552" s="706"/>
      <c r="H552" s="720"/>
      <c r="I552" s="720">
        <v>46174</v>
      </c>
      <c r="J552" s="706" t="s">
        <v>355</v>
      </c>
      <c r="K552" t="str">
        <f t="shared" si="28"/>
        <v>Switch</v>
      </c>
      <c r="M552" s="419">
        <f t="shared" si="27"/>
        <v>0</v>
      </c>
      <c r="N552" s="419">
        <f t="shared" si="29"/>
        <v>0</v>
      </c>
      <c r="O552" s="419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1">
        <f>All_Detail_v2[[#This Row],[Scheduled Date]]</f>
        <v>46174</v>
      </c>
      <c r="S552" s="421">
        <f>All_Detail_v2[[#This Row],[Install Date]]</f>
        <v>0</v>
      </c>
    </row>
    <row r="553" spans="1:19">
      <c r="A553">
        <v>549</v>
      </c>
      <c r="B553" s="704" t="s">
        <v>415</v>
      </c>
      <c r="C553" s="706" t="s">
        <v>695</v>
      </c>
      <c r="D553" s="706" t="s">
        <v>708</v>
      </c>
      <c r="E553" s="706" t="s">
        <v>360</v>
      </c>
      <c r="F553" s="706">
        <v>1</v>
      </c>
      <c r="G553" s="706"/>
      <c r="H553" s="720"/>
      <c r="I553" s="720">
        <v>46174</v>
      </c>
      <c r="J553" s="706" t="s">
        <v>355</v>
      </c>
      <c r="K553" t="str">
        <f t="shared" si="28"/>
        <v>Switch</v>
      </c>
      <c r="M553" s="419">
        <f t="shared" si="27"/>
        <v>0</v>
      </c>
      <c r="N553" s="419">
        <f t="shared" si="29"/>
        <v>0</v>
      </c>
      <c r="O553" s="419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1">
        <f>All_Detail_v2[[#This Row],[Scheduled Date]]</f>
        <v>46174</v>
      </c>
      <c r="S553" s="421">
        <f>All_Detail_v2[[#This Row],[Install Date]]</f>
        <v>0</v>
      </c>
    </row>
    <row r="554" spans="1:19">
      <c r="A554">
        <v>550</v>
      </c>
      <c r="B554" s="704" t="s">
        <v>415</v>
      </c>
      <c r="C554" s="706" t="s">
        <v>695</v>
      </c>
      <c r="D554" s="706" t="s">
        <v>708</v>
      </c>
      <c r="E554" s="706" t="s">
        <v>365</v>
      </c>
      <c r="F554" s="706">
        <v>1</v>
      </c>
      <c r="G554" s="706"/>
      <c r="H554" s="720"/>
      <c r="I554" s="720">
        <v>46174</v>
      </c>
      <c r="J554" s="706" t="s">
        <v>355</v>
      </c>
      <c r="K554" t="str">
        <f t="shared" si="28"/>
        <v>Switch</v>
      </c>
      <c r="M554" s="419">
        <f t="shared" si="27"/>
        <v>0</v>
      </c>
      <c r="N554" s="419">
        <f t="shared" si="29"/>
        <v>0</v>
      </c>
      <c r="O554" s="419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1">
        <f>All_Detail_v2[[#This Row],[Scheduled Date]]</f>
        <v>46174</v>
      </c>
      <c r="S554" s="421">
        <f>All_Detail_v2[[#This Row],[Install Date]]</f>
        <v>0</v>
      </c>
    </row>
    <row r="555" spans="1:19">
      <c r="A555">
        <v>551</v>
      </c>
      <c r="B555" s="704" t="s">
        <v>415</v>
      </c>
      <c r="C555" s="706" t="s">
        <v>695</v>
      </c>
      <c r="D555" s="706" t="s">
        <v>709</v>
      </c>
      <c r="E555" s="706" t="s">
        <v>360</v>
      </c>
      <c r="F555" s="706">
        <v>1</v>
      </c>
      <c r="G555" s="706"/>
      <c r="H555" s="720"/>
      <c r="I555" s="720">
        <v>46174</v>
      </c>
      <c r="J555" s="706" t="s">
        <v>355</v>
      </c>
      <c r="K555" t="str">
        <f t="shared" si="28"/>
        <v>Switch</v>
      </c>
      <c r="M555" s="419">
        <f t="shared" si="27"/>
        <v>0</v>
      </c>
      <c r="N555" s="419">
        <f t="shared" si="29"/>
        <v>0</v>
      </c>
      <c r="O555" s="419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1">
        <f>All_Detail_v2[[#This Row],[Scheduled Date]]</f>
        <v>46174</v>
      </c>
      <c r="S555" s="421">
        <f>All_Detail_v2[[#This Row],[Install Date]]</f>
        <v>0</v>
      </c>
    </row>
    <row r="556" spans="1:19">
      <c r="A556">
        <v>552</v>
      </c>
      <c r="B556" s="704" t="s">
        <v>415</v>
      </c>
      <c r="C556" s="706" t="s">
        <v>695</v>
      </c>
      <c r="D556" s="706" t="s">
        <v>709</v>
      </c>
      <c r="E556" s="706" t="s">
        <v>365</v>
      </c>
      <c r="F556" s="706">
        <v>1</v>
      </c>
      <c r="G556" s="706"/>
      <c r="H556" s="720"/>
      <c r="I556" s="720">
        <v>46174</v>
      </c>
      <c r="J556" s="706" t="s">
        <v>355</v>
      </c>
      <c r="K556" t="str">
        <f t="shared" si="28"/>
        <v>Switch</v>
      </c>
      <c r="M556" s="419">
        <f t="shared" si="27"/>
        <v>0</v>
      </c>
      <c r="N556" s="419">
        <f t="shared" si="29"/>
        <v>0</v>
      </c>
      <c r="O556" s="419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1">
        <f>All_Detail_v2[[#This Row],[Scheduled Date]]</f>
        <v>46174</v>
      </c>
      <c r="S556" s="421">
        <f>All_Detail_v2[[#This Row],[Install Date]]</f>
        <v>0</v>
      </c>
    </row>
    <row r="557" spans="1:19">
      <c r="A557">
        <v>553</v>
      </c>
      <c r="B557" s="704" t="s">
        <v>415</v>
      </c>
      <c r="C557" s="706" t="s">
        <v>695</v>
      </c>
      <c r="D557" s="706" t="s">
        <v>710</v>
      </c>
      <c r="E557" s="706" t="s">
        <v>360</v>
      </c>
      <c r="F557" s="706">
        <v>1</v>
      </c>
      <c r="G557" s="706"/>
      <c r="H557" s="720"/>
      <c r="I557" s="720">
        <v>46174</v>
      </c>
      <c r="J557" s="706" t="s">
        <v>355</v>
      </c>
      <c r="K557" t="str">
        <f t="shared" si="28"/>
        <v>Switch</v>
      </c>
      <c r="M557" s="419">
        <f t="shared" si="27"/>
        <v>0</v>
      </c>
      <c r="N557" s="419">
        <f t="shared" si="29"/>
        <v>0</v>
      </c>
      <c r="O557" s="419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1">
        <f>All_Detail_v2[[#This Row],[Scheduled Date]]</f>
        <v>46174</v>
      </c>
      <c r="S557" s="421">
        <f>All_Detail_v2[[#This Row],[Install Date]]</f>
        <v>0</v>
      </c>
    </row>
    <row r="558" spans="1:19">
      <c r="A558">
        <v>554</v>
      </c>
      <c r="B558" s="704" t="s">
        <v>415</v>
      </c>
      <c r="C558" s="706" t="s">
        <v>695</v>
      </c>
      <c r="D558" s="706" t="s">
        <v>710</v>
      </c>
      <c r="E558" s="706" t="s">
        <v>365</v>
      </c>
      <c r="F558" s="706">
        <v>1</v>
      </c>
      <c r="G558" s="706"/>
      <c r="H558" s="720"/>
      <c r="I558" s="720">
        <v>46174</v>
      </c>
      <c r="J558" s="706" t="s">
        <v>355</v>
      </c>
      <c r="K558" t="str">
        <f t="shared" si="28"/>
        <v>Switch</v>
      </c>
      <c r="M558" s="419">
        <f t="shared" si="27"/>
        <v>0</v>
      </c>
      <c r="N558" s="419">
        <f t="shared" si="29"/>
        <v>0</v>
      </c>
      <c r="O558" s="419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1">
        <f>All_Detail_v2[[#This Row],[Scheduled Date]]</f>
        <v>46174</v>
      </c>
      <c r="S558" s="421">
        <f>All_Detail_v2[[#This Row],[Install Date]]</f>
        <v>0</v>
      </c>
    </row>
    <row r="559" spans="1:19">
      <c r="A559">
        <v>555</v>
      </c>
      <c r="B559" s="704" t="s">
        <v>415</v>
      </c>
      <c r="C559" s="706" t="s">
        <v>695</v>
      </c>
      <c r="D559" s="706" t="s">
        <v>711</v>
      </c>
      <c r="E559" s="706" t="s">
        <v>360</v>
      </c>
      <c r="F559" s="706">
        <v>1</v>
      </c>
      <c r="G559" s="706"/>
      <c r="H559" s="720"/>
      <c r="I559" s="720">
        <v>46174</v>
      </c>
      <c r="J559" s="706" t="s">
        <v>355</v>
      </c>
      <c r="K559" t="str">
        <f t="shared" si="28"/>
        <v>Switch</v>
      </c>
      <c r="M559" s="419">
        <f t="shared" si="27"/>
        <v>0</v>
      </c>
      <c r="N559" s="419">
        <f t="shared" si="29"/>
        <v>0</v>
      </c>
      <c r="O559" s="419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1">
        <f>All_Detail_v2[[#This Row],[Scheduled Date]]</f>
        <v>46174</v>
      </c>
      <c r="S559" s="421">
        <f>All_Detail_v2[[#This Row],[Install Date]]</f>
        <v>0</v>
      </c>
    </row>
    <row r="560" spans="1:19">
      <c r="A560">
        <v>556</v>
      </c>
      <c r="B560" s="704" t="s">
        <v>415</v>
      </c>
      <c r="C560" s="706" t="s">
        <v>695</v>
      </c>
      <c r="D560" s="706" t="s">
        <v>712</v>
      </c>
      <c r="E560" s="706" t="s">
        <v>360</v>
      </c>
      <c r="F560" s="706">
        <v>1</v>
      </c>
      <c r="G560" s="706"/>
      <c r="H560" s="720"/>
      <c r="I560" s="720">
        <v>46175</v>
      </c>
      <c r="J560" s="706" t="s">
        <v>355</v>
      </c>
      <c r="K560" t="str">
        <f t="shared" si="28"/>
        <v>Switch</v>
      </c>
      <c r="M560" s="419">
        <f t="shared" si="27"/>
        <v>0</v>
      </c>
      <c r="N560" s="419">
        <f t="shared" si="29"/>
        <v>0</v>
      </c>
      <c r="O560" s="419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1">
        <f>All_Detail_v2[[#This Row],[Scheduled Date]]</f>
        <v>46175</v>
      </c>
      <c r="S560" s="421">
        <f>All_Detail_v2[[#This Row],[Install Date]]</f>
        <v>0</v>
      </c>
    </row>
    <row r="561" spans="1:19">
      <c r="A561">
        <v>557</v>
      </c>
      <c r="B561" s="704" t="s">
        <v>415</v>
      </c>
      <c r="C561" s="706" t="s">
        <v>695</v>
      </c>
      <c r="D561" s="706" t="s">
        <v>713</v>
      </c>
      <c r="E561" s="706" t="s">
        <v>360</v>
      </c>
      <c r="F561" s="706">
        <v>1</v>
      </c>
      <c r="G561" s="706"/>
      <c r="H561" s="720"/>
      <c r="I561" s="720">
        <v>46175</v>
      </c>
      <c r="J561" s="706" t="s">
        <v>355</v>
      </c>
      <c r="K561" t="str">
        <f t="shared" si="28"/>
        <v>Switch</v>
      </c>
      <c r="M561" s="419">
        <f t="shared" si="27"/>
        <v>0</v>
      </c>
      <c r="N561" s="419">
        <f t="shared" si="29"/>
        <v>0</v>
      </c>
      <c r="O561" s="419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1">
        <f>All_Detail_v2[[#This Row],[Scheduled Date]]</f>
        <v>46175</v>
      </c>
      <c r="S561" s="421">
        <f>All_Detail_v2[[#This Row],[Install Date]]</f>
        <v>0</v>
      </c>
    </row>
    <row r="562" spans="1:19">
      <c r="A562">
        <v>558</v>
      </c>
      <c r="B562" s="704" t="s">
        <v>415</v>
      </c>
      <c r="C562" s="706" t="s">
        <v>695</v>
      </c>
      <c r="D562" s="706" t="s">
        <v>714</v>
      </c>
      <c r="E562" s="706" t="s">
        <v>360</v>
      </c>
      <c r="F562" s="706">
        <v>1</v>
      </c>
      <c r="G562" s="706"/>
      <c r="H562" s="720"/>
      <c r="I562" s="720">
        <v>46175</v>
      </c>
      <c r="J562" s="706" t="s">
        <v>355</v>
      </c>
      <c r="K562" t="str">
        <f t="shared" si="28"/>
        <v>Switch</v>
      </c>
      <c r="M562" s="419">
        <f t="shared" si="27"/>
        <v>0</v>
      </c>
      <c r="N562" s="419">
        <f t="shared" si="29"/>
        <v>0</v>
      </c>
      <c r="O562" s="419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1">
        <f>All_Detail_v2[[#This Row],[Scheduled Date]]</f>
        <v>46175</v>
      </c>
      <c r="S562" s="421">
        <f>All_Detail_v2[[#This Row],[Install Date]]</f>
        <v>0</v>
      </c>
    </row>
    <row r="563" spans="1:19">
      <c r="A563">
        <v>559</v>
      </c>
      <c r="B563" s="704" t="s">
        <v>415</v>
      </c>
      <c r="C563" s="706" t="s">
        <v>695</v>
      </c>
      <c r="D563" s="706" t="s">
        <v>714</v>
      </c>
      <c r="E563" s="706" t="s">
        <v>365</v>
      </c>
      <c r="F563" s="706">
        <v>1</v>
      </c>
      <c r="G563" s="706"/>
      <c r="H563" s="720"/>
      <c r="I563" s="720">
        <v>46175</v>
      </c>
      <c r="J563" s="706" t="s">
        <v>355</v>
      </c>
      <c r="K563" t="str">
        <f t="shared" si="28"/>
        <v>Switch</v>
      </c>
      <c r="M563" s="419">
        <f t="shared" si="27"/>
        <v>0</v>
      </c>
      <c r="N563" s="419">
        <f t="shared" si="29"/>
        <v>0</v>
      </c>
      <c r="O563" s="419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1">
        <f>All_Detail_v2[[#This Row],[Scheduled Date]]</f>
        <v>46175</v>
      </c>
      <c r="S563" s="421">
        <f>All_Detail_v2[[#This Row],[Install Date]]</f>
        <v>0</v>
      </c>
    </row>
    <row r="564" spans="1:19">
      <c r="A564">
        <v>560</v>
      </c>
      <c r="B564" s="704" t="s">
        <v>415</v>
      </c>
      <c r="C564" s="706" t="s">
        <v>695</v>
      </c>
      <c r="D564" s="706" t="s">
        <v>715</v>
      </c>
      <c r="E564" s="706" t="s">
        <v>360</v>
      </c>
      <c r="F564" s="706">
        <v>1</v>
      </c>
      <c r="G564" s="706"/>
      <c r="H564" s="720"/>
      <c r="I564" s="720">
        <v>46175</v>
      </c>
      <c r="J564" s="706" t="s">
        <v>355</v>
      </c>
      <c r="K564" t="str">
        <f t="shared" si="28"/>
        <v>Switch</v>
      </c>
      <c r="M564" s="419">
        <f t="shared" si="27"/>
        <v>0</v>
      </c>
      <c r="N564" s="419">
        <f t="shared" si="29"/>
        <v>0</v>
      </c>
      <c r="O564" s="419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1">
        <f>All_Detail_v2[[#This Row],[Scheduled Date]]</f>
        <v>46175</v>
      </c>
      <c r="S564" s="421">
        <f>All_Detail_v2[[#This Row],[Install Date]]</f>
        <v>0</v>
      </c>
    </row>
    <row r="565" spans="1:19">
      <c r="A565">
        <v>561</v>
      </c>
      <c r="B565" s="704" t="s">
        <v>415</v>
      </c>
      <c r="C565" s="706" t="s">
        <v>695</v>
      </c>
      <c r="D565" s="706" t="s">
        <v>715</v>
      </c>
      <c r="E565" s="706" t="s">
        <v>365</v>
      </c>
      <c r="F565" s="706">
        <v>1</v>
      </c>
      <c r="G565" s="706"/>
      <c r="H565" s="720"/>
      <c r="I565" s="720">
        <v>46175</v>
      </c>
      <c r="J565" s="706" t="s">
        <v>355</v>
      </c>
      <c r="K565" t="str">
        <f t="shared" si="28"/>
        <v>Switch</v>
      </c>
      <c r="M565" s="419">
        <f t="shared" si="27"/>
        <v>0</v>
      </c>
      <c r="N565" s="419">
        <f t="shared" si="29"/>
        <v>0</v>
      </c>
      <c r="O565" s="419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1">
        <f>All_Detail_v2[[#This Row],[Scheduled Date]]</f>
        <v>46175</v>
      </c>
      <c r="S565" s="421">
        <f>All_Detail_v2[[#This Row],[Install Date]]</f>
        <v>0</v>
      </c>
    </row>
    <row r="566" spans="1:19">
      <c r="A566">
        <v>562</v>
      </c>
      <c r="B566" s="704" t="s">
        <v>415</v>
      </c>
      <c r="C566" s="706" t="s">
        <v>695</v>
      </c>
      <c r="D566" s="706" t="s">
        <v>715</v>
      </c>
      <c r="E566" s="706" t="s">
        <v>402</v>
      </c>
      <c r="F566" s="706">
        <v>1</v>
      </c>
      <c r="G566" s="706"/>
      <c r="H566" s="720"/>
      <c r="I566" s="720">
        <v>46175</v>
      </c>
      <c r="J566" s="706" t="s">
        <v>355</v>
      </c>
      <c r="K566" t="str">
        <f t="shared" si="28"/>
        <v>Switch</v>
      </c>
      <c r="M566" s="419">
        <f t="shared" si="27"/>
        <v>0</v>
      </c>
      <c r="N566" s="419">
        <f t="shared" si="29"/>
        <v>0</v>
      </c>
      <c r="O566" s="419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1">
        <f>All_Detail_v2[[#This Row],[Scheduled Date]]</f>
        <v>46175</v>
      </c>
      <c r="S566" s="421">
        <f>All_Detail_v2[[#This Row],[Install Date]]</f>
        <v>0</v>
      </c>
    </row>
    <row r="567" spans="1:19">
      <c r="A567">
        <v>563</v>
      </c>
      <c r="B567" s="704" t="s">
        <v>415</v>
      </c>
      <c r="C567" s="706" t="s">
        <v>695</v>
      </c>
      <c r="D567" s="706" t="s">
        <v>716</v>
      </c>
      <c r="E567" s="706" t="s">
        <v>360</v>
      </c>
      <c r="F567" s="706">
        <v>1</v>
      </c>
      <c r="G567" s="706"/>
      <c r="H567" s="720"/>
      <c r="I567" s="720">
        <v>46175</v>
      </c>
      <c r="J567" s="706" t="s">
        <v>355</v>
      </c>
      <c r="K567" t="str">
        <f t="shared" si="28"/>
        <v>Switch</v>
      </c>
      <c r="M567" s="419">
        <f t="shared" si="27"/>
        <v>0</v>
      </c>
      <c r="N567" s="419">
        <f t="shared" si="29"/>
        <v>0</v>
      </c>
      <c r="O567" s="419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1">
        <f>All_Detail_v2[[#This Row],[Scheduled Date]]</f>
        <v>46175</v>
      </c>
      <c r="S567" s="421">
        <f>All_Detail_v2[[#This Row],[Install Date]]</f>
        <v>0</v>
      </c>
    </row>
    <row r="568" spans="1:19">
      <c r="A568">
        <v>564</v>
      </c>
      <c r="B568" s="704" t="s">
        <v>415</v>
      </c>
      <c r="C568" s="706" t="s">
        <v>695</v>
      </c>
      <c r="D568" s="706" t="s">
        <v>716</v>
      </c>
      <c r="E568" s="706" t="s">
        <v>400</v>
      </c>
      <c r="F568" s="706">
        <v>1</v>
      </c>
      <c r="G568" s="706"/>
      <c r="H568" s="720"/>
      <c r="I568" s="720">
        <v>46175</v>
      </c>
      <c r="J568" s="706" t="s">
        <v>355</v>
      </c>
      <c r="K568" t="str">
        <f t="shared" si="28"/>
        <v>Switch</v>
      </c>
      <c r="M568" s="419">
        <f t="shared" si="27"/>
        <v>0</v>
      </c>
      <c r="N568" s="419">
        <f t="shared" si="29"/>
        <v>0</v>
      </c>
      <c r="O568" s="419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1">
        <f>All_Detail_v2[[#This Row],[Scheduled Date]]</f>
        <v>46175</v>
      </c>
      <c r="S568" s="421">
        <f>All_Detail_v2[[#This Row],[Install Date]]</f>
        <v>0</v>
      </c>
    </row>
    <row r="569" spans="1:19">
      <c r="A569">
        <v>565</v>
      </c>
      <c r="B569" s="704" t="s">
        <v>415</v>
      </c>
      <c r="C569" s="706" t="s">
        <v>695</v>
      </c>
      <c r="D569" s="706" t="s">
        <v>717</v>
      </c>
      <c r="E569" s="706" t="s">
        <v>360</v>
      </c>
      <c r="F569" s="706">
        <v>1</v>
      </c>
      <c r="G569" s="706"/>
      <c r="H569" s="720"/>
      <c r="I569" s="720">
        <v>46175</v>
      </c>
      <c r="J569" s="706" t="s">
        <v>355</v>
      </c>
      <c r="K569" t="str">
        <f t="shared" si="28"/>
        <v>Switch</v>
      </c>
      <c r="M569" s="419">
        <f t="shared" si="27"/>
        <v>0</v>
      </c>
      <c r="N569" s="419">
        <f t="shared" si="29"/>
        <v>0</v>
      </c>
      <c r="O569" s="419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1">
        <f>All_Detail_v2[[#This Row],[Scheduled Date]]</f>
        <v>46175</v>
      </c>
      <c r="S569" s="421">
        <f>All_Detail_v2[[#This Row],[Install Date]]</f>
        <v>0</v>
      </c>
    </row>
    <row r="570" spans="1:19">
      <c r="A570">
        <v>566</v>
      </c>
      <c r="B570" s="704" t="s">
        <v>415</v>
      </c>
      <c r="C570" s="706" t="s">
        <v>695</v>
      </c>
      <c r="D570" s="706" t="s">
        <v>717</v>
      </c>
      <c r="E570" s="706" t="s">
        <v>400</v>
      </c>
      <c r="F570" s="706">
        <v>1</v>
      </c>
      <c r="G570" s="706"/>
      <c r="H570" s="720"/>
      <c r="I570" s="720">
        <v>46175</v>
      </c>
      <c r="J570" s="706" t="s">
        <v>355</v>
      </c>
      <c r="K570" t="str">
        <f t="shared" si="28"/>
        <v>Switch</v>
      </c>
      <c r="M570" s="419">
        <f t="shared" si="27"/>
        <v>0</v>
      </c>
      <c r="N570" s="419">
        <f t="shared" si="29"/>
        <v>0</v>
      </c>
      <c r="O570" s="419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1">
        <f>All_Detail_v2[[#This Row],[Scheduled Date]]</f>
        <v>46175</v>
      </c>
      <c r="S570" s="421">
        <f>All_Detail_v2[[#This Row],[Install Date]]</f>
        <v>0</v>
      </c>
    </row>
    <row r="571" spans="1:19">
      <c r="A571">
        <v>567</v>
      </c>
      <c r="B571" s="704" t="s">
        <v>415</v>
      </c>
      <c r="C571" s="706" t="s">
        <v>695</v>
      </c>
      <c r="D571" s="706" t="s">
        <v>718</v>
      </c>
      <c r="E571" s="706" t="s">
        <v>360</v>
      </c>
      <c r="F571" s="706">
        <v>1</v>
      </c>
      <c r="G571" s="706"/>
      <c r="H571" s="720"/>
      <c r="I571" s="720">
        <v>46175</v>
      </c>
      <c r="J571" s="706" t="s">
        <v>355</v>
      </c>
      <c r="K571" t="str">
        <f t="shared" si="28"/>
        <v>Switch</v>
      </c>
      <c r="M571" s="419">
        <f t="shared" si="27"/>
        <v>0</v>
      </c>
      <c r="N571" s="419">
        <f t="shared" si="29"/>
        <v>0</v>
      </c>
      <c r="O571" s="419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1">
        <f>All_Detail_v2[[#This Row],[Scheduled Date]]</f>
        <v>46175</v>
      </c>
      <c r="S571" s="421">
        <f>All_Detail_v2[[#This Row],[Install Date]]</f>
        <v>0</v>
      </c>
    </row>
    <row r="572" spans="1:19">
      <c r="A572">
        <v>568</v>
      </c>
      <c r="B572" s="704" t="s">
        <v>415</v>
      </c>
      <c r="C572" s="706" t="s">
        <v>695</v>
      </c>
      <c r="D572" s="706" t="s">
        <v>718</v>
      </c>
      <c r="E572" s="706" t="s">
        <v>400</v>
      </c>
      <c r="F572" s="706">
        <v>1</v>
      </c>
      <c r="G572" s="706"/>
      <c r="H572" s="720"/>
      <c r="I572" s="720">
        <v>46175</v>
      </c>
      <c r="J572" s="706" t="s">
        <v>355</v>
      </c>
      <c r="K572" t="str">
        <f t="shared" si="28"/>
        <v>Switch</v>
      </c>
      <c r="M572" s="419">
        <f t="shared" si="27"/>
        <v>0</v>
      </c>
      <c r="N572" s="419">
        <f t="shared" si="29"/>
        <v>0</v>
      </c>
      <c r="O572" s="419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1">
        <f>All_Detail_v2[[#This Row],[Scheduled Date]]</f>
        <v>46175</v>
      </c>
      <c r="S572" s="421">
        <f>All_Detail_v2[[#This Row],[Install Date]]</f>
        <v>0</v>
      </c>
    </row>
    <row r="573" spans="1:19">
      <c r="A573">
        <v>569</v>
      </c>
      <c r="B573" s="704" t="s">
        <v>415</v>
      </c>
      <c r="C573" s="706" t="s">
        <v>695</v>
      </c>
      <c r="D573" s="706" t="s">
        <v>719</v>
      </c>
      <c r="E573" s="706" t="s">
        <v>360</v>
      </c>
      <c r="F573" s="706">
        <v>1</v>
      </c>
      <c r="G573" s="706"/>
      <c r="H573" s="720"/>
      <c r="I573" s="720">
        <v>46177</v>
      </c>
      <c r="J573" s="706" t="s">
        <v>355</v>
      </c>
      <c r="K573" t="str">
        <f t="shared" si="28"/>
        <v>Switch</v>
      </c>
      <c r="M573" s="419">
        <f t="shared" si="27"/>
        <v>0</v>
      </c>
      <c r="N573" s="419">
        <f t="shared" si="29"/>
        <v>0</v>
      </c>
      <c r="O573" s="419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1">
        <f>All_Detail_v2[[#This Row],[Scheduled Date]]</f>
        <v>46177</v>
      </c>
      <c r="S573" s="421">
        <f>All_Detail_v2[[#This Row],[Install Date]]</f>
        <v>0</v>
      </c>
    </row>
    <row r="574" spans="1:19">
      <c r="A574">
        <v>570</v>
      </c>
      <c r="B574" s="704" t="s">
        <v>415</v>
      </c>
      <c r="C574" s="706" t="s">
        <v>695</v>
      </c>
      <c r="D574" s="706" t="s">
        <v>719</v>
      </c>
      <c r="E574" s="706" t="s">
        <v>365</v>
      </c>
      <c r="F574" s="706">
        <v>1</v>
      </c>
      <c r="G574" s="706"/>
      <c r="H574" s="720"/>
      <c r="I574" s="720">
        <v>46177</v>
      </c>
      <c r="J574" s="706" t="s">
        <v>355</v>
      </c>
      <c r="K574" t="str">
        <f t="shared" si="28"/>
        <v>Switch</v>
      </c>
      <c r="M574" s="419">
        <f t="shared" si="27"/>
        <v>0</v>
      </c>
      <c r="N574" s="419">
        <f t="shared" si="29"/>
        <v>0</v>
      </c>
      <c r="O574" s="419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1">
        <f>All_Detail_v2[[#This Row],[Scheduled Date]]</f>
        <v>46177</v>
      </c>
      <c r="S574" s="421">
        <f>All_Detail_v2[[#This Row],[Install Date]]</f>
        <v>0</v>
      </c>
    </row>
    <row r="575" spans="1:19">
      <c r="A575">
        <v>571</v>
      </c>
      <c r="B575" s="704" t="s">
        <v>415</v>
      </c>
      <c r="C575" s="706" t="s">
        <v>695</v>
      </c>
      <c r="D575" s="706" t="s">
        <v>719</v>
      </c>
      <c r="E575" s="706" t="s">
        <v>400</v>
      </c>
      <c r="F575" s="706">
        <v>1</v>
      </c>
      <c r="G575" s="706"/>
      <c r="H575" s="720"/>
      <c r="I575" s="720">
        <v>46177</v>
      </c>
      <c r="J575" s="706" t="s">
        <v>355</v>
      </c>
      <c r="K575" t="str">
        <f t="shared" si="28"/>
        <v>Switch</v>
      </c>
      <c r="M575" s="419">
        <f t="shared" si="27"/>
        <v>0</v>
      </c>
      <c r="N575" s="419">
        <f t="shared" si="29"/>
        <v>0</v>
      </c>
      <c r="O575" s="419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1">
        <f>All_Detail_v2[[#This Row],[Scheduled Date]]</f>
        <v>46177</v>
      </c>
      <c r="S575" s="421">
        <f>All_Detail_v2[[#This Row],[Install Date]]</f>
        <v>0</v>
      </c>
    </row>
    <row r="576" spans="1:19">
      <c r="A576">
        <v>572</v>
      </c>
      <c r="B576" s="704" t="s">
        <v>415</v>
      </c>
      <c r="C576" s="706" t="s">
        <v>695</v>
      </c>
      <c r="D576" s="706" t="s">
        <v>720</v>
      </c>
      <c r="E576" s="706" t="s">
        <v>360</v>
      </c>
      <c r="F576" s="706">
        <v>1</v>
      </c>
      <c r="G576" s="706"/>
      <c r="H576" s="720"/>
      <c r="I576" s="720">
        <v>46177</v>
      </c>
      <c r="J576" s="706" t="s">
        <v>355</v>
      </c>
      <c r="K576" t="str">
        <f t="shared" si="28"/>
        <v>Switch</v>
      </c>
      <c r="M576" s="419">
        <f t="shared" si="27"/>
        <v>0</v>
      </c>
      <c r="N576" s="419">
        <f t="shared" si="29"/>
        <v>0</v>
      </c>
      <c r="O576" s="419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1">
        <f>All_Detail_v2[[#This Row],[Scheduled Date]]</f>
        <v>46177</v>
      </c>
      <c r="S576" s="421">
        <f>All_Detail_v2[[#This Row],[Install Date]]</f>
        <v>0</v>
      </c>
    </row>
    <row r="577" spans="1:19">
      <c r="A577">
        <v>573</v>
      </c>
      <c r="B577" s="704" t="s">
        <v>415</v>
      </c>
      <c r="C577" s="706" t="s">
        <v>695</v>
      </c>
      <c r="D577" s="706" t="s">
        <v>720</v>
      </c>
      <c r="E577" s="706" t="s">
        <v>365</v>
      </c>
      <c r="F577" s="706">
        <v>1</v>
      </c>
      <c r="G577" s="706"/>
      <c r="H577" s="720"/>
      <c r="I577" s="720">
        <v>46177</v>
      </c>
      <c r="J577" s="706" t="s">
        <v>355</v>
      </c>
      <c r="K577" t="str">
        <f t="shared" si="28"/>
        <v>Switch</v>
      </c>
      <c r="M577" s="419">
        <f t="shared" si="27"/>
        <v>0</v>
      </c>
      <c r="N577" s="419">
        <f t="shared" si="29"/>
        <v>0</v>
      </c>
      <c r="O577" s="419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1">
        <f>All_Detail_v2[[#This Row],[Scheduled Date]]</f>
        <v>46177</v>
      </c>
      <c r="S577" s="421">
        <f>All_Detail_v2[[#This Row],[Install Date]]</f>
        <v>0</v>
      </c>
    </row>
    <row r="578" spans="1:19">
      <c r="A578">
        <v>574</v>
      </c>
      <c r="B578" s="704" t="s">
        <v>415</v>
      </c>
      <c r="C578" s="706" t="s">
        <v>695</v>
      </c>
      <c r="D578" s="706" t="s">
        <v>721</v>
      </c>
      <c r="E578" s="706" t="s">
        <v>360</v>
      </c>
      <c r="F578" s="706">
        <v>1</v>
      </c>
      <c r="G578" s="706"/>
      <c r="H578" s="720"/>
      <c r="I578" s="720">
        <v>46177</v>
      </c>
      <c r="J578" s="706" t="s">
        <v>355</v>
      </c>
      <c r="K578" t="str">
        <f t="shared" si="28"/>
        <v>Switch</v>
      </c>
      <c r="M578" s="419">
        <f t="shared" ref="M578:M641" si="30">O578</f>
        <v>0</v>
      </c>
      <c r="N578" s="419">
        <f t="shared" si="29"/>
        <v>0</v>
      </c>
      <c r="O578" s="419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1">
        <f>All_Detail_v2[[#This Row],[Scheduled Date]]</f>
        <v>46177</v>
      </c>
      <c r="S578" s="421">
        <f>All_Detail_v2[[#This Row],[Install Date]]</f>
        <v>0</v>
      </c>
    </row>
    <row r="579" spans="1:19">
      <c r="A579">
        <v>575</v>
      </c>
      <c r="B579" s="704" t="s">
        <v>415</v>
      </c>
      <c r="C579" s="706" t="s">
        <v>695</v>
      </c>
      <c r="D579" s="706" t="s">
        <v>722</v>
      </c>
      <c r="E579" s="706" t="s">
        <v>360</v>
      </c>
      <c r="F579" s="706">
        <v>1</v>
      </c>
      <c r="G579" s="706"/>
      <c r="H579" s="720"/>
      <c r="I579" s="720">
        <v>46177</v>
      </c>
      <c r="J579" s="706" t="s">
        <v>355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9">
        <f t="shared" si="30"/>
        <v>0</v>
      </c>
      <c r="N579" s="419">
        <f t="shared" si="29"/>
        <v>0</v>
      </c>
      <c r="O579" s="419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1">
        <f>All_Detail_v2[[#This Row],[Scheduled Date]]</f>
        <v>46177</v>
      </c>
      <c r="S579" s="421">
        <f>All_Detail_v2[[#This Row],[Install Date]]</f>
        <v>0</v>
      </c>
    </row>
    <row r="580" spans="1:19">
      <c r="A580">
        <v>576</v>
      </c>
      <c r="B580" s="704" t="s">
        <v>415</v>
      </c>
      <c r="C580" s="706" t="s">
        <v>695</v>
      </c>
      <c r="D580" s="706" t="s">
        <v>723</v>
      </c>
      <c r="E580" s="706" t="s">
        <v>360</v>
      </c>
      <c r="F580" s="706">
        <v>1</v>
      </c>
      <c r="G580" s="706"/>
      <c r="H580" s="720"/>
      <c r="I580" s="720">
        <v>46177</v>
      </c>
      <c r="J580" s="706" t="s">
        <v>355</v>
      </c>
      <c r="K580" t="str">
        <f t="shared" si="31"/>
        <v>Switch</v>
      </c>
      <c r="M580" s="419">
        <f t="shared" si="30"/>
        <v>0</v>
      </c>
      <c r="N580" s="419">
        <f t="shared" si="29"/>
        <v>0</v>
      </c>
      <c r="O580" s="419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1">
        <f>All_Detail_v2[[#This Row],[Scheduled Date]]</f>
        <v>46177</v>
      </c>
      <c r="S580" s="421">
        <f>All_Detail_v2[[#This Row],[Install Date]]</f>
        <v>0</v>
      </c>
    </row>
    <row r="581" spans="1:19">
      <c r="A581">
        <v>577</v>
      </c>
      <c r="B581" s="704" t="s">
        <v>415</v>
      </c>
      <c r="C581" s="706" t="s">
        <v>695</v>
      </c>
      <c r="D581" s="706" t="s">
        <v>724</v>
      </c>
      <c r="E581" s="706" t="s">
        <v>360</v>
      </c>
      <c r="F581" s="706">
        <v>1</v>
      </c>
      <c r="G581" s="706"/>
      <c r="H581" s="720"/>
      <c r="I581" s="720">
        <v>46177</v>
      </c>
      <c r="J581" s="706" t="s">
        <v>355</v>
      </c>
      <c r="K581" t="str">
        <f t="shared" si="31"/>
        <v>Switch</v>
      </c>
      <c r="M581" s="419">
        <f t="shared" si="30"/>
        <v>0</v>
      </c>
      <c r="N581" s="419">
        <f t="shared" si="29"/>
        <v>0</v>
      </c>
      <c r="O581" s="419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1">
        <f>All_Detail_v2[[#This Row],[Scheduled Date]]</f>
        <v>46177</v>
      </c>
      <c r="S581" s="421">
        <f>All_Detail_v2[[#This Row],[Install Date]]</f>
        <v>0</v>
      </c>
    </row>
    <row r="582" spans="1:19">
      <c r="A582">
        <v>578</v>
      </c>
      <c r="B582" s="704" t="s">
        <v>415</v>
      </c>
      <c r="C582" s="706" t="s">
        <v>695</v>
      </c>
      <c r="D582" s="706" t="s">
        <v>724</v>
      </c>
      <c r="E582" s="706" t="s">
        <v>365</v>
      </c>
      <c r="F582" s="706">
        <v>1</v>
      </c>
      <c r="G582" s="706"/>
      <c r="H582" s="720"/>
      <c r="I582" s="720">
        <v>46177</v>
      </c>
      <c r="J582" s="706" t="s">
        <v>355</v>
      </c>
      <c r="K582" t="str">
        <f t="shared" si="31"/>
        <v>Switch</v>
      </c>
      <c r="M582" s="419">
        <f t="shared" si="30"/>
        <v>0</v>
      </c>
      <c r="N582" s="419">
        <f t="shared" ref="N582:N645" si="32">O582</f>
        <v>0</v>
      </c>
      <c r="O582" s="419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1">
        <f>All_Detail_v2[[#This Row],[Scheduled Date]]</f>
        <v>46177</v>
      </c>
      <c r="S582" s="421">
        <f>All_Detail_v2[[#This Row],[Install Date]]</f>
        <v>0</v>
      </c>
    </row>
    <row r="583" spans="1:19">
      <c r="A583">
        <v>579</v>
      </c>
      <c r="B583" s="704" t="s">
        <v>415</v>
      </c>
      <c r="C583" s="706" t="s">
        <v>725</v>
      </c>
      <c r="D583" s="706" t="s">
        <v>726</v>
      </c>
      <c r="E583" s="706" t="s">
        <v>360</v>
      </c>
      <c r="F583" s="706">
        <v>2</v>
      </c>
      <c r="G583" s="706"/>
      <c r="H583" s="720"/>
      <c r="I583" s="720">
        <v>46170</v>
      </c>
      <c r="J583" s="706" t="s">
        <v>355</v>
      </c>
      <c r="K583" t="str">
        <f t="shared" si="31"/>
        <v>Switch</v>
      </c>
      <c r="M583" s="419">
        <f t="shared" si="30"/>
        <v>0</v>
      </c>
      <c r="N583" s="419">
        <f t="shared" si="32"/>
        <v>0</v>
      </c>
      <c r="O583" s="419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1">
        <f>All_Detail_v2[[#This Row],[Scheduled Date]]</f>
        <v>46170</v>
      </c>
      <c r="S583" s="421">
        <f>All_Detail_v2[[#This Row],[Install Date]]</f>
        <v>0</v>
      </c>
    </row>
    <row r="584" spans="1:19">
      <c r="A584">
        <v>580</v>
      </c>
      <c r="B584" s="704" t="s">
        <v>415</v>
      </c>
      <c r="C584" s="706" t="s">
        <v>725</v>
      </c>
      <c r="D584" s="706" t="s">
        <v>726</v>
      </c>
      <c r="E584" s="706" t="s">
        <v>365</v>
      </c>
      <c r="F584" s="706">
        <v>1</v>
      </c>
      <c r="G584" s="706"/>
      <c r="H584" s="720"/>
      <c r="I584" s="720">
        <v>46170</v>
      </c>
      <c r="J584" s="706" t="s">
        <v>355</v>
      </c>
      <c r="K584" t="str">
        <f t="shared" si="31"/>
        <v>Switch</v>
      </c>
      <c r="M584" s="419">
        <f t="shared" si="30"/>
        <v>0</v>
      </c>
      <c r="N584" s="419">
        <f t="shared" si="32"/>
        <v>0</v>
      </c>
      <c r="O584" s="419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1">
        <f>All_Detail_v2[[#This Row],[Scheduled Date]]</f>
        <v>46170</v>
      </c>
      <c r="S584" s="421">
        <f>All_Detail_v2[[#This Row],[Install Date]]</f>
        <v>0</v>
      </c>
    </row>
    <row r="585" spans="1:19">
      <c r="A585">
        <v>581</v>
      </c>
      <c r="B585" s="704" t="s">
        <v>415</v>
      </c>
      <c r="C585" s="706" t="s">
        <v>725</v>
      </c>
      <c r="D585" s="706" t="s">
        <v>726</v>
      </c>
      <c r="E585" s="706" t="s">
        <v>402</v>
      </c>
      <c r="F585" s="706">
        <v>1</v>
      </c>
      <c r="G585" s="706"/>
      <c r="H585" s="720"/>
      <c r="I585" s="720">
        <v>46170</v>
      </c>
      <c r="J585" s="706" t="s">
        <v>355</v>
      </c>
      <c r="K585" t="str">
        <f t="shared" si="31"/>
        <v>Switch</v>
      </c>
      <c r="M585" s="419">
        <f t="shared" si="30"/>
        <v>0</v>
      </c>
      <c r="N585" s="419">
        <f t="shared" si="32"/>
        <v>0</v>
      </c>
      <c r="O585" s="419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1">
        <f>All_Detail_v2[[#This Row],[Scheduled Date]]</f>
        <v>46170</v>
      </c>
      <c r="S585" s="421">
        <f>All_Detail_v2[[#This Row],[Install Date]]</f>
        <v>0</v>
      </c>
    </row>
    <row r="586" spans="1:19">
      <c r="A586">
        <v>582</v>
      </c>
      <c r="B586" s="704" t="s">
        <v>415</v>
      </c>
      <c r="C586" s="706" t="s">
        <v>725</v>
      </c>
      <c r="D586" s="706" t="s">
        <v>727</v>
      </c>
      <c r="E586" s="706" t="s">
        <v>360</v>
      </c>
      <c r="F586" s="706">
        <v>1</v>
      </c>
      <c r="G586" s="706"/>
      <c r="H586" s="720"/>
      <c r="I586" s="720">
        <v>46170</v>
      </c>
      <c r="J586" s="706" t="s">
        <v>355</v>
      </c>
      <c r="K586" t="str">
        <f t="shared" si="31"/>
        <v>Switch</v>
      </c>
      <c r="M586" s="419">
        <f t="shared" si="30"/>
        <v>0</v>
      </c>
      <c r="N586" s="419">
        <f t="shared" si="32"/>
        <v>0</v>
      </c>
      <c r="O586" s="419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1">
        <f>All_Detail_v2[[#This Row],[Scheduled Date]]</f>
        <v>46170</v>
      </c>
      <c r="S586" s="421">
        <f>All_Detail_v2[[#This Row],[Install Date]]</f>
        <v>0</v>
      </c>
    </row>
    <row r="587" spans="1:19">
      <c r="A587">
        <v>583</v>
      </c>
      <c r="B587" s="704" t="s">
        <v>415</v>
      </c>
      <c r="C587" s="706" t="s">
        <v>725</v>
      </c>
      <c r="D587" s="706" t="s">
        <v>727</v>
      </c>
      <c r="E587" s="706" t="s">
        <v>365</v>
      </c>
      <c r="F587" s="706">
        <v>1</v>
      </c>
      <c r="G587" s="706"/>
      <c r="H587" s="720"/>
      <c r="I587" s="720">
        <v>46170</v>
      </c>
      <c r="J587" s="706" t="s">
        <v>355</v>
      </c>
      <c r="K587" t="str">
        <f t="shared" si="31"/>
        <v>Switch</v>
      </c>
      <c r="M587" s="419">
        <f t="shared" si="30"/>
        <v>0</v>
      </c>
      <c r="N587" s="419">
        <f t="shared" si="32"/>
        <v>0</v>
      </c>
      <c r="O587" s="419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1">
        <f>All_Detail_v2[[#This Row],[Scheduled Date]]</f>
        <v>46170</v>
      </c>
      <c r="S587" s="421">
        <f>All_Detail_v2[[#This Row],[Install Date]]</f>
        <v>0</v>
      </c>
    </row>
    <row r="588" spans="1:19">
      <c r="A588">
        <v>584</v>
      </c>
      <c r="B588" s="704" t="s">
        <v>415</v>
      </c>
      <c r="C588" s="706" t="s">
        <v>725</v>
      </c>
      <c r="D588" s="706" t="s">
        <v>727</v>
      </c>
      <c r="E588" s="706" t="s">
        <v>400</v>
      </c>
      <c r="F588" s="706">
        <v>1</v>
      </c>
      <c r="G588" s="706"/>
      <c r="H588" s="720"/>
      <c r="I588" s="720">
        <v>46170</v>
      </c>
      <c r="J588" s="706" t="s">
        <v>355</v>
      </c>
      <c r="K588" t="str">
        <f t="shared" si="31"/>
        <v>Switch</v>
      </c>
      <c r="M588" s="419">
        <f t="shared" si="30"/>
        <v>0</v>
      </c>
      <c r="N588" s="419">
        <f t="shared" si="32"/>
        <v>0</v>
      </c>
      <c r="O588" s="419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1">
        <f>All_Detail_v2[[#This Row],[Scheduled Date]]</f>
        <v>46170</v>
      </c>
      <c r="S588" s="421">
        <f>All_Detail_v2[[#This Row],[Install Date]]</f>
        <v>0</v>
      </c>
    </row>
    <row r="589" spans="1:19">
      <c r="A589">
        <v>585</v>
      </c>
      <c r="B589" s="704" t="s">
        <v>415</v>
      </c>
      <c r="C589" s="706" t="s">
        <v>725</v>
      </c>
      <c r="D589" s="706" t="s">
        <v>728</v>
      </c>
      <c r="E589" s="706" t="s">
        <v>360</v>
      </c>
      <c r="F589" s="706">
        <v>1</v>
      </c>
      <c r="G589" s="706"/>
      <c r="H589" s="720"/>
      <c r="I589" s="720">
        <v>46170</v>
      </c>
      <c r="J589" s="706" t="s">
        <v>355</v>
      </c>
      <c r="K589" t="str">
        <f t="shared" si="31"/>
        <v>Switch</v>
      </c>
      <c r="M589" s="419">
        <f t="shared" si="30"/>
        <v>0</v>
      </c>
      <c r="N589" s="419">
        <f t="shared" si="32"/>
        <v>0</v>
      </c>
      <c r="O589" s="419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1">
        <f>All_Detail_v2[[#This Row],[Scheduled Date]]</f>
        <v>46170</v>
      </c>
      <c r="S589" s="421">
        <f>All_Detail_v2[[#This Row],[Install Date]]</f>
        <v>0</v>
      </c>
    </row>
    <row r="590" spans="1:19">
      <c r="A590">
        <v>586</v>
      </c>
      <c r="B590" s="704" t="s">
        <v>415</v>
      </c>
      <c r="C590" s="706" t="s">
        <v>725</v>
      </c>
      <c r="D590" s="706" t="s">
        <v>728</v>
      </c>
      <c r="E590" s="706" t="s">
        <v>365</v>
      </c>
      <c r="F590" s="706">
        <v>1</v>
      </c>
      <c r="G590" s="706"/>
      <c r="H590" s="720"/>
      <c r="I590" s="720">
        <v>46170</v>
      </c>
      <c r="J590" s="706" t="s">
        <v>355</v>
      </c>
      <c r="K590" t="str">
        <f t="shared" si="31"/>
        <v>Switch</v>
      </c>
      <c r="M590" s="419">
        <f t="shared" si="30"/>
        <v>0</v>
      </c>
      <c r="N590" s="419">
        <f t="shared" si="32"/>
        <v>0</v>
      </c>
      <c r="O590" s="419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1">
        <f>All_Detail_v2[[#This Row],[Scheduled Date]]</f>
        <v>46170</v>
      </c>
      <c r="S590" s="421">
        <f>All_Detail_v2[[#This Row],[Install Date]]</f>
        <v>0</v>
      </c>
    </row>
    <row r="591" spans="1:19">
      <c r="A591">
        <v>587</v>
      </c>
      <c r="B591" s="704" t="s">
        <v>415</v>
      </c>
      <c r="C591" s="706" t="s">
        <v>725</v>
      </c>
      <c r="D591" s="706" t="s">
        <v>728</v>
      </c>
      <c r="E591" s="706" t="s">
        <v>400</v>
      </c>
      <c r="F591" s="706">
        <v>1</v>
      </c>
      <c r="G591" s="706"/>
      <c r="H591" s="720"/>
      <c r="I591" s="720">
        <v>46170</v>
      </c>
      <c r="J591" s="706" t="s">
        <v>355</v>
      </c>
      <c r="K591" t="str">
        <f t="shared" si="31"/>
        <v>Switch</v>
      </c>
      <c r="M591" s="419">
        <f t="shared" si="30"/>
        <v>0</v>
      </c>
      <c r="N591" s="419">
        <f t="shared" si="32"/>
        <v>0</v>
      </c>
      <c r="O591" s="419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1">
        <f>All_Detail_v2[[#This Row],[Scheduled Date]]</f>
        <v>46170</v>
      </c>
      <c r="S591" s="421">
        <f>All_Detail_v2[[#This Row],[Install Date]]</f>
        <v>0</v>
      </c>
    </row>
    <row r="592" spans="1:19">
      <c r="A592">
        <v>588</v>
      </c>
      <c r="B592" s="704" t="s">
        <v>415</v>
      </c>
      <c r="C592" s="706" t="s">
        <v>725</v>
      </c>
      <c r="D592" s="706" t="s">
        <v>729</v>
      </c>
      <c r="E592" s="706" t="s">
        <v>360</v>
      </c>
      <c r="F592" s="706">
        <v>1</v>
      </c>
      <c r="G592" s="706"/>
      <c r="H592" s="720"/>
      <c r="I592" s="720">
        <v>46170</v>
      </c>
      <c r="J592" s="706" t="s">
        <v>355</v>
      </c>
      <c r="K592" t="str">
        <f t="shared" si="31"/>
        <v>Switch</v>
      </c>
      <c r="M592" s="419">
        <f t="shared" si="30"/>
        <v>0</v>
      </c>
      <c r="N592" s="419">
        <f t="shared" si="32"/>
        <v>0</v>
      </c>
      <c r="O592" s="419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1">
        <f>All_Detail_v2[[#This Row],[Scheduled Date]]</f>
        <v>46170</v>
      </c>
      <c r="S592" s="421">
        <f>All_Detail_v2[[#This Row],[Install Date]]</f>
        <v>0</v>
      </c>
    </row>
    <row r="593" spans="1:19">
      <c r="A593">
        <v>589</v>
      </c>
      <c r="B593" s="704" t="s">
        <v>415</v>
      </c>
      <c r="C593" s="706" t="s">
        <v>725</v>
      </c>
      <c r="D593" s="706" t="s">
        <v>729</v>
      </c>
      <c r="E593" s="706" t="s">
        <v>365</v>
      </c>
      <c r="F593" s="706">
        <v>1</v>
      </c>
      <c r="G593" s="706"/>
      <c r="H593" s="720"/>
      <c r="I593" s="720">
        <v>46170</v>
      </c>
      <c r="J593" s="706" t="s">
        <v>355</v>
      </c>
      <c r="K593" t="str">
        <f t="shared" si="31"/>
        <v>Switch</v>
      </c>
      <c r="M593" s="419">
        <f t="shared" si="30"/>
        <v>0</v>
      </c>
      <c r="N593" s="419">
        <f t="shared" si="32"/>
        <v>0</v>
      </c>
      <c r="O593" s="419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1">
        <f>All_Detail_v2[[#This Row],[Scheduled Date]]</f>
        <v>46170</v>
      </c>
      <c r="S593" s="421">
        <f>All_Detail_v2[[#This Row],[Install Date]]</f>
        <v>0</v>
      </c>
    </row>
    <row r="594" spans="1:19">
      <c r="A594">
        <v>590</v>
      </c>
      <c r="B594" s="704" t="s">
        <v>415</v>
      </c>
      <c r="C594" s="706" t="s">
        <v>725</v>
      </c>
      <c r="D594" s="706" t="s">
        <v>729</v>
      </c>
      <c r="E594" s="706" t="s">
        <v>400</v>
      </c>
      <c r="F594" s="706">
        <v>1</v>
      </c>
      <c r="G594" s="706"/>
      <c r="H594" s="720"/>
      <c r="I594" s="720">
        <v>46170</v>
      </c>
      <c r="J594" s="706" t="s">
        <v>355</v>
      </c>
      <c r="K594" t="str">
        <f t="shared" si="31"/>
        <v>Switch</v>
      </c>
      <c r="M594" s="419">
        <f t="shared" si="30"/>
        <v>0</v>
      </c>
      <c r="N594" s="419">
        <f t="shared" si="32"/>
        <v>0</v>
      </c>
      <c r="O594" s="419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1">
        <f>All_Detail_v2[[#This Row],[Scheduled Date]]</f>
        <v>46170</v>
      </c>
      <c r="S594" s="421">
        <f>All_Detail_v2[[#This Row],[Install Date]]</f>
        <v>0</v>
      </c>
    </row>
    <row r="595" spans="1:19">
      <c r="A595">
        <v>591</v>
      </c>
      <c r="B595" s="704" t="s">
        <v>415</v>
      </c>
      <c r="C595" s="706" t="s">
        <v>725</v>
      </c>
      <c r="D595" s="706" t="s">
        <v>730</v>
      </c>
      <c r="E595" s="706" t="s">
        <v>360</v>
      </c>
      <c r="F595" s="706">
        <v>1</v>
      </c>
      <c r="G595" s="706"/>
      <c r="H595" s="720"/>
      <c r="I595" s="720">
        <v>46171</v>
      </c>
      <c r="J595" s="706" t="s">
        <v>355</v>
      </c>
      <c r="K595" t="str">
        <f t="shared" si="31"/>
        <v>Switch</v>
      </c>
      <c r="M595" s="419">
        <f t="shared" si="30"/>
        <v>0</v>
      </c>
      <c r="N595" s="419">
        <f t="shared" si="32"/>
        <v>0</v>
      </c>
      <c r="O595" s="419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1">
        <f>All_Detail_v2[[#This Row],[Scheduled Date]]</f>
        <v>46171</v>
      </c>
      <c r="S595" s="421">
        <f>All_Detail_v2[[#This Row],[Install Date]]</f>
        <v>0</v>
      </c>
    </row>
    <row r="596" spans="1:19">
      <c r="A596">
        <v>592</v>
      </c>
      <c r="B596" s="704" t="s">
        <v>415</v>
      </c>
      <c r="C596" s="706" t="s">
        <v>725</v>
      </c>
      <c r="D596" s="706" t="s">
        <v>730</v>
      </c>
      <c r="E596" s="706" t="s">
        <v>365</v>
      </c>
      <c r="F596" s="706">
        <v>2</v>
      </c>
      <c r="G596" s="706"/>
      <c r="H596" s="720"/>
      <c r="I596" s="720">
        <v>46171</v>
      </c>
      <c r="J596" s="706" t="s">
        <v>355</v>
      </c>
      <c r="K596" t="str">
        <f t="shared" si="31"/>
        <v>Switch</v>
      </c>
      <c r="M596" s="419">
        <f t="shared" si="30"/>
        <v>0</v>
      </c>
      <c r="N596" s="419">
        <f t="shared" si="32"/>
        <v>0</v>
      </c>
      <c r="O596" s="419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1">
        <f>All_Detail_v2[[#This Row],[Scheduled Date]]</f>
        <v>46171</v>
      </c>
      <c r="S596" s="421">
        <f>All_Detail_v2[[#This Row],[Install Date]]</f>
        <v>0</v>
      </c>
    </row>
    <row r="597" spans="1:19">
      <c r="A597">
        <v>593</v>
      </c>
      <c r="B597" s="704" t="s">
        <v>415</v>
      </c>
      <c r="C597" s="706" t="s">
        <v>725</v>
      </c>
      <c r="D597" s="706" t="s">
        <v>730</v>
      </c>
      <c r="E597" s="706" t="s">
        <v>400</v>
      </c>
      <c r="F597" s="706">
        <v>1</v>
      </c>
      <c r="G597" s="706"/>
      <c r="H597" s="720"/>
      <c r="I597" s="720">
        <v>46171</v>
      </c>
      <c r="J597" s="706" t="s">
        <v>355</v>
      </c>
      <c r="K597" t="str">
        <f t="shared" si="31"/>
        <v>Switch</v>
      </c>
      <c r="M597" s="419">
        <f t="shared" si="30"/>
        <v>0</v>
      </c>
      <c r="N597" s="419">
        <f t="shared" si="32"/>
        <v>0</v>
      </c>
      <c r="O597" s="419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1">
        <f>All_Detail_v2[[#This Row],[Scheduled Date]]</f>
        <v>46171</v>
      </c>
      <c r="S597" s="421">
        <f>All_Detail_v2[[#This Row],[Install Date]]</f>
        <v>0</v>
      </c>
    </row>
    <row r="598" spans="1:19">
      <c r="A598">
        <v>594</v>
      </c>
      <c r="B598" s="704" t="s">
        <v>415</v>
      </c>
      <c r="C598" s="706" t="s">
        <v>725</v>
      </c>
      <c r="D598" s="706" t="s">
        <v>731</v>
      </c>
      <c r="E598" s="706" t="s">
        <v>360</v>
      </c>
      <c r="F598" s="706">
        <v>1</v>
      </c>
      <c r="G598" s="706"/>
      <c r="H598" s="720"/>
      <c r="I598" s="720">
        <v>46171</v>
      </c>
      <c r="J598" s="706" t="s">
        <v>355</v>
      </c>
      <c r="K598" t="str">
        <f t="shared" si="31"/>
        <v>Switch</v>
      </c>
      <c r="M598" s="419">
        <f t="shared" si="30"/>
        <v>0</v>
      </c>
      <c r="N598" s="419">
        <f t="shared" si="32"/>
        <v>0</v>
      </c>
      <c r="O598" s="419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1">
        <f>All_Detail_v2[[#This Row],[Scheduled Date]]</f>
        <v>46171</v>
      </c>
      <c r="S598" s="421">
        <f>All_Detail_v2[[#This Row],[Install Date]]</f>
        <v>0</v>
      </c>
    </row>
    <row r="599" spans="1:19">
      <c r="A599">
        <v>595</v>
      </c>
      <c r="B599" s="704" t="s">
        <v>415</v>
      </c>
      <c r="C599" s="706" t="s">
        <v>725</v>
      </c>
      <c r="D599" s="706" t="s">
        <v>731</v>
      </c>
      <c r="E599" s="706" t="s">
        <v>365</v>
      </c>
      <c r="F599" s="706">
        <v>1</v>
      </c>
      <c r="G599" s="706"/>
      <c r="H599" s="720"/>
      <c r="I599" s="720">
        <v>46171</v>
      </c>
      <c r="J599" s="706" t="s">
        <v>355</v>
      </c>
      <c r="K599" t="str">
        <f t="shared" si="31"/>
        <v>Switch</v>
      </c>
      <c r="M599" s="419">
        <f t="shared" si="30"/>
        <v>0</v>
      </c>
      <c r="N599" s="419">
        <f t="shared" si="32"/>
        <v>0</v>
      </c>
      <c r="O599" s="419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1">
        <f>All_Detail_v2[[#This Row],[Scheduled Date]]</f>
        <v>46171</v>
      </c>
      <c r="S599" s="421">
        <f>All_Detail_v2[[#This Row],[Install Date]]</f>
        <v>0</v>
      </c>
    </row>
    <row r="600" spans="1:19">
      <c r="A600">
        <v>596</v>
      </c>
      <c r="B600" s="704" t="s">
        <v>415</v>
      </c>
      <c r="C600" s="706" t="s">
        <v>725</v>
      </c>
      <c r="D600" s="706" t="s">
        <v>732</v>
      </c>
      <c r="E600" s="706" t="s">
        <v>360</v>
      </c>
      <c r="F600" s="706">
        <v>1</v>
      </c>
      <c r="G600" s="706"/>
      <c r="H600" s="720"/>
      <c r="I600" s="720">
        <v>46171</v>
      </c>
      <c r="J600" s="706" t="s">
        <v>355</v>
      </c>
      <c r="K600" t="str">
        <f t="shared" si="31"/>
        <v>Switch</v>
      </c>
      <c r="M600" s="419">
        <f t="shared" si="30"/>
        <v>0</v>
      </c>
      <c r="N600" s="419">
        <f t="shared" si="32"/>
        <v>0</v>
      </c>
      <c r="O600" s="419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1">
        <f>All_Detail_v2[[#This Row],[Scheduled Date]]</f>
        <v>46171</v>
      </c>
      <c r="S600" s="421">
        <f>All_Detail_v2[[#This Row],[Install Date]]</f>
        <v>0</v>
      </c>
    </row>
    <row r="601" spans="1:19">
      <c r="A601">
        <v>597</v>
      </c>
      <c r="B601" s="704" t="s">
        <v>415</v>
      </c>
      <c r="C601" s="706" t="s">
        <v>725</v>
      </c>
      <c r="D601" s="706" t="s">
        <v>732</v>
      </c>
      <c r="E601" s="706" t="s">
        <v>365</v>
      </c>
      <c r="F601" s="706">
        <v>1</v>
      </c>
      <c r="G601" s="706"/>
      <c r="H601" s="720"/>
      <c r="I601" s="720">
        <v>46171</v>
      </c>
      <c r="J601" s="706" t="s">
        <v>355</v>
      </c>
      <c r="K601" t="str">
        <f t="shared" si="31"/>
        <v>Switch</v>
      </c>
      <c r="M601" s="419">
        <f t="shared" si="30"/>
        <v>0</v>
      </c>
      <c r="N601" s="419">
        <f t="shared" si="32"/>
        <v>0</v>
      </c>
      <c r="O601" s="419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1">
        <f>All_Detail_v2[[#This Row],[Scheduled Date]]</f>
        <v>46171</v>
      </c>
      <c r="S601" s="421">
        <f>All_Detail_v2[[#This Row],[Install Date]]</f>
        <v>0</v>
      </c>
    </row>
    <row r="602" spans="1:19">
      <c r="A602">
        <v>598</v>
      </c>
      <c r="B602" s="704" t="s">
        <v>415</v>
      </c>
      <c r="C602" s="706" t="s">
        <v>725</v>
      </c>
      <c r="D602" s="706" t="s">
        <v>733</v>
      </c>
      <c r="E602" s="706" t="s">
        <v>360</v>
      </c>
      <c r="F602" s="706">
        <v>1</v>
      </c>
      <c r="G602" s="706"/>
      <c r="H602" s="720"/>
      <c r="I602" s="720">
        <v>46171</v>
      </c>
      <c r="J602" s="706" t="s">
        <v>355</v>
      </c>
      <c r="K602" t="str">
        <f t="shared" si="31"/>
        <v>Switch</v>
      </c>
      <c r="M602" s="419">
        <f t="shared" si="30"/>
        <v>0</v>
      </c>
      <c r="N602" s="419">
        <f t="shared" si="32"/>
        <v>0</v>
      </c>
      <c r="O602" s="419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1">
        <f>All_Detail_v2[[#This Row],[Scheduled Date]]</f>
        <v>46171</v>
      </c>
      <c r="S602" s="421">
        <f>All_Detail_v2[[#This Row],[Install Date]]</f>
        <v>0</v>
      </c>
    </row>
    <row r="603" spans="1:19">
      <c r="A603">
        <v>599</v>
      </c>
      <c r="B603" s="704" t="s">
        <v>415</v>
      </c>
      <c r="C603" s="706" t="s">
        <v>725</v>
      </c>
      <c r="D603" s="706" t="s">
        <v>733</v>
      </c>
      <c r="E603" s="706" t="s">
        <v>365</v>
      </c>
      <c r="F603" s="706">
        <v>1</v>
      </c>
      <c r="G603" s="706"/>
      <c r="H603" s="720"/>
      <c r="I603" s="720">
        <v>46171</v>
      </c>
      <c r="J603" s="706" t="s">
        <v>355</v>
      </c>
      <c r="K603" t="str">
        <f t="shared" si="31"/>
        <v>Switch</v>
      </c>
      <c r="M603" s="419">
        <f t="shared" si="30"/>
        <v>0</v>
      </c>
      <c r="N603" s="419">
        <f t="shared" si="32"/>
        <v>0</v>
      </c>
      <c r="O603" s="419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1">
        <f>All_Detail_v2[[#This Row],[Scheduled Date]]</f>
        <v>46171</v>
      </c>
      <c r="S603" s="421">
        <f>All_Detail_v2[[#This Row],[Install Date]]</f>
        <v>0</v>
      </c>
    </row>
    <row r="604" spans="1:19">
      <c r="A604">
        <v>600</v>
      </c>
      <c r="B604" s="704" t="s">
        <v>415</v>
      </c>
      <c r="C604" s="706" t="s">
        <v>725</v>
      </c>
      <c r="D604" s="706" t="s">
        <v>734</v>
      </c>
      <c r="E604" s="706" t="s">
        <v>360</v>
      </c>
      <c r="F604" s="706">
        <v>1</v>
      </c>
      <c r="G604" s="706"/>
      <c r="H604" s="720"/>
      <c r="I604" s="720">
        <v>46171</v>
      </c>
      <c r="J604" s="706" t="s">
        <v>355</v>
      </c>
      <c r="K604" t="str">
        <f t="shared" si="31"/>
        <v>Switch</v>
      </c>
      <c r="M604" s="419">
        <f t="shared" si="30"/>
        <v>0</v>
      </c>
      <c r="N604" s="419">
        <f t="shared" si="32"/>
        <v>0</v>
      </c>
      <c r="O604" s="419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1">
        <f>All_Detail_v2[[#This Row],[Scheduled Date]]</f>
        <v>46171</v>
      </c>
      <c r="S604" s="421">
        <f>All_Detail_v2[[#This Row],[Install Date]]</f>
        <v>0</v>
      </c>
    </row>
    <row r="605" spans="1:19">
      <c r="A605">
        <v>601</v>
      </c>
      <c r="B605" s="704" t="s">
        <v>415</v>
      </c>
      <c r="C605" s="706" t="s">
        <v>725</v>
      </c>
      <c r="D605" s="706" t="s">
        <v>734</v>
      </c>
      <c r="E605" s="706" t="s">
        <v>365</v>
      </c>
      <c r="F605" s="706">
        <v>1</v>
      </c>
      <c r="G605" s="706"/>
      <c r="H605" s="720"/>
      <c r="I605" s="720">
        <v>46171</v>
      </c>
      <c r="J605" s="706" t="s">
        <v>355</v>
      </c>
      <c r="K605" t="str">
        <f t="shared" si="31"/>
        <v>Switch</v>
      </c>
      <c r="M605" s="419">
        <f t="shared" si="30"/>
        <v>0</v>
      </c>
      <c r="N605" s="419">
        <f t="shared" si="32"/>
        <v>0</v>
      </c>
      <c r="O605" s="419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1">
        <f>All_Detail_v2[[#This Row],[Scheduled Date]]</f>
        <v>46171</v>
      </c>
      <c r="S605" s="421">
        <f>All_Detail_v2[[#This Row],[Install Date]]</f>
        <v>0</v>
      </c>
    </row>
    <row r="606" spans="1:19">
      <c r="A606">
        <v>602</v>
      </c>
      <c r="B606" s="704" t="s">
        <v>415</v>
      </c>
      <c r="C606" s="706" t="s">
        <v>725</v>
      </c>
      <c r="D606" s="706" t="s">
        <v>735</v>
      </c>
      <c r="E606" s="706" t="s">
        <v>360</v>
      </c>
      <c r="F606" s="706">
        <v>1</v>
      </c>
      <c r="G606" s="706"/>
      <c r="H606" s="720"/>
      <c r="I606" s="720">
        <v>46174</v>
      </c>
      <c r="J606" s="706" t="s">
        <v>355</v>
      </c>
      <c r="K606" t="str">
        <f t="shared" si="31"/>
        <v>Switch</v>
      </c>
      <c r="M606" s="419">
        <f t="shared" si="30"/>
        <v>0</v>
      </c>
      <c r="N606" s="419">
        <f t="shared" si="32"/>
        <v>0</v>
      </c>
      <c r="O606" s="419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1">
        <f>All_Detail_v2[[#This Row],[Scheduled Date]]</f>
        <v>46174</v>
      </c>
      <c r="S606" s="421">
        <f>All_Detail_v2[[#This Row],[Install Date]]</f>
        <v>0</v>
      </c>
    </row>
    <row r="607" spans="1:19">
      <c r="A607">
        <v>603</v>
      </c>
      <c r="B607" s="704" t="s">
        <v>415</v>
      </c>
      <c r="C607" s="706" t="s">
        <v>725</v>
      </c>
      <c r="D607" s="706" t="s">
        <v>735</v>
      </c>
      <c r="E607" s="706" t="s">
        <v>365</v>
      </c>
      <c r="F607" s="706">
        <v>1</v>
      </c>
      <c r="G607" s="706"/>
      <c r="H607" s="720"/>
      <c r="I607" s="720">
        <v>46174</v>
      </c>
      <c r="J607" s="706" t="s">
        <v>355</v>
      </c>
      <c r="K607" t="str">
        <f t="shared" si="31"/>
        <v>Switch</v>
      </c>
      <c r="M607" s="419">
        <f t="shared" si="30"/>
        <v>0</v>
      </c>
      <c r="N607" s="419">
        <f t="shared" si="32"/>
        <v>0</v>
      </c>
      <c r="O607" s="419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1">
        <f>All_Detail_v2[[#This Row],[Scheduled Date]]</f>
        <v>46174</v>
      </c>
      <c r="S607" s="421">
        <f>All_Detail_v2[[#This Row],[Install Date]]</f>
        <v>0</v>
      </c>
    </row>
    <row r="608" spans="1:19">
      <c r="A608">
        <v>604</v>
      </c>
      <c r="B608" s="704" t="s">
        <v>415</v>
      </c>
      <c r="C608" s="706" t="s">
        <v>725</v>
      </c>
      <c r="D608" s="706" t="s">
        <v>736</v>
      </c>
      <c r="E608" s="706" t="s">
        <v>360</v>
      </c>
      <c r="F608" s="706">
        <v>1</v>
      </c>
      <c r="G608" s="706"/>
      <c r="H608" s="720"/>
      <c r="I608" s="720">
        <v>46174</v>
      </c>
      <c r="J608" s="706" t="s">
        <v>355</v>
      </c>
      <c r="K608" t="str">
        <f t="shared" si="31"/>
        <v>Switch</v>
      </c>
      <c r="M608" s="419">
        <f t="shared" si="30"/>
        <v>0</v>
      </c>
      <c r="N608" s="419">
        <f t="shared" si="32"/>
        <v>0</v>
      </c>
      <c r="O608" s="419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1">
        <f>All_Detail_v2[[#This Row],[Scheduled Date]]</f>
        <v>46174</v>
      </c>
      <c r="S608" s="421">
        <f>All_Detail_v2[[#This Row],[Install Date]]</f>
        <v>0</v>
      </c>
    </row>
    <row r="609" spans="1:19">
      <c r="A609">
        <v>605</v>
      </c>
      <c r="B609" s="704" t="s">
        <v>415</v>
      </c>
      <c r="C609" s="706" t="s">
        <v>725</v>
      </c>
      <c r="D609" s="706" t="s">
        <v>736</v>
      </c>
      <c r="E609" s="706" t="s">
        <v>365</v>
      </c>
      <c r="F609" s="706">
        <v>1</v>
      </c>
      <c r="G609" s="706"/>
      <c r="H609" s="720"/>
      <c r="I609" s="720">
        <v>46174</v>
      </c>
      <c r="J609" s="706" t="s">
        <v>355</v>
      </c>
      <c r="K609" t="str">
        <f t="shared" si="31"/>
        <v>Switch</v>
      </c>
      <c r="M609" s="419">
        <f t="shared" si="30"/>
        <v>0</v>
      </c>
      <c r="N609" s="419">
        <f t="shared" si="32"/>
        <v>0</v>
      </c>
      <c r="O609" s="419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1">
        <f>All_Detail_v2[[#This Row],[Scheduled Date]]</f>
        <v>46174</v>
      </c>
      <c r="S609" s="421">
        <f>All_Detail_v2[[#This Row],[Install Date]]</f>
        <v>0</v>
      </c>
    </row>
    <row r="610" spans="1:19">
      <c r="A610">
        <v>606</v>
      </c>
      <c r="B610" s="704" t="s">
        <v>415</v>
      </c>
      <c r="C610" s="706" t="s">
        <v>725</v>
      </c>
      <c r="D610" s="706" t="s">
        <v>737</v>
      </c>
      <c r="E610" s="706" t="s">
        <v>360</v>
      </c>
      <c r="F610" s="706">
        <v>2</v>
      </c>
      <c r="G610" s="706"/>
      <c r="H610" s="720"/>
      <c r="I610" s="720">
        <v>46174</v>
      </c>
      <c r="J610" s="706" t="s">
        <v>355</v>
      </c>
      <c r="K610" t="str">
        <f t="shared" si="31"/>
        <v>Switch</v>
      </c>
      <c r="M610" s="419">
        <f t="shared" si="30"/>
        <v>0</v>
      </c>
      <c r="N610" s="419">
        <f t="shared" si="32"/>
        <v>0</v>
      </c>
      <c r="O610" s="419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1">
        <f>All_Detail_v2[[#This Row],[Scheduled Date]]</f>
        <v>46174</v>
      </c>
      <c r="S610" s="421">
        <f>All_Detail_v2[[#This Row],[Install Date]]</f>
        <v>0</v>
      </c>
    </row>
    <row r="611" spans="1:19">
      <c r="A611">
        <v>607</v>
      </c>
      <c r="B611" s="704" t="s">
        <v>415</v>
      </c>
      <c r="C611" s="706" t="s">
        <v>725</v>
      </c>
      <c r="D611" s="706" t="s">
        <v>737</v>
      </c>
      <c r="E611" s="706" t="s">
        <v>365</v>
      </c>
      <c r="F611" s="706">
        <v>2</v>
      </c>
      <c r="G611" s="706"/>
      <c r="H611" s="720"/>
      <c r="I611" s="720">
        <v>46174</v>
      </c>
      <c r="J611" s="706" t="s">
        <v>355</v>
      </c>
      <c r="K611" t="str">
        <f t="shared" si="31"/>
        <v>Switch</v>
      </c>
      <c r="M611" s="419">
        <f t="shared" si="30"/>
        <v>0</v>
      </c>
      <c r="N611" s="419">
        <f t="shared" si="32"/>
        <v>0</v>
      </c>
      <c r="O611" s="419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1">
        <f>All_Detail_v2[[#This Row],[Scheduled Date]]</f>
        <v>46174</v>
      </c>
      <c r="S611" s="421">
        <f>All_Detail_v2[[#This Row],[Install Date]]</f>
        <v>0</v>
      </c>
    </row>
    <row r="612" spans="1:19">
      <c r="A612">
        <v>608</v>
      </c>
      <c r="B612" s="704" t="s">
        <v>415</v>
      </c>
      <c r="C612" s="706" t="s">
        <v>725</v>
      </c>
      <c r="D612" s="706" t="s">
        <v>737</v>
      </c>
      <c r="E612" s="706" t="s">
        <v>400</v>
      </c>
      <c r="F612" s="706">
        <v>1</v>
      </c>
      <c r="G612" s="706"/>
      <c r="H612" s="720"/>
      <c r="I612" s="720">
        <v>46174</v>
      </c>
      <c r="J612" s="706" t="s">
        <v>355</v>
      </c>
      <c r="K612" t="str">
        <f t="shared" si="31"/>
        <v>Switch</v>
      </c>
      <c r="M612" s="419">
        <f t="shared" si="30"/>
        <v>0</v>
      </c>
      <c r="N612" s="419">
        <f t="shared" si="32"/>
        <v>0</v>
      </c>
      <c r="O612" s="419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1">
        <f>All_Detail_v2[[#This Row],[Scheduled Date]]</f>
        <v>46174</v>
      </c>
      <c r="S612" s="421">
        <f>All_Detail_v2[[#This Row],[Install Date]]</f>
        <v>0</v>
      </c>
    </row>
    <row r="613" spans="1:19">
      <c r="A613">
        <v>609</v>
      </c>
      <c r="B613" s="704" t="s">
        <v>415</v>
      </c>
      <c r="C613" s="706" t="s">
        <v>725</v>
      </c>
      <c r="D613" s="706" t="s">
        <v>738</v>
      </c>
      <c r="E613" s="706" t="s">
        <v>360</v>
      </c>
      <c r="F613" s="706">
        <v>1</v>
      </c>
      <c r="G613" s="706"/>
      <c r="H613" s="720"/>
      <c r="I613" s="720">
        <v>46174</v>
      </c>
      <c r="J613" s="706" t="s">
        <v>355</v>
      </c>
      <c r="K613" t="str">
        <f t="shared" si="31"/>
        <v>Switch</v>
      </c>
      <c r="M613" s="419">
        <f t="shared" si="30"/>
        <v>0</v>
      </c>
      <c r="N613" s="419">
        <f t="shared" si="32"/>
        <v>0</v>
      </c>
      <c r="O613" s="419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1">
        <f>All_Detail_v2[[#This Row],[Scheduled Date]]</f>
        <v>46174</v>
      </c>
      <c r="S613" s="421">
        <f>All_Detail_v2[[#This Row],[Install Date]]</f>
        <v>0</v>
      </c>
    </row>
    <row r="614" spans="1:19">
      <c r="A614">
        <v>610</v>
      </c>
      <c r="B614" s="704" t="s">
        <v>415</v>
      </c>
      <c r="C614" s="706" t="s">
        <v>725</v>
      </c>
      <c r="D614" s="706" t="s">
        <v>738</v>
      </c>
      <c r="E614" s="706" t="s">
        <v>365</v>
      </c>
      <c r="F614" s="706">
        <v>1</v>
      </c>
      <c r="G614" s="706"/>
      <c r="H614" s="720"/>
      <c r="I614" s="720">
        <v>46174</v>
      </c>
      <c r="J614" s="706" t="s">
        <v>355</v>
      </c>
      <c r="K614" t="str">
        <f t="shared" si="31"/>
        <v>Switch</v>
      </c>
      <c r="M614" s="419">
        <f t="shared" si="30"/>
        <v>0</v>
      </c>
      <c r="N614" s="419">
        <f t="shared" si="32"/>
        <v>0</v>
      </c>
      <c r="O614" s="419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1">
        <f>All_Detail_v2[[#This Row],[Scheduled Date]]</f>
        <v>46174</v>
      </c>
      <c r="S614" s="421">
        <f>All_Detail_v2[[#This Row],[Install Date]]</f>
        <v>0</v>
      </c>
    </row>
    <row r="615" spans="1:19">
      <c r="A615">
        <v>611</v>
      </c>
      <c r="B615" s="704" t="s">
        <v>415</v>
      </c>
      <c r="C615" s="706" t="s">
        <v>739</v>
      </c>
      <c r="D615" s="706" t="s">
        <v>740</v>
      </c>
      <c r="E615" s="706" t="s">
        <v>360</v>
      </c>
      <c r="F615" s="706">
        <v>2</v>
      </c>
      <c r="G615" s="706"/>
      <c r="H615" s="720"/>
      <c r="I615" s="720">
        <v>46175</v>
      </c>
      <c r="J615" s="706" t="s">
        <v>355</v>
      </c>
      <c r="K615" t="str">
        <f t="shared" si="31"/>
        <v>Switch</v>
      </c>
      <c r="M615" s="419">
        <f t="shared" si="30"/>
        <v>0</v>
      </c>
      <c r="N615" s="419">
        <f t="shared" si="32"/>
        <v>0</v>
      </c>
      <c r="O615" s="419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1">
        <f>All_Detail_v2[[#This Row],[Scheduled Date]]</f>
        <v>46175</v>
      </c>
      <c r="S615" s="421">
        <f>All_Detail_v2[[#This Row],[Install Date]]</f>
        <v>0</v>
      </c>
    </row>
    <row r="616" spans="1:19">
      <c r="A616">
        <v>612</v>
      </c>
      <c r="B616" s="704" t="s">
        <v>415</v>
      </c>
      <c r="C616" s="706" t="s">
        <v>739</v>
      </c>
      <c r="D616" s="706" t="s">
        <v>740</v>
      </c>
      <c r="E616" s="706" t="s">
        <v>365</v>
      </c>
      <c r="F616" s="706">
        <v>1</v>
      </c>
      <c r="G616" s="706"/>
      <c r="H616" s="720"/>
      <c r="I616" s="720">
        <v>46175</v>
      </c>
      <c r="J616" s="706" t="s">
        <v>355</v>
      </c>
      <c r="K616" t="str">
        <f t="shared" si="31"/>
        <v>Switch</v>
      </c>
      <c r="M616" s="419">
        <f t="shared" si="30"/>
        <v>0</v>
      </c>
      <c r="N616" s="419">
        <f t="shared" si="32"/>
        <v>0</v>
      </c>
      <c r="O616" s="419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1">
        <f>All_Detail_v2[[#This Row],[Scheduled Date]]</f>
        <v>46175</v>
      </c>
      <c r="S616" s="421">
        <f>All_Detail_v2[[#This Row],[Install Date]]</f>
        <v>0</v>
      </c>
    </row>
    <row r="617" spans="1:19">
      <c r="A617">
        <v>613</v>
      </c>
      <c r="B617" s="704" t="s">
        <v>415</v>
      </c>
      <c r="C617" s="706" t="s">
        <v>739</v>
      </c>
      <c r="D617" s="706" t="s">
        <v>740</v>
      </c>
      <c r="E617" s="706" t="s">
        <v>400</v>
      </c>
      <c r="F617" s="706">
        <v>1</v>
      </c>
      <c r="G617" s="706"/>
      <c r="H617" s="720"/>
      <c r="I617" s="720">
        <v>46175</v>
      </c>
      <c r="J617" s="706" t="s">
        <v>355</v>
      </c>
      <c r="K617" t="str">
        <f t="shared" si="31"/>
        <v>Switch</v>
      </c>
      <c r="M617" s="419">
        <f t="shared" si="30"/>
        <v>0</v>
      </c>
      <c r="N617" s="419">
        <f t="shared" si="32"/>
        <v>0</v>
      </c>
      <c r="O617" s="419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1">
        <f>All_Detail_v2[[#This Row],[Scheduled Date]]</f>
        <v>46175</v>
      </c>
      <c r="S617" s="421">
        <f>All_Detail_v2[[#This Row],[Install Date]]</f>
        <v>0</v>
      </c>
    </row>
    <row r="618" spans="1:19">
      <c r="A618">
        <v>614</v>
      </c>
      <c r="B618" s="704" t="s">
        <v>415</v>
      </c>
      <c r="C618" s="706" t="s">
        <v>739</v>
      </c>
      <c r="D618" s="706" t="s">
        <v>741</v>
      </c>
      <c r="E618" s="706" t="s">
        <v>360</v>
      </c>
      <c r="F618" s="706">
        <v>1</v>
      </c>
      <c r="G618" s="706"/>
      <c r="H618" s="720"/>
      <c r="I618" s="720">
        <v>46175</v>
      </c>
      <c r="J618" s="706" t="s">
        <v>355</v>
      </c>
      <c r="K618" t="str">
        <f t="shared" si="31"/>
        <v>Switch</v>
      </c>
      <c r="M618" s="419">
        <f t="shared" si="30"/>
        <v>0</v>
      </c>
      <c r="N618" s="419">
        <f t="shared" si="32"/>
        <v>0</v>
      </c>
      <c r="O618" s="419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1">
        <f>All_Detail_v2[[#This Row],[Scheduled Date]]</f>
        <v>46175</v>
      </c>
      <c r="S618" s="421">
        <f>All_Detail_v2[[#This Row],[Install Date]]</f>
        <v>0</v>
      </c>
    </row>
    <row r="619" spans="1:19">
      <c r="A619">
        <v>615</v>
      </c>
      <c r="B619" s="704" t="s">
        <v>415</v>
      </c>
      <c r="C619" s="706" t="s">
        <v>739</v>
      </c>
      <c r="D619" s="706" t="s">
        <v>741</v>
      </c>
      <c r="E619" s="706" t="s">
        <v>365</v>
      </c>
      <c r="F619" s="706">
        <v>1</v>
      </c>
      <c r="G619" s="706"/>
      <c r="H619" s="720"/>
      <c r="I619" s="720">
        <v>46175</v>
      </c>
      <c r="J619" s="706" t="s">
        <v>355</v>
      </c>
      <c r="K619" t="str">
        <f t="shared" si="31"/>
        <v>Switch</v>
      </c>
      <c r="M619" s="419">
        <f t="shared" si="30"/>
        <v>0</v>
      </c>
      <c r="N619" s="419">
        <f t="shared" si="32"/>
        <v>0</v>
      </c>
      <c r="O619" s="419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1">
        <f>All_Detail_v2[[#This Row],[Scheduled Date]]</f>
        <v>46175</v>
      </c>
      <c r="S619" s="421">
        <f>All_Detail_v2[[#This Row],[Install Date]]</f>
        <v>0</v>
      </c>
    </row>
    <row r="620" spans="1:19">
      <c r="A620">
        <v>616</v>
      </c>
      <c r="B620" s="704" t="s">
        <v>415</v>
      </c>
      <c r="C620" s="706" t="s">
        <v>739</v>
      </c>
      <c r="D620" s="706" t="s">
        <v>741</v>
      </c>
      <c r="E620" s="706" t="s">
        <v>400</v>
      </c>
      <c r="F620" s="706">
        <v>1</v>
      </c>
      <c r="G620" s="706"/>
      <c r="H620" s="720"/>
      <c r="I620" s="720">
        <v>46175</v>
      </c>
      <c r="J620" s="706" t="s">
        <v>355</v>
      </c>
      <c r="K620" t="str">
        <f t="shared" si="31"/>
        <v>Switch</v>
      </c>
      <c r="M620" s="419">
        <f t="shared" si="30"/>
        <v>0</v>
      </c>
      <c r="N620" s="419">
        <f t="shared" si="32"/>
        <v>0</v>
      </c>
      <c r="O620" s="419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1">
        <f>All_Detail_v2[[#This Row],[Scheduled Date]]</f>
        <v>46175</v>
      </c>
      <c r="S620" s="421">
        <f>All_Detail_v2[[#This Row],[Install Date]]</f>
        <v>0</v>
      </c>
    </row>
    <row r="621" spans="1:19">
      <c r="A621">
        <v>617</v>
      </c>
      <c r="B621" s="704" t="s">
        <v>415</v>
      </c>
      <c r="C621" s="706" t="s">
        <v>739</v>
      </c>
      <c r="D621" s="706" t="s">
        <v>742</v>
      </c>
      <c r="E621" s="706" t="s">
        <v>360</v>
      </c>
      <c r="F621" s="706">
        <v>1</v>
      </c>
      <c r="G621" s="706"/>
      <c r="H621" s="720"/>
      <c r="I621" s="720">
        <v>46175</v>
      </c>
      <c r="J621" s="706" t="s">
        <v>355</v>
      </c>
      <c r="K621" t="str">
        <f t="shared" si="31"/>
        <v>Switch</v>
      </c>
      <c r="M621" s="419">
        <f t="shared" si="30"/>
        <v>0</v>
      </c>
      <c r="N621" s="419">
        <f t="shared" si="32"/>
        <v>0</v>
      </c>
      <c r="O621" s="419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1">
        <f>All_Detail_v2[[#This Row],[Scheduled Date]]</f>
        <v>46175</v>
      </c>
      <c r="S621" s="421">
        <f>All_Detail_v2[[#This Row],[Install Date]]</f>
        <v>0</v>
      </c>
    </row>
    <row r="622" spans="1:19">
      <c r="A622">
        <v>618</v>
      </c>
      <c r="B622" s="704" t="s">
        <v>415</v>
      </c>
      <c r="C622" s="706" t="s">
        <v>739</v>
      </c>
      <c r="D622" s="706" t="s">
        <v>742</v>
      </c>
      <c r="E622" s="706" t="s">
        <v>365</v>
      </c>
      <c r="F622" s="706">
        <v>1</v>
      </c>
      <c r="G622" s="706"/>
      <c r="H622" s="720"/>
      <c r="I622" s="720">
        <v>46175</v>
      </c>
      <c r="J622" s="706" t="s">
        <v>355</v>
      </c>
      <c r="K622" t="str">
        <f t="shared" si="31"/>
        <v>Switch</v>
      </c>
      <c r="M622" s="419">
        <f t="shared" si="30"/>
        <v>0</v>
      </c>
      <c r="N622" s="419">
        <f t="shared" si="32"/>
        <v>0</v>
      </c>
      <c r="O622" s="419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1">
        <f>All_Detail_v2[[#This Row],[Scheduled Date]]</f>
        <v>46175</v>
      </c>
      <c r="S622" s="421">
        <f>All_Detail_v2[[#This Row],[Install Date]]</f>
        <v>0</v>
      </c>
    </row>
    <row r="623" spans="1:19">
      <c r="A623">
        <v>619</v>
      </c>
      <c r="B623" s="704" t="s">
        <v>415</v>
      </c>
      <c r="C623" s="706" t="s">
        <v>739</v>
      </c>
      <c r="D623" s="706" t="s">
        <v>742</v>
      </c>
      <c r="E623" s="706" t="s">
        <v>400</v>
      </c>
      <c r="F623" s="706">
        <v>1</v>
      </c>
      <c r="G623" s="706"/>
      <c r="H623" s="720"/>
      <c r="I623" s="720">
        <v>46175</v>
      </c>
      <c r="J623" s="706" t="s">
        <v>355</v>
      </c>
      <c r="K623" t="str">
        <f t="shared" si="31"/>
        <v>Switch</v>
      </c>
      <c r="M623" s="419">
        <f t="shared" si="30"/>
        <v>0</v>
      </c>
      <c r="N623" s="419">
        <f t="shared" si="32"/>
        <v>0</v>
      </c>
      <c r="O623" s="419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1">
        <f>All_Detail_v2[[#This Row],[Scheduled Date]]</f>
        <v>46175</v>
      </c>
      <c r="S623" s="421">
        <f>All_Detail_v2[[#This Row],[Install Date]]</f>
        <v>0</v>
      </c>
    </row>
    <row r="624" spans="1:19">
      <c r="A624">
        <v>620</v>
      </c>
      <c r="B624" s="704" t="s">
        <v>415</v>
      </c>
      <c r="C624" s="706" t="s">
        <v>739</v>
      </c>
      <c r="D624" s="706" t="s">
        <v>743</v>
      </c>
      <c r="E624" s="706" t="s">
        <v>360</v>
      </c>
      <c r="F624" s="706">
        <v>1</v>
      </c>
      <c r="G624" s="706"/>
      <c r="H624" s="720"/>
      <c r="I624" s="720">
        <v>46175</v>
      </c>
      <c r="J624" s="706" t="s">
        <v>355</v>
      </c>
      <c r="K624" t="str">
        <f t="shared" si="31"/>
        <v>Switch</v>
      </c>
      <c r="M624" s="419">
        <f t="shared" si="30"/>
        <v>0</v>
      </c>
      <c r="N624" s="419">
        <f t="shared" si="32"/>
        <v>0</v>
      </c>
      <c r="O624" s="419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1">
        <f>All_Detail_v2[[#This Row],[Scheduled Date]]</f>
        <v>46175</v>
      </c>
      <c r="S624" s="421">
        <f>All_Detail_v2[[#This Row],[Install Date]]</f>
        <v>0</v>
      </c>
    </row>
    <row r="625" spans="1:19">
      <c r="A625">
        <v>621</v>
      </c>
      <c r="B625" s="704" t="s">
        <v>415</v>
      </c>
      <c r="C625" s="706" t="s">
        <v>739</v>
      </c>
      <c r="D625" s="706" t="s">
        <v>743</v>
      </c>
      <c r="E625" s="706" t="s">
        <v>365</v>
      </c>
      <c r="F625" s="706">
        <v>1</v>
      </c>
      <c r="G625" s="706"/>
      <c r="H625" s="720"/>
      <c r="I625" s="720">
        <v>46175</v>
      </c>
      <c r="J625" s="706" t="s">
        <v>355</v>
      </c>
      <c r="K625" t="str">
        <f t="shared" si="31"/>
        <v>Switch</v>
      </c>
      <c r="M625" s="419">
        <f t="shared" si="30"/>
        <v>0</v>
      </c>
      <c r="N625" s="419">
        <f t="shared" si="32"/>
        <v>0</v>
      </c>
      <c r="O625" s="419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1">
        <f>All_Detail_v2[[#This Row],[Scheduled Date]]</f>
        <v>46175</v>
      </c>
      <c r="S625" s="421">
        <f>All_Detail_v2[[#This Row],[Install Date]]</f>
        <v>0</v>
      </c>
    </row>
    <row r="626" spans="1:19">
      <c r="A626">
        <v>622</v>
      </c>
      <c r="B626" s="704" t="s">
        <v>415</v>
      </c>
      <c r="C626" s="706" t="s">
        <v>739</v>
      </c>
      <c r="D626" s="706" t="s">
        <v>744</v>
      </c>
      <c r="E626" s="706" t="s">
        <v>360</v>
      </c>
      <c r="F626" s="706">
        <v>1</v>
      </c>
      <c r="G626" s="706"/>
      <c r="H626" s="720"/>
      <c r="I626" s="720">
        <v>46177</v>
      </c>
      <c r="J626" s="706" t="s">
        <v>355</v>
      </c>
      <c r="K626" t="str">
        <f t="shared" si="31"/>
        <v>Switch</v>
      </c>
      <c r="M626" s="419">
        <f t="shared" si="30"/>
        <v>0</v>
      </c>
      <c r="N626" s="419">
        <f t="shared" si="32"/>
        <v>0</v>
      </c>
      <c r="O626" s="419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1">
        <f>All_Detail_v2[[#This Row],[Scheduled Date]]</f>
        <v>46177</v>
      </c>
      <c r="S626" s="421">
        <f>All_Detail_v2[[#This Row],[Install Date]]</f>
        <v>0</v>
      </c>
    </row>
    <row r="627" spans="1:19">
      <c r="A627">
        <v>623</v>
      </c>
      <c r="B627" s="704" t="s">
        <v>415</v>
      </c>
      <c r="C627" s="706" t="s">
        <v>739</v>
      </c>
      <c r="D627" s="706" t="s">
        <v>744</v>
      </c>
      <c r="E627" s="706" t="s">
        <v>365</v>
      </c>
      <c r="F627" s="706">
        <v>1</v>
      </c>
      <c r="G627" s="706"/>
      <c r="H627" s="720"/>
      <c r="I627" s="720">
        <v>46177</v>
      </c>
      <c r="J627" s="706" t="s">
        <v>355</v>
      </c>
      <c r="K627" t="str">
        <f t="shared" si="31"/>
        <v>Switch</v>
      </c>
      <c r="M627" s="419">
        <f t="shared" si="30"/>
        <v>0</v>
      </c>
      <c r="N627" s="419">
        <f t="shared" si="32"/>
        <v>0</v>
      </c>
      <c r="O627" s="419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1">
        <f>All_Detail_v2[[#This Row],[Scheduled Date]]</f>
        <v>46177</v>
      </c>
      <c r="S627" s="421">
        <f>All_Detail_v2[[#This Row],[Install Date]]</f>
        <v>0</v>
      </c>
    </row>
    <row r="628" spans="1:19">
      <c r="A628">
        <v>624</v>
      </c>
      <c r="B628" s="704" t="s">
        <v>415</v>
      </c>
      <c r="C628" s="706" t="s">
        <v>739</v>
      </c>
      <c r="D628" s="706" t="s">
        <v>745</v>
      </c>
      <c r="E628" s="706" t="s">
        <v>360</v>
      </c>
      <c r="F628" s="706">
        <v>1</v>
      </c>
      <c r="G628" s="706"/>
      <c r="H628" s="720"/>
      <c r="I628" s="720">
        <v>46177</v>
      </c>
      <c r="J628" s="706" t="s">
        <v>355</v>
      </c>
      <c r="K628" t="str">
        <f t="shared" si="31"/>
        <v>Switch</v>
      </c>
      <c r="M628" s="419">
        <f t="shared" si="30"/>
        <v>0</v>
      </c>
      <c r="N628" s="419">
        <f t="shared" si="32"/>
        <v>0</v>
      </c>
      <c r="O628" s="419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1">
        <f>All_Detail_v2[[#This Row],[Scheduled Date]]</f>
        <v>46177</v>
      </c>
      <c r="S628" s="421">
        <f>All_Detail_v2[[#This Row],[Install Date]]</f>
        <v>0</v>
      </c>
    </row>
    <row r="629" spans="1:19">
      <c r="A629">
        <v>625</v>
      </c>
      <c r="B629" s="704" t="s">
        <v>415</v>
      </c>
      <c r="C629" s="706" t="s">
        <v>739</v>
      </c>
      <c r="D629" s="706" t="s">
        <v>745</v>
      </c>
      <c r="E629" s="706" t="s">
        <v>365</v>
      </c>
      <c r="F629" s="706">
        <v>1</v>
      </c>
      <c r="G629" s="706"/>
      <c r="H629" s="720"/>
      <c r="I629" s="720">
        <v>46177</v>
      </c>
      <c r="J629" s="706" t="s">
        <v>355</v>
      </c>
      <c r="K629" t="str">
        <f t="shared" si="31"/>
        <v>Switch</v>
      </c>
      <c r="M629" s="419">
        <f t="shared" si="30"/>
        <v>0</v>
      </c>
      <c r="N629" s="419">
        <f t="shared" si="32"/>
        <v>0</v>
      </c>
      <c r="O629" s="419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1">
        <f>All_Detail_v2[[#This Row],[Scheduled Date]]</f>
        <v>46177</v>
      </c>
      <c r="S629" s="421">
        <f>All_Detail_v2[[#This Row],[Install Date]]</f>
        <v>0</v>
      </c>
    </row>
    <row r="630" spans="1:19">
      <c r="A630">
        <v>626</v>
      </c>
      <c r="B630" s="704" t="s">
        <v>415</v>
      </c>
      <c r="C630" s="706" t="s">
        <v>739</v>
      </c>
      <c r="D630" s="706" t="s">
        <v>746</v>
      </c>
      <c r="E630" s="706" t="s">
        <v>360</v>
      </c>
      <c r="F630" s="706">
        <v>1</v>
      </c>
      <c r="G630" s="706"/>
      <c r="H630" s="720"/>
      <c r="I630" s="720">
        <v>46177</v>
      </c>
      <c r="J630" s="706" t="s">
        <v>355</v>
      </c>
      <c r="K630" t="str">
        <f t="shared" si="31"/>
        <v>Switch</v>
      </c>
      <c r="M630" s="419">
        <f t="shared" si="30"/>
        <v>0</v>
      </c>
      <c r="N630" s="419">
        <f t="shared" si="32"/>
        <v>0</v>
      </c>
      <c r="O630" s="419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1">
        <f>All_Detail_v2[[#This Row],[Scheduled Date]]</f>
        <v>46177</v>
      </c>
      <c r="S630" s="421">
        <f>All_Detail_v2[[#This Row],[Install Date]]</f>
        <v>0</v>
      </c>
    </row>
    <row r="631" spans="1:19">
      <c r="A631">
        <v>627</v>
      </c>
      <c r="B631" s="704" t="s">
        <v>415</v>
      </c>
      <c r="C631" s="706" t="s">
        <v>739</v>
      </c>
      <c r="D631" s="706" t="s">
        <v>746</v>
      </c>
      <c r="E631" s="706" t="s">
        <v>365</v>
      </c>
      <c r="F631" s="706">
        <v>1</v>
      </c>
      <c r="G631" s="706"/>
      <c r="H631" s="720"/>
      <c r="I631" s="720">
        <v>46177</v>
      </c>
      <c r="J631" s="706" t="s">
        <v>355</v>
      </c>
      <c r="K631" t="str">
        <f t="shared" si="31"/>
        <v>Switch</v>
      </c>
      <c r="M631" s="419">
        <f t="shared" si="30"/>
        <v>0</v>
      </c>
      <c r="N631" s="419">
        <f t="shared" si="32"/>
        <v>0</v>
      </c>
      <c r="O631" s="419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1">
        <f>All_Detail_v2[[#This Row],[Scheduled Date]]</f>
        <v>46177</v>
      </c>
      <c r="S631" s="421">
        <f>All_Detail_v2[[#This Row],[Install Date]]</f>
        <v>0</v>
      </c>
    </row>
    <row r="632" spans="1:19">
      <c r="A632">
        <v>628</v>
      </c>
      <c r="B632" s="704" t="s">
        <v>415</v>
      </c>
      <c r="C632" s="706" t="s">
        <v>739</v>
      </c>
      <c r="D632" s="706" t="s">
        <v>747</v>
      </c>
      <c r="E632" s="706" t="s">
        <v>360</v>
      </c>
      <c r="F632" s="706">
        <v>1</v>
      </c>
      <c r="G632" s="706"/>
      <c r="H632" s="720"/>
      <c r="I632" s="720">
        <v>46177</v>
      </c>
      <c r="J632" s="706" t="s">
        <v>355</v>
      </c>
      <c r="K632" t="str">
        <f t="shared" si="31"/>
        <v>Switch</v>
      </c>
      <c r="M632" s="419">
        <f t="shared" si="30"/>
        <v>0</v>
      </c>
      <c r="N632" s="419">
        <f t="shared" si="32"/>
        <v>0</v>
      </c>
      <c r="O632" s="419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1">
        <f>All_Detail_v2[[#This Row],[Scheduled Date]]</f>
        <v>46177</v>
      </c>
      <c r="S632" s="421">
        <f>All_Detail_v2[[#This Row],[Install Date]]</f>
        <v>0</v>
      </c>
    </row>
    <row r="633" spans="1:19">
      <c r="A633">
        <v>629</v>
      </c>
      <c r="B633" s="704" t="s">
        <v>415</v>
      </c>
      <c r="C633" s="706" t="s">
        <v>739</v>
      </c>
      <c r="D633" s="706" t="s">
        <v>747</v>
      </c>
      <c r="E633" s="706" t="s">
        <v>365</v>
      </c>
      <c r="F633" s="706">
        <v>1</v>
      </c>
      <c r="G633" s="706"/>
      <c r="H633" s="720"/>
      <c r="I633" s="720">
        <v>46177</v>
      </c>
      <c r="J633" s="706" t="s">
        <v>355</v>
      </c>
      <c r="K633" t="str">
        <f t="shared" si="31"/>
        <v>Switch</v>
      </c>
      <c r="M633" s="419">
        <f t="shared" si="30"/>
        <v>0</v>
      </c>
      <c r="N633" s="419">
        <f t="shared" si="32"/>
        <v>0</v>
      </c>
      <c r="O633" s="419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1">
        <f>All_Detail_v2[[#This Row],[Scheduled Date]]</f>
        <v>46177</v>
      </c>
      <c r="S633" s="421">
        <f>All_Detail_v2[[#This Row],[Install Date]]</f>
        <v>0</v>
      </c>
    </row>
    <row r="634" spans="1:19">
      <c r="A634">
        <v>630</v>
      </c>
      <c r="B634" s="704" t="s">
        <v>415</v>
      </c>
      <c r="C634" s="706" t="s">
        <v>739</v>
      </c>
      <c r="D634" s="706" t="s">
        <v>747</v>
      </c>
      <c r="E634" s="706" t="s">
        <v>400</v>
      </c>
      <c r="F634" s="706">
        <v>1</v>
      </c>
      <c r="G634" s="706"/>
      <c r="H634" s="720"/>
      <c r="I634" s="720">
        <v>46177</v>
      </c>
      <c r="J634" s="706" t="s">
        <v>355</v>
      </c>
      <c r="K634" t="str">
        <f t="shared" si="31"/>
        <v>Switch</v>
      </c>
      <c r="M634" s="419">
        <f t="shared" si="30"/>
        <v>0</v>
      </c>
      <c r="N634" s="419">
        <f t="shared" si="32"/>
        <v>0</v>
      </c>
      <c r="O634" s="419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1">
        <f>All_Detail_v2[[#This Row],[Scheduled Date]]</f>
        <v>46177</v>
      </c>
      <c r="S634" s="421">
        <f>All_Detail_v2[[#This Row],[Install Date]]</f>
        <v>0</v>
      </c>
    </row>
    <row r="635" spans="1:19">
      <c r="A635">
        <v>631</v>
      </c>
      <c r="B635" s="704" t="s">
        <v>415</v>
      </c>
      <c r="C635" s="706" t="s">
        <v>739</v>
      </c>
      <c r="D635" s="706" t="s">
        <v>748</v>
      </c>
      <c r="E635" s="706" t="s">
        <v>360</v>
      </c>
      <c r="F635" s="706">
        <v>1</v>
      </c>
      <c r="G635" s="706"/>
      <c r="H635" s="720"/>
      <c r="I635" s="720">
        <v>46177</v>
      </c>
      <c r="J635" s="706" t="s">
        <v>355</v>
      </c>
      <c r="K635" t="str">
        <f t="shared" si="31"/>
        <v>Switch</v>
      </c>
      <c r="M635" s="419">
        <f t="shared" si="30"/>
        <v>0</v>
      </c>
      <c r="N635" s="419">
        <f t="shared" si="32"/>
        <v>0</v>
      </c>
      <c r="O635" s="419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1">
        <f>All_Detail_v2[[#This Row],[Scheduled Date]]</f>
        <v>46177</v>
      </c>
      <c r="S635" s="421">
        <f>All_Detail_v2[[#This Row],[Install Date]]</f>
        <v>0</v>
      </c>
    </row>
    <row r="636" spans="1:19">
      <c r="A636">
        <v>632</v>
      </c>
      <c r="B636" s="704" t="s">
        <v>415</v>
      </c>
      <c r="C636" s="706" t="s">
        <v>739</v>
      </c>
      <c r="D636" s="706" t="s">
        <v>748</v>
      </c>
      <c r="E636" s="706" t="s">
        <v>365</v>
      </c>
      <c r="F636" s="706">
        <v>1</v>
      </c>
      <c r="G636" s="706"/>
      <c r="H636" s="720"/>
      <c r="I636" s="720">
        <v>46177</v>
      </c>
      <c r="J636" s="706" t="s">
        <v>355</v>
      </c>
      <c r="K636" t="str">
        <f t="shared" si="31"/>
        <v>Switch</v>
      </c>
      <c r="M636" s="419">
        <f t="shared" si="30"/>
        <v>0</v>
      </c>
      <c r="N636" s="419">
        <f t="shared" si="32"/>
        <v>0</v>
      </c>
      <c r="O636" s="419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1">
        <f>All_Detail_v2[[#This Row],[Scheduled Date]]</f>
        <v>46177</v>
      </c>
      <c r="S636" s="421">
        <f>All_Detail_v2[[#This Row],[Install Date]]</f>
        <v>0</v>
      </c>
    </row>
    <row r="637" spans="1:19">
      <c r="A637">
        <v>633</v>
      </c>
      <c r="B637" s="704" t="s">
        <v>415</v>
      </c>
      <c r="C637" s="705" t="s">
        <v>749</v>
      </c>
      <c r="D637" s="706" t="s">
        <v>40</v>
      </c>
      <c r="E637" s="706" t="s">
        <v>354</v>
      </c>
      <c r="F637" s="706">
        <v>11</v>
      </c>
      <c r="G637" s="706"/>
      <c r="H637" s="720"/>
      <c r="I637" s="720">
        <v>46177</v>
      </c>
      <c r="J637" s="706" t="s">
        <v>355</v>
      </c>
      <c r="K637" t="str">
        <f t="shared" si="31"/>
        <v>AP</v>
      </c>
      <c r="M637" s="419">
        <f t="shared" si="30"/>
        <v>0</v>
      </c>
      <c r="N637" s="419">
        <f t="shared" si="32"/>
        <v>0</v>
      </c>
      <c r="O637" s="419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1">
        <f>All_Detail_v2[[#This Row],[Scheduled Date]]</f>
        <v>46177</v>
      </c>
      <c r="S637" s="421">
        <f>All_Detail_v2[[#This Row],[Install Date]]</f>
        <v>0</v>
      </c>
    </row>
    <row r="638" spans="1:19">
      <c r="A638">
        <v>634</v>
      </c>
      <c r="B638" s="704" t="s">
        <v>415</v>
      </c>
      <c r="C638" s="705" t="s">
        <v>749</v>
      </c>
      <c r="D638" s="706" t="s">
        <v>510</v>
      </c>
      <c r="E638" s="706" t="s">
        <v>400</v>
      </c>
      <c r="F638" s="706">
        <v>1</v>
      </c>
      <c r="G638" s="706"/>
      <c r="H638" s="720"/>
      <c r="I638" s="720">
        <v>46178</v>
      </c>
      <c r="J638" s="706" t="s">
        <v>355</v>
      </c>
      <c r="K638" t="str">
        <f t="shared" si="31"/>
        <v>Switch</v>
      </c>
      <c r="M638" s="419">
        <f t="shared" si="30"/>
        <v>0</v>
      </c>
      <c r="N638" s="419">
        <f t="shared" si="32"/>
        <v>0</v>
      </c>
      <c r="O638" s="419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1">
        <f>All_Detail_v2[[#This Row],[Scheduled Date]]</f>
        <v>46178</v>
      </c>
      <c r="S638" s="421">
        <f>All_Detail_v2[[#This Row],[Install Date]]</f>
        <v>0</v>
      </c>
    </row>
    <row r="639" spans="1:19">
      <c r="A639">
        <v>635</v>
      </c>
      <c r="B639" s="704" t="s">
        <v>415</v>
      </c>
      <c r="C639" s="705" t="s">
        <v>749</v>
      </c>
      <c r="D639" s="706" t="s">
        <v>750</v>
      </c>
      <c r="E639" s="706" t="s">
        <v>360</v>
      </c>
      <c r="F639" s="706">
        <v>1</v>
      </c>
      <c r="G639" s="706"/>
      <c r="H639" s="720"/>
      <c r="I639" s="720">
        <v>46178</v>
      </c>
      <c r="J639" s="706" t="s">
        <v>355</v>
      </c>
      <c r="K639" t="str">
        <f t="shared" si="31"/>
        <v>Switch</v>
      </c>
      <c r="M639" s="419">
        <f t="shared" si="30"/>
        <v>0</v>
      </c>
      <c r="N639" s="419">
        <f t="shared" si="32"/>
        <v>0</v>
      </c>
      <c r="O639" s="419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1">
        <f>All_Detail_v2[[#This Row],[Scheduled Date]]</f>
        <v>46178</v>
      </c>
      <c r="S639" s="421">
        <f>All_Detail_v2[[#This Row],[Install Date]]</f>
        <v>0</v>
      </c>
    </row>
    <row r="640" spans="1:19">
      <c r="A640">
        <v>636</v>
      </c>
      <c r="B640" s="704" t="s">
        <v>415</v>
      </c>
      <c r="C640" s="705" t="s">
        <v>749</v>
      </c>
      <c r="D640" s="706" t="s">
        <v>751</v>
      </c>
      <c r="E640" s="706" t="s">
        <v>360</v>
      </c>
      <c r="F640" s="706">
        <v>1</v>
      </c>
      <c r="G640" s="706"/>
      <c r="H640" s="720"/>
      <c r="I640" s="720">
        <v>46181</v>
      </c>
      <c r="J640" s="706" t="s">
        <v>355</v>
      </c>
      <c r="K640" t="str">
        <f t="shared" si="31"/>
        <v>Switch</v>
      </c>
      <c r="M640" s="419">
        <f t="shared" si="30"/>
        <v>0</v>
      </c>
      <c r="N640" s="419">
        <f t="shared" si="32"/>
        <v>0</v>
      </c>
      <c r="O640" s="419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1">
        <f>All_Detail_v2[[#This Row],[Scheduled Date]]</f>
        <v>46181</v>
      </c>
      <c r="S640" s="421">
        <f>All_Detail_v2[[#This Row],[Install Date]]</f>
        <v>0</v>
      </c>
    </row>
    <row r="641" spans="1:19">
      <c r="A641">
        <v>637</v>
      </c>
      <c r="B641" s="704" t="s">
        <v>415</v>
      </c>
      <c r="C641" s="705" t="s">
        <v>749</v>
      </c>
      <c r="D641" s="706" t="s">
        <v>751</v>
      </c>
      <c r="E641" s="706" t="s">
        <v>365</v>
      </c>
      <c r="F641" s="706">
        <v>1</v>
      </c>
      <c r="G641" s="706"/>
      <c r="H641" s="720"/>
      <c r="I641" s="720">
        <v>46181</v>
      </c>
      <c r="J641" s="706" t="s">
        <v>355</v>
      </c>
      <c r="K641" t="str">
        <f t="shared" si="31"/>
        <v>Switch</v>
      </c>
      <c r="M641" s="419">
        <f t="shared" si="30"/>
        <v>0</v>
      </c>
      <c r="N641" s="419">
        <f t="shared" si="32"/>
        <v>0</v>
      </c>
      <c r="O641" s="419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1">
        <f>All_Detail_v2[[#This Row],[Scheduled Date]]</f>
        <v>46181</v>
      </c>
      <c r="S641" s="421">
        <f>All_Detail_v2[[#This Row],[Install Date]]</f>
        <v>0</v>
      </c>
    </row>
    <row r="642" spans="1:19">
      <c r="A642">
        <v>638</v>
      </c>
      <c r="B642" s="704" t="s">
        <v>415</v>
      </c>
      <c r="C642" s="705" t="s">
        <v>749</v>
      </c>
      <c r="D642" s="706" t="s">
        <v>752</v>
      </c>
      <c r="E642" s="706" t="s">
        <v>360</v>
      </c>
      <c r="F642" s="706">
        <v>1</v>
      </c>
      <c r="G642" s="706"/>
      <c r="H642" s="720"/>
      <c r="I642" s="720">
        <v>46181</v>
      </c>
      <c r="J642" s="706" t="s">
        <v>355</v>
      </c>
      <c r="K642" t="str">
        <f t="shared" si="31"/>
        <v>Switch</v>
      </c>
      <c r="M642" s="419">
        <f t="shared" ref="M642:M705" si="33">O642</f>
        <v>0</v>
      </c>
      <c r="N642" s="419">
        <f t="shared" si="32"/>
        <v>0</v>
      </c>
      <c r="O642" s="419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1">
        <f>All_Detail_v2[[#This Row],[Scheduled Date]]</f>
        <v>46181</v>
      </c>
      <c r="S642" s="421">
        <f>All_Detail_v2[[#This Row],[Install Date]]</f>
        <v>0</v>
      </c>
    </row>
    <row r="643" spans="1:19">
      <c r="A643">
        <v>639</v>
      </c>
      <c r="B643" s="704" t="s">
        <v>415</v>
      </c>
      <c r="C643" s="705" t="s">
        <v>749</v>
      </c>
      <c r="D643" s="706" t="s">
        <v>752</v>
      </c>
      <c r="E643" s="706" t="s">
        <v>365</v>
      </c>
      <c r="F643" s="706">
        <v>1</v>
      </c>
      <c r="G643" s="706"/>
      <c r="H643" s="720"/>
      <c r="I643" s="720">
        <v>46181</v>
      </c>
      <c r="J643" s="706" t="s">
        <v>355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9">
        <f t="shared" si="33"/>
        <v>0</v>
      </c>
      <c r="N643" s="419">
        <f t="shared" si="32"/>
        <v>0</v>
      </c>
      <c r="O643" s="419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1">
        <f>All_Detail_v2[[#This Row],[Scheduled Date]]</f>
        <v>46181</v>
      </c>
      <c r="S643" s="421">
        <f>All_Detail_v2[[#This Row],[Install Date]]</f>
        <v>0</v>
      </c>
    </row>
    <row r="644" spans="1:19">
      <c r="A644">
        <v>640</v>
      </c>
      <c r="B644" s="704" t="s">
        <v>415</v>
      </c>
      <c r="C644" s="705" t="s">
        <v>753</v>
      </c>
      <c r="D644" s="706" t="s">
        <v>754</v>
      </c>
      <c r="E644" s="706" t="s">
        <v>360</v>
      </c>
      <c r="F644" s="706">
        <v>2</v>
      </c>
      <c r="G644" s="706"/>
      <c r="H644" s="720"/>
      <c r="I644" s="720">
        <v>46177</v>
      </c>
      <c r="J644" s="706" t="s">
        <v>355</v>
      </c>
      <c r="K644" t="str">
        <f t="shared" si="34"/>
        <v>Switch</v>
      </c>
      <c r="M644" s="419">
        <f t="shared" si="33"/>
        <v>0</v>
      </c>
      <c r="N644" s="419">
        <f t="shared" si="32"/>
        <v>0</v>
      </c>
      <c r="O644" s="419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1">
        <f>All_Detail_v2[[#This Row],[Scheduled Date]]</f>
        <v>46177</v>
      </c>
      <c r="S644" s="421">
        <f>All_Detail_v2[[#This Row],[Install Date]]</f>
        <v>0</v>
      </c>
    </row>
    <row r="645" spans="1:19">
      <c r="A645">
        <v>641</v>
      </c>
      <c r="B645" s="704" t="s">
        <v>415</v>
      </c>
      <c r="C645" s="705" t="s">
        <v>753</v>
      </c>
      <c r="D645" s="706" t="s">
        <v>754</v>
      </c>
      <c r="E645" s="706" t="s">
        <v>365</v>
      </c>
      <c r="F645" s="706">
        <v>1</v>
      </c>
      <c r="G645" s="706"/>
      <c r="H645" s="720"/>
      <c r="I645" s="720">
        <v>46177</v>
      </c>
      <c r="J645" s="706" t="s">
        <v>355</v>
      </c>
      <c r="K645" t="str">
        <f t="shared" si="34"/>
        <v>Switch</v>
      </c>
      <c r="M645" s="419">
        <f t="shared" si="33"/>
        <v>0</v>
      </c>
      <c r="N645" s="419">
        <f t="shared" si="32"/>
        <v>0</v>
      </c>
      <c r="O645" s="419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1">
        <f>All_Detail_v2[[#This Row],[Scheduled Date]]</f>
        <v>46177</v>
      </c>
      <c r="S645" s="421">
        <f>All_Detail_v2[[#This Row],[Install Date]]</f>
        <v>0</v>
      </c>
    </row>
    <row r="646" spans="1:19">
      <c r="A646">
        <v>642</v>
      </c>
      <c r="B646" s="704" t="s">
        <v>415</v>
      </c>
      <c r="C646" s="706" t="s">
        <v>755</v>
      </c>
      <c r="D646" s="706" t="s">
        <v>755</v>
      </c>
      <c r="E646" s="706" t="s">
        <v>360</v>
      </c>
      <c r="F646" s="706">
        <v>1</v>
      </c>
      <c r="G646" s="706"/>
      <c r="H646" s="720"/>
      <c r="I646" s="720">
        <v>46178</v>
      </c>
      <c r="J646" s="706" t="s">
        <v>355</v>
      </c>
      <c r="K646" t="str">
        <f t="shared" si="34"/>
        <v>Switch</v>
      </c>
      <c r="M646" s="419">
        <f t="shared" si="33"/>
        <v>0</v>
      </c>
      <c r="N646" s="419">
        <f t="shared" ref="N646:N709" si="35">O646</f>
        <v>0</v>
      </c>
      <c r="O646" s="419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1">
        <f>All_Detail_v2[[#This Row],[Scheduled Date]]</f>
        <v>46178</v>
      </c>
      <c r="S646" s="421">
        <f>All_Detail_v2[[#This Row],[Install Date]]</f>
        <v>0</v>
      </c>
    </row>
    <row r="647" spans="1:19">
      <c r="A647">
        <v>643</v>
      </c>
      <c r="B647" s="704" t="s">
        <v>415</v>
      </c>
      <c r="C647" s="706" t="s">
        <v>755</v>
      </c>
      <c r="D647" s="706" t="s">
        <v>755</v>
      </c>
      <c r="E647" s="706" t="s">
        <v>365</v>
      </c>
      <c r="F647" s="706">
        <v>1</v>
      </c>
      <c r="G647" s="706"/>
      <c r="H647" s="720"/>
      <c r="I647" s="720">
        <v>46178</v>
      </c>
      <c r="J647" s="706" t="s">
        <v>355</v>
      </c>
      <c r="K647" t="str">
        <f t="shared" si="34"/>
        <v>Switch</v>
      </c>
      <c r="M647" s="419">
        <f t="shared" si="33"/>
        <v>0</v>
      </c>
      <c r="N647" s="419">
        <f t="shared" si="35"/>
        <v>0</v>
      </c>
      <c r="O647" s="419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1">
        <f>All_Detail_v2[[#This Row],[Scheduled Date]]</f>
        <v>46178</v>
      </c>
      <c r="S647" s="421">
        <f>All_Detail_v2[[#This Row],[Install Date]]</f>
        <v>0</v>
      </c>
    </row>
    <row r="648" spans="1:19">
      <c r="A648">
        <v>644</v>
      </c>
      <c r="B648" s="704" t="s">
        <v>415</v>
      </c>
      <c r="C648" s="705" t="s">
        <v>756</v>
      </c>
      <c r="D648" s="706" t="s">
        <v>754</v>
      </c>
      <c r="E648" s="706" t="s">
        <v>360</v>
      </c>
      <c r="F648" s="706">
        <v>1</v>
      </c>
      <c r="G648" s="706"/>
      <c r="H648" s="720"/>
      <c r="I648" s="720">
        <v>46178</v>
      </c>
      <c r="J648" s="706" t="s">
        <v>355</v>
      </c>
      <c r="K648" t="str">
        <f t="shared" si="34"/>
        <v>Switch</v>
      </c>
      <c r="M648" s="419">
        <f t="shared" si="33"/>
        <v>0</v>
      </c>
      <c r="N648" s="419">
        <f t="shared" si="35"/>
        <v>0</v>
      </c>
      <c r="O648" s="419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1">
        <f>All_Detail_v2[[#This Row],[Scheduled Date]]</f>
        <v>46178</v>
      </c>
      <c r="S648" s="421">
        <f>All_Detail_v2[[#This Row],[Install Date]]</f>
        <v>0</v>
      </c>
    </row>
    <row r="649" spans="1:19">
      <c r="A649">
        <v>645</v>
      </c>
      <c r="B649" s="704" t="s">
        <v>415</v>
      </c>
      <c r="C649" s="705" t="s">
        <v>756</v>
      </c>
      <c r="D649" s="706" t="s">
        <v>754</v>
      </c>
      <c r="E649" s="706" t="s">
        <v>365</v>
      </c>
      <c r="F649" s="706">
        <v>1</v>
      </c>
      <c r="G649" s="706"/>
      <c r="H649" s="720"/>
      <c r="I649" s="720">
        <v>46178</v>
      </c>
      <c r="J649" s="706" t="s">
        <v>355</v>
      </c>
      <c r="K649" t="str">
        <f t="shared" si="34"/>
        <v>Switch</v>
      </c>
      <c r="M649" s="419">
        <f t="shared" si="33"/>
        <v>0</v>
      </c>
      <c r="N649" s="419">
        <f t="shared" si="35"/>
        <v>0</v>
      </c>
      <c r="O649" s="419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1">
        <f>All_Detail_v2[[#This Row],[Scheduled Date]]</f>
        <v>46178</v>
      </c>
      <c r="S649" s="421">
        <f>All_Detail_v2[[#This Row],[Install Date]]</f>
        <v>0</v>
      </c>
    </row>
    <row r="650" spans="1:19">
      <c r="A650">
        <v>646</v>
      </c>
      <c r="B650" s="704" t="s">
        <v>415</v>
      </c>
      <c r="C650" s="706" t="s">
        <v>757</v>
      </c>
      <c r="D650" s="705" t="s">
        <v>758</v>
      </c>
      <c r="E650" s="706" t="s">
        <v>360</v>
      </c>
      <c r="F650" s="706">
        <v>1</v>
      </c>
      <c r="G650" s="706"/>
      <c r="H650" s="720"/>
      <c r="I650" s="720">
        <v>46178</v>
      </c>
      <c r="J650" s="706" t="s">
        <v>355</v>
      </c>
      <c r="K650" t="str">
        <f t="shared" si="34"/>
        <v>Switch</v>
      </c>
      <c r="M650" s="419">
        <f t="shared" si="33"/>
        <v>0</v>
      </c>
      <c r="N650" s="419">
        <f t="shared" si="35"/>
        <v>0</v>
      </c>
      <c r="O650" s="419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1">
        <f>All_Detail_v2[[#This Row],[Scheduled Date]]</f>
        <v>46178</v>
      </c>
      <c r="S650" s="421">
        <f>All_Detail_v2[[#This Row],[Install Date]]</f>
        <v>0</v>
      </c>
    </row>
    <row r="651" spans="1:19">
      <c r="A651">
        <v>647</v>
      </c>
      <c r="B651" s="704" t="s">
        <v>415</v>
      </c>
      <c r="C651" s="705" t="s">
        <v>759</v>
      </c>
      <c r="D651" s="706" t="s">
        <v>760</v>
      </c>
      <c r="E651" s="706" t="s">
        <v>360</v>
      </c>
      <c r="F651" s="706">
        <v>1</v>
      </c>
      <c r="G651" s="706"/>
      <c r="H651" s="720"/>
      <c r="I651" s="720">
        <v>46178</v>
      </c>
      <c r="J651" s="706" t="s">
        <v>355</v>
      </c>
      <c r="K651" t="str">
        <f t="shared" si="34"/>
        <v>Switch</v>
      </c>
      <c r="M651" s="419">
        <f t="shared" si="33"/>
        <v>0</v>
      </c>
      <c r="N651" s="419">
        <f t="shared" si="35"/>
        <v>0</v>
      </c>
      <c r="O651" s="419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1">
        <f>All_Detail_v2[[#This Row],[Scheduled Date]]</f>
        <v>46178</v>
      </c>
      <c r="S651" s="421">
        <f>All_Detail_v2[[#This Row],[Install Date]]</f>
        <v>0</v>
      </c>
    </row>
    <row r="652" spans="1:19">
      <c r="A652">
        <v>648</v>
      </c>
      <c r="B652" s="704" t="s">
        <v>415</v>
      </c>
      <c r="C652" s="705" t="s">
        <v>761</v>
      </c>
      <c r="D652" s="706" t="s">
        <v>762</v>
      </c>
      <c r="E652" s="706" t="s">
        <v>360</v>
      </c>
      <c r="F652" s="706">
        <v>1</v>
      </c>
      <c r="G652" s="706"/>
      <c r="H652" s="720"/>
      <c r="I652" s="720">
        <v>46178</v>
      </c>
      <c r="J652" s="706" t="s">
        <v>355</v>
      </c>
      <c r="K652" t="str">
        <f t="shared" si="34"/>
        <v>Switch</v>
      </c>
      <c r="M652" s="419">
        <f t="shared" si="33"/>
        <v>0</v>
      </c>
      <c r="N652" s="419">
        <f t="shared" si="35"/>
        <v>0</v>
      </c>
      <c r="O652" s="419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1">
        <f>All_Detail_v2[[#This Row],[Scheduled Date]]</f>
        <v>46178</v>
      </c>
      <c r="S652" s="421">
        <f>All_Detail_v2[[#This Row],[Install Date]]</f>
        <v>0</v>
      </c>
    </row>
    <row r="653" spans="1:19">
      <c r="A653">
        <v>649</v>
      </c>
      <c r="B653" s="704" t="s">
        <v>763</v>
      </c>
      <c r="C653" s="706" t="s">
        <v>763</v>
      </c>
      <c r="D653" s="706" t="s">
        <v>40</v>
      </c>
      <c r="E653" s="706" t="s">
        <v>354</v>
      </c>
      <c r="F653" s="706">
        <v>25</v>
      </c>
      <c r="G653" s="706"/>
      <c r="H653" s="720"/>
      <c r="I653" s="720">
        <v>46182</v>
      </c>
      <c r="J653" s="706" t="s">
        <v>355</v>
      </c>
      <c r="K653" t="str">
        <f t="shared" si="34"/>
        <v>AP</v>
      </c>
      <c r="M653" s="419">
        <f t="shared" si="33"/>
        <v>0</v>
      </c>
      <c r="N653" s="419">
        <f t="shared" si="35"/>
        <v>0</v>
      </c>
      <c r="O653" s="419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1">
        <f>All_Detail_v2[[#This Row],[Scheduled Date]]</f>
        <v>46182</v>
      </c>
      <c r="S653" s="421">
        <f>All_Detail_v2[[#This Row],[Install Date]]</f>
        <v>0</v>
      </c>
    </row>
    <row r="654" spans="1:19">
      <c r="A654">
        <v>650</v>
      </c>
      <c r="B654" s="704" t="s">
        <v>763</v>
      </c>
      <c r="C654" s="706" t="s">
        <v>763</v>
      </c>
      <c r="D654" s="706" t="s">
        <v>764</v>
      </c>
      <c r="E654" s="706" t="s">
        <v>360</v>
      </c>
      <c r="F654" s="706">
        <v>2</v>
      </c>
      <c r="G654" s="706"/>
      <c r="H654" s="720"/>
      <c r="I654" s="720">
        <v>46184</v>
      </c>
      <c r="J654" s="706" t="s">
        <v>355</v>
      </c>
      <c r="K654" t="str">
        <f t="shared" si="34"/>
        <v>Switch</v>
      </c>
      <c r="M654" s="419">
        <f t="shared" si="33"/>
        <v>0</v>
      </c>
      <c r="N654" s="419">
        <f t="shared" si="35"/>
        <v>0</v>
      </c>
      <c r="O654" s="419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1">
        <f>All_Detail_v2[[#This Row],[Scheduled Date]]</f>
        <v>46184</v>
      </c>
      <c r="S654" s="421">
        <f>All_Detail_v2[[#This Row],[Install Date]]</f>
        <v>0</v>
      </c>
    </row>
    <row r="655" spans="1:19">
      <c r="A655">
        <v>651</v>
      </c>
      <c r="B655" s="704" t="s">
        <v>763</v>
      </c>
      <c r="C655" s="706" t="s">
        <v>763</v>
      </c>
      <c r="D655" s="706" t="s">
        <v>765</v>
      </c>
      <c r="E655" s="706" t="s">
        <v>360</v>
      </c>
      <c r="F655" s="706">
        <v>4</v>
      </c>
      <c r="G655" s="706"/>
      <c r="H655" s="720"/>
      <c r="I655" s="720">
        <v>46184</v>
      </c>
      <c r="J655" s="706" t="s">
        <v>355</v>
      </c>
      <c r="K655" t="str">
        <f t="shared" si="34"/>
        <v>Switch</v>
      </c>
      <c r="M655" s="419">
        <f t="shared" si="33"/>
        <v>0</v>
      </c>
      <c r="N655" s="419">
        <f t="shared" si="35"/>
        <v>0</v>
      </c>
      <c r="O655" s="419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1">
        <f>All_Detail_v2[[#This Row],[Scheduled Date]]</f>
        <v>46184</v>
      </c>
      <c r="S655" s="421">
        <f>All_Detail_v2[[#This Row],[Install Date]]</f>
        <v>0</v>
      </c>
    </row>
    <row r="656" spans="1:19">
      <c r="A656">
        <v>652</v>
      </c>
      <c r="B656" s="704" t="s">
        <v>763</v>
      </c>
      <c r="C656" s="706" t="s">
        <v>763</v>
      </c>
      <c r="D656" s="706" t="s">
        <v>766</v>
      </c>
      <c r="E656" s="706" t="s">
        <v>365</v>
      </c>
      <c r="F656" s="706">
        <v>3</v>
      </c>
      <c r="G656" s="706"/>
      <c r="H656" s="720"/>
      <c r="I656" s="720">
        <v>46184</v>
      </c>
      <c r="J656" s="706" t="s">
        <v>355</v>
      </c>
      <c r="K656" t="str">
        <f t="shared" si="34"/>
        <v>Switch</v>
      </c>
      <c r="M656" s="419">
        <f t="shared" si="33"/>
        <v>0</v>
      </c>
      <c r="N656" s="419">
        <f t="shared" si="35"/>
        <v>0</v>
      </c>
      <c r="O656" s="419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1">
        <f>All_Detail_v2[[#This Row],[Scheduled Date]]</f>
        <v>46184</v>
      </c>
      <c r="S656" s="421">
        <f>All_Detail_v2[[#This Row],[Install Date]]</f>
        <v>0</v>
      </c>
    </row>
    <row r="657" spans="1:19">
      <c r="A657">
        <v>653</v>
      </c>
      <c r="B657" s="704" t="s">
        <v>763</v>
      </c>
      <c r="C657" s="706" t="s">
        <v>763</v>
      </c>
      <c r="D657" s="706" t="s">
        <v>767</v>
      </c>
      <c r="E657" s="706" t="s">
        <v>365</v>
      </c>
      <c r="F657" s="706">
        <v>1</v>
      </c>
      <c r="G657" s="706"/>
      <c r="H657" s="720"/>
      <c r="I657" s="720">
        <v>46184</v>
      </c>
      <c r="J657" s="706" t="s">
        <v>355</v>
      </c>
      <c r="K657" t="str">
        <f t="shared" si="34"/>
        <v>Switch</v>
      </c>
      <c r="M657" s="419">
        <f t="shared" si="33"/>
        <v>0</v>
      </c>
      <c r="N657" s="419">
        <f t="shared" si="35"/>
        <v>0</v>
      </c>
      <c r="O657" s="419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1">
        <f>All_Detail_v2[[#This Row],[Scheduled Date]]</f>
        <v>46184</v>
      </c>
      <c r="S657" s="421">
        <f>All_Detail_v2[[#This Row],[Install Date]]</f>
        <v>0</v>
      </c>
    </row>
    <row r="658" spans="1:19">
      <c r="A658">
        <v>654</v>
      </c>
      <c r="B658" s="704" t="s">
        <v>763</v>
      </c>
      <c r="C658" s="706" t="s">
        <v>763</v>
      </c>
      <c r="D658" s="706" t="s">
        <v>768</v>
      </c>
      <c r="E658" s="706" t="s">
        <v>408</v>
      </c>
      <c r="F658" s="706">
        <v>2</v>
      </c>
      <c r="G658" s="706"/>
      <c r="H658" s="720"/>
      <c r="I658" s="720">
        <v>46184</v>
      </c>
      <c r="J658" s="706" t="s">
        <v>355</v>
      </c>
      <c r="K658" t="str">
        <f t="shared" si="34"/>
        <v>Switch</v>
      </c>
      <c r="M658" s="419">
        <f t="shared" si="33"/>
        <v>0</v>
      </c>
      <c r="N658" s="419">
        <f t="shared" si="35"/>
        <v>0</v>
      </c>
      <c r="O658" s="419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1">
        <f>All_Detail_v2[[#This Row],[Scheduled Date]]</f>
        <v>46184</v>
      </c>
      <c r="S658" s="421">
        <f>All_Detail_v2[[#This Row],[Install Date]]</f>
        <v>0</v>
      </c>
    </row>
    <row r="659" spans="1:19">
      <c r="A659">
        <v>655</v>
      </c>
      <c r="B659" s="704" t="s">
        <v>763</v>
      </c>
      <c r="C659" s="706" t="s">
        <v>763</v>
      </c>
      <c r="D659" s="706" t="s">
        <v>769</v>
      </c>
      <c r="E659" s="706" t="s">
        <v>364</v>
      </c>
      <c r="F659" s="706">
        <v>1</v>
      </c>
      <c r="G659" s="706"/>
      <c r="H659" s="720"/>
      <c r="I659" s="720">
        <v>46185</v>
      </c>
      <c r="J659" s="706" t="s">
        <v>355</v>
      </c>
      <c r="K659" t="str">
        <f t="shared" si="34"/>
        <v>Switch</v>
      </c>
      <c r="M659" s="419">
        <f t="shared" si="33"/>
        <v>0</v>
      </c>
      <c r="N659" s="419">
        <f t="shared" si="35"/>
        <v>0</v>
      </c>
      <c r="O659" s="419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1">
        <f>All_Detail_v2[[#This Row],[Scheduled Date]]</f>
        <v>46185</v>
      </c>
      <c r="S659" s="421">
        <f>All_Detail_v2[[#This Row],[Install Date]]</f>
        <v>0</v>
      </c>
    </row>
    <row r="660" spans="1:19">
      <c r="A660">
        <v>656</v>
      </c>
      <c r="B660" s="704" t="s">
        <v>763</v>
      </c>
      <c r="C660" s="706" t="s">
        <v>763</v>
      </c>
      <c r="D660" s="706" t="s">
        <v>769</v>
      </c>
      <c r="E660" s="706" t="s">
        <v>411</v>
      </c>
      <c r="F660" s="706">
        <v>2</v>
      </c>
      <c r="G660" s="706">
        <v>2</v>
      </c>
      <c r="H660" s="720">
        <v>46063</v>
      </c>
      <c r="I660" s="720">
        <v>46063</v>
      </c>
      <c r="J660" s="706" t="s">
        <v>358</v>
      </c>
      <c r="K660" t="str">
        <f t="shared" si="34"/>
        <v>Infra</v>
      </c>
      <c r="M660" s="419">
        <f t="shared" si="33"/>
        <v>2</v>
      </c>
      <c r="N660" s="419">
        <f t="shared" si="35"/>
        <v>2</v>
      </c>
      <c r="O660" s="419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1">
        <f>All_Detail_v2[[#This Row],[Scheduled Date]]</f>
        <v>46063</v>
      </c>
      <c r="S660" s="421">
        <f>All_Detail_v2[[#This Row],[Install Date]]</f>
        <v>46063</v>
      </c>
    </row>
    <row r="661" spans="1:19">
      <c r="A661">
        <v>657</v>
      </c>
      <c r="B661" s="704" t="s">
        <v>763</v>
      </c>
      <c r="C661" s="706" t="s">
        <v>763</v>
      </c>
      <c r="D661" s="706" t="s">
        <v>770</v>
      </c>
      <c r="E661" s="706" t="s">
        <v>364</v>
      </c>
      <c r="F661" s="706">
        <v>2</v>
      </c>
      <c r="G661" s="706"/>
      <c r="H661" s="720"/>
      <c r="I661" s="720">
        <v>46185</v>
      </c>
      <c r="J661" s="706" t="s">
        <v>355</v>
      </c>
      <c r="K661" t="str">
        <f t="shared" si="34"/>
        <v>Switch</v>
      </c>
      <c r="M661" s="419">
        <f t="shared" si="33"/>
        <v>0</v>
      </c>
      <c r="N661" s="419">
        <f t="shared" si="35"/>
        <v>0</v>
      </c>
      <c r="O661" s="419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1">
        <f>All_Detail_v2[[#This Row],[Scheduled Date]]</f>
        <v>46185</v>
      </c>
      <c r="S661" s="421">
        <f>All_Detail_v2[[#This Row],[Install Date]]</f>
        <v>0</v>
      </c>
    </row>
    <row r="662" spans="1:19">
      <c r="A662">
        <v>658</v>
      </c>
      <c r="B662" s="704" t="s">
        <v>763</v>
      </c>
      <c r="C662" s="706" t="s">
        <v>763</v>
      </c>
      <c r="D662" s="705" t="s">
        <v>771</v>
      </c>
      <c r="E662" s="706" t="s">
        <v>365</v>
      </c>
      <c r="F662" s="706">
        <v>1</v>
      </c>
      <c r="G662" s="706"/>
      <c r="H662" s="720"/>
      <c r="I662" s="720">
        <v>46185</v>
      </c>
      <c r="J662" s="706" t="s">
        <v>355</v>
      </c>
      <c r="K662" t="str">
        <f t="shared" si="34"/>
        <v>Switch</v>
      </c>
      <c r="M662" s="419">
        <f t="shared" si="33"/>
        <v>0</v>
      </c>
      <c r="N662" s="419">
        <f t="shared" si="35"/>
        <v>0</v>
      </c>
      <c r="O662" s="419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1">
        <f>All_Detail_v2[[#This Row],[Scheduled Date]]</f>
        <v>46185</v>
      </c>
      <c r="S662" s="421">
        <f>All_Detail_v2[[#This Row],[Install Date]]</f>
        <v>0</v>
      </c>
    </row>
    <row r="663" spans="1:19">
      <c r="A663">
        <v>659</v>
      </c>
      <c r="B663" s="704" t="s">
        <v>763</v>
      </c>
      <c r="C663" s="706" t="s">
        <v>763</v>
      </c>
      <c r="D663" s="705" t="s">
        <v>772</v>
      </c>
      <c r="E663" s="706" t="s">
        <v>402</v>
      </c>
      <c r="F663" s="706">
        <v>1</v>
      </c>
      <c r="G663" s="706"/>
      <c r="H663" s="720"/>
      <c r="I663" s="720">
        <v>46185</v>
      </c>
      <c r="J663" s="706" t="s">
        <v>355</v>
      </c>
      <c r="K663" t="str">
        <f t="shared" si="34"/>
        <v>Switch</v>
      </c>
      <c r="M663" s="419">
        <f t="shared" si="33"/>
        <v>0</v>
      </c>
      <c r="N663" s="419">
        <f t="shared" si="35"/>
        <v>0</v>
      </c>
      <c r="O663" s="419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1">
        <f>All_Detail_v2[[#This Row],[Scheduled Date]]</f>
        <v>46185</v>
      </c>
      <c r="S663" s="421">
        <f>All_Detail_v2[[#This Row],[Install Date]]</f>
        <v>0</v>
      </c>
    </row>
    <row r="664" spans="1:19">
      <c r="A664">
        <v>660</v>
      </c>
      <c r="B664" s="704" t="s">
        <v>763</v>
      </c>
      <c r="C664" s="706" t="s">
        <v>763</v>
      </c>
      <c r="D664" s="705" t="s">
        <v>773</v>
      </c>
      <c r="E664" s="706" t="s">
        <v>365</v>
      </c>
      <c r="F664" s="706">
        <v>1</v>
      </c>
      <c r="G664" s="706"/>
      <c r="H664" s="720"/>
      <c r="I664" s="720">
        <v>46185</v>
      </c>
      <c r="J664" s="706" t="s">
        <v>355</v>
      </c>
      <c r="K664" t="str">
        <f t="shared" si="34"/>
        <v>Switch</v>
      </c>
      <c r="M664" s="419">
        <f t="shared" si="33"/>
        <v>0</v>
      </c>
      <c r="N664" s="419">
        <f t="shared" si="35"/>
        <v>0</v>
      </c>
      <c r="O664" s="419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1">
        <f>All_Detail_v2[[#This Row],[Scheduled Date]]</f>
        <v>46185</v>
      </c>
      <c r="S664" s="421">
        <f>All_Detail_v2[[#This Row],[Install Date]]</f>
        <v>0</v>
      </c>
    </row>
    <row r="665" spans="1:19">
      <c r="A665">
        <v>661</v>
      </c>
      <c r="B665" s="704" t="s">
        <v>763</v>
      </c>
      <c r="C665" s="706" t="s">
        <v>763</v>
      </c>
      <c r="D665" s="705" t="s">
        <v>774</v>
      </c>
      <c r="E665" s="706" t="s">
        <v>365</v>
      </c>
      <c r="F665" s="706">
        <v>1</v>
      </c>
      <c r="G665" s="706"/>
      <c r="H665" s="720"/>
      <c r="I665" s="720">
        <v>46185</v>
      </c>
      <c r="J665" s="706" t="s">
        <v>355</v>
      </c>
      <c r="K665" t="str">
        <f t="shared" si="34"/>
        <v>Switch</v>
      </c>
      <c r="M665" s="419">
        <f t="shared" si="33"/>
        <v>0</v>
      </c>
      <c r="N665" s="419">
        <f t="shared" si="35"/>
        <v>0</v>
      </c>
      <c r="O665" s="419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1">
        <f>All_Detail_v2[[#This Row],[Scheduled Date]]</f>
        <v>46185</v>
      </c>
      <c r="S665" s="421">
        <f>All_Detail_v2[[#This Row],[Install Date]]</f>
        <v>0</v>
      </c>
    </row>
    <row r="666" spans="1:19">
      <c r="A666">
        <v>662</v>
      </c>
      <c r="B666" s="704" t="s">
        <v>763</v>
      </c>
      <c r="C666" s="706" t="s">
        <v>763</v>
      </c>
      <c r="D666" s="705" t="s">
        <v>37</v>
      </c>
      <c r="E666" s="706" t="s">
        <v>365</v>
      </c>
      <c r="F666" s="706">
        <v>2</v>
      </c>
      <c r="G666" s="706"/>
      <c r="H666" s="720"/>
      <c r="I666" s="720">
        <v>46185</v>
      </c>
      <c r="J666" s="706" t="s">
        <v>355</v>
      </c>
      <c r="K666" t="str">
        <f t="shared" si="34"/>
        <v>Switch</v>
      </c>
      <c r="M666" s="419">
        <f t="shared" si="33"/>
        <v>0</v>
      </c>
      <c r="N666" s="419">
        <f t="shared" si="35"/>
        <v>0</v>
      </c>
      <c r="O666" s="419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1">
        <f>All_Detail_v2[[#This Row],[Scheduled Date]]</f>
        <v>46185</v>
      </c>
      <c r="S666" s="421">
        <f>All_Detail_v2[[#This Row],[Install Date]]</f>
        <v>0</v>
      </c>
    </row>
    <row r="667" spans="1:19">
      <c r="A667">
        <v>663</v>
      </c>
      <c r="B667" s="704" t="s">
        <v>763</v>
      </c>
      <c r="C667" s="706" t="s">
        <v>763</v>
      </c>
      <c r="D667" s="705" t="s">
        <v>775</v>
      </c>
      <c r="E667" s="706" t="s">
        <v>365</v>
      </c>
      <c r="F667" s="706">
        <v>1</v>
      </c>
      <c r="G667" s="706"/>
      <c r="H667" s="720"/>
      <c r="I667" s="720">
        <v>46188</v>
      </c>
      <c r="J667" s="706" t="s">
        <v>355</v>
      </c>
      <c r="K667" t="str">
        <f t="shared" si="34"/>
        <v>Switch</v>
      </c>
      <c r="M667" s="419">
        <f t="shared" si="33"/>
        <v>0</v>
      </c>
      <c r="N667" s="419">
        <f t="shared" si="35"/>
        <v>0</v>
      </c>
      <c r="O667" s="419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1">
        <f>All_Detail_v2[[#This Row],[Scheduled Date]]</f>
        <v>46188</v>
      </c>
      <c r="S667" s="421">
        <f>All_Detail_v2[[#This Row],[Install Date]]</f>
        <v>0</v>
      </c>
    </row>
    <row r="668" spans="1:19">
      <c r="A668">
        <v>664</v>
      </c>
      <c r="B668" s="704" t="s">
        <v>763</v>
      </c>
      <c r="C668" s="705" t="s">
        <v>776</v>
      </c>
      <c r="D668" s="706" t="s">
        <v>40</v>
      </c>
      <c r="E668" s="706" t="s">
        <v>354</v>
      </c>
      <c r="F668" s="706">
        <v>5</v>
      </c>
      <c r="G668" s="706"/>
      <c r="H668" s="720"/>
      <c r="I668" s="720">
        <v>46182</v>
      </c>
      <c r="J668" s="706" t="s">
        <v>355</v>
      </c>
      <c r="K668" t="str">
        <f t="shared" si="34"/>
        <v>AP</v>
      </c>
      <c r="M668" s="419">
        <f t="shared" si="33"/>
        <v>0</v>
      </c>
      <c r="N668" s="419">
        <f t="shared" si="35"/>
        <v>0</v>
      </c>
      <c r="O668" s="419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1">
        <f>All_Detail_v2[[#This Row],[Scheduled Date]]</f>
        <v>46182</v>
      </c>
      <c r="S668" s="421">
        <f>All_Detail_v2[[#This Row],[Install Date]]</f>
        <v>0</v>
      </c>
    </row>
    <row r="669" spans="1:19">
      <c r="A669">
        <v>665</v>
      </c>
      <c r="B669" s="704" t="s">
        <v>763</v>
      </c>
      <c r="C669" s="705" t="s">
        <v>776</v>
      </c>
      <c r="D669" s="706" t="s">
        <v>777</v>
      </c>
      <c r="E669" s="706" t="s">
        <v>360</v>
      </c>
      <c r="F669" s="706">
        <v>3</v>
      </c>
      <c r="G669" s="706"/>
      <c r="H669" s="720"/>
      <c r="I669" s="720">
        <v>46182</v>
      </c>
      <c r="J669" s="706" t="s">
        <v>355</v>
      </c>
      <c r="K669" t="str">
        <f t="shared" si="34"/>
        <v>Switch</v>
      </c>
      <c r="M669" s="419">
        <f t="shared" si="33"/>
        <v>0</v>
      </c>
      <c r="N669" s="419">
        <f t="shared" si="35"/>
        <v>0</v>
      </c>
      <c r="O669" s="419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1">
        <f>All_Detail_v2[[#This Row],[Scheduled Date]]</f>
        <v>46182</v>
      </c>
      <c r="S669" s="421">
        <f>All_Detail_v2[[#This Row],[Install Date]]</f>
        <v>0</v>
      </c>
    </row>
    <row r="670" spans="1:19">
      <c r="A670">
        <v>666</v>
      </c>
      <c r="B670" s="704" t="s">
        <v>763</v>
      </c>
      <c r="C670" s="705" t="s">
        <v>776</v>
      </c>
      <c r="D670" s="706" t="s">
        <v>778</v>
      </c>
      <c r="E670" s="706" t="s">
        <v>365</v>
      </c>
      <c r="F670" s="706">
        <v>2</v>
      </c>
      <c r="G670" s="706"/>
      <c r="H670" s="720"/>
      <c r="I670" s="720">
        <v>46182</v>
      </c>
      <c r="J670" s="706" t="s">
        <v>355</v>
      </c>
      <c r="K670" t="str">
        <f t="shared" si="34"/>
        <v>Switch</v>
      </c>
      <c r="M670" s="419">
        <f t="shared" si="33"/>
        <v>0</v>
      </c>
      <c r="N670" s="419">
        <f t="shared" si="35"/>
        <v>0</v>
      </c>
      <c r="O670" s="419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1">
        <f>All_Detail_v2[[#This Row],[Scheduled Date]]</f>
        <v>46182</v>
      </c>
      <c r="S670" s="421">
        <f>All_Detail_v2[[#This Row],[Install Date]]</f>
        <v>0</v>
      </c>
    </row>
    <row r="671" spans="1:19">
      <c r="A671">
        <v>667</v>
      </c>
      <c r="B671" s="704" t="s">
        <v>763</v>
      </c>
      <c r="C671" s="705" t="s">
        <v>776</v>
      </c>
      <c r="D671" s="706" t="s">
        <v>779</v>
      </c>
      <c r="E671" s="706" t="s">
        <v>400</v>
      </c>
      <c r="F671" s="706">
        <v>2</v>
      </c>
      <c r="G671" s="706"/>
      <c r="H671" s="720"/>
      <c r="I671" s="720">
        <v>46182</v>
      </c>
      <c r="J671" s="706" t="s">
        <v>355</v>
      </c>
      <c r="K671" t="str">
        <f t="shared" si="34"/>
        <v>Switch</v>
      </c>
      <c r="M671" s="419">
        <f t="shared" si="33"/>
        <v>0</v>
      </c>
      <c r="N671" s="419">
        <f t="shared" si="35"/>
        <v>0</v>
      </c>
      <c r="O671" s="419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1">
        <f>All_Detail_v2[[#This Row],[Scheduled Date]]</f>
        <v>46182</v>
      </c>
      <c r="S671" s="421">
        <f>All_Detail_v2[[#This Row],[Install Date]]</f>
        <v>0</v>
      </c>
    </row>
    <row r="672" spans="1:19">
      <c r="A672">
        <v>668</v>
      </c>
      <c r="B672" s="704" t="s">
        <v>763</v>
      </c>
      <c r="C672" s="705" t="s">
        <v>776</v>
      </c>
      <c r="D672" s="706" t="s">
        <v>764</v>
      </c>
      <c r="E672" s="706" t="s">
        <v>360</v>
      </c>
      <c r="F672" s="706">
        <v>4</v>
      </c>
      <c r="G672" s="706"/>
      <c r="H672" s="720"/>
      <c r="I672" s="720">
        <v>46183</v>
      </c>
      <c r="J672" s="706" t="s">
        <v>355</v>
      </c>
      <c r="K672" t="str">
        <f t="shared" si="34"/>
        <v>Switch</v>
      </c>
      <c r="M672" s="419">
        <f t="shared" si="33"/>
        <v>0</v>
      </c>
      <c r="N672" s="419">
        <f t="shared" si="35"/>
        <v>0</v>
      </c>
      <c r="O672" s="419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1">
        <f>All_Detail_v2[[#This Row],[Scheduled Date]]</f>
        <v>46183</v>
      </c>
      <c r="S672" s="421">
        <f>All_Detail_v2[[#This Row],[Install Date]]</f>
        <v>0</v>
      </c>
    </row>
    <row r="673" spans="1:19">
      <c r="A673">
        <v>669</v>
      </c>
      <c r="B673" s="704" t="s">
        <v>763</v>
      </c>
      <c r="C673" s="705" t="s">
        <v>776</v>
      </c>
      <c r="D673" s="706" t="s">
        <v>780</v>
      </c>
      <c r="E673" s="706" t="s">
        <v>365</v>
      </c>
      <c r="F673" s="706">
        <v>1</v>
      </c>
      <c r="G673" s="706"/>
      <c r="H673" s="720"/>
      <c r="I673" s="720">
        <v>46183</v>
      </c>
      <c r="J673" s="706" t="s">
        <v>355</v>
      </c>
      <c r="K673" t="str">
        <f t="shared" si="34"/>
        <v>Switch</v>
      </c>
      <c r="M673" s="419">
        <f t="shared" si="33"/>
        <v>0</v>
      </c>
      <c r="N673" s="419">
        <f t="shared" si="35"/>
        <v>0</v>
      </c>
      <c r="O673" s="419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1">
        <f>All_Detail_v2[[#This Row],[Scheduled Date]]</f>
        <v>46183</v>
      </c>
      <c r="S673" s="421">
        <f>All_Detail_v2[[#This Row],[Install Date]]</f>
        <v>0</v>
      </c>
    </row>
    <row r="674" spans="1:19">
      <c r="A674">
        <v>670</v>
      </c>
      <c r="B674" s="704" t="s">
        <v>763</v>
      </c>
      <c r="C674" s="705" t="s">
        <v>776</v>
      </c>
      <c r="D674" s="705" t="s">
        <v>781</v>
      </c>
      <c r="E674" s="706" t="s">
        <v>365</v>
      </c>
      <c r="F674" s="706">
        <v>2</v>
      </c>
      <c r="G674" s="706"/>
      <c r="H674" s="720"/>
      <c r="I674" s="720">
        <v>46183</v>
      </c>
      <c r="J674" s="706" t="s">
        <v>355</v>
      </c>
      <c r="K674" t="str">
        <f t="shared" si="34"/>
        <v>Switch</v>
      </c>
      <c r="M674" s="419">
        <f t="shared" si="33"/>
        <v>0</v>
      </c>
      <c r="N674" s="419">
        <f t="shared" si="35"/>
        <v>0</v>
      </c>
      <c r="O674" s="419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1">
        <f>All_Detail_v2[[#This Row],[Scheduled Date]]</f>
        <v>46183</v>
      </c>
      <c r="S674" s="421">
        <f>All_Detail_v2[[#This Row],[Install Date]]</f>
        <v>0</v>
      </c>
    </row>
    <row r="675" spans="1:19">
      <c r="A675">
        <v>671</v>
      </c>
      <c r="B675" s="704" t="s">
        <v>763</v>
      </c>
      <c r="C675" s="705" t="s">
        <v>776</v>
      </c>
      <c r="D675" s="705" t="s">
        <v>782</v>
      </c>
      <c r="E675" s="706" t="s">
        <v>365</v>
      </c>
      <c r="F675" s="706">
        <v>2</v>
      </c>
      <c r="G675" s="706"/>
      <c r="H675" s="720"/>
      <c r="I675" s="720">
        <v>46183</v>
      </c>
      <c r="J675" s="706" t="s">
        <v>355</v>
      </c>
      <c r="K675" t="str">
        <f t="shared" si="34"/>
        <v>Switch</v>
      </c>
      <c r="M675" s="419">
        <f t="shared" si="33"/>
        <v>0</v>
      </c>
      <c r="N675" s="419">
        <f t="shared" si="35"/>
        <v>0</v>
      </c>
      <c r="O675" s="419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1">
        <f>All_Detail_v2[[#This Row],[Scheduled Date]]</f>
        <v>46183</v>
      </c>
      <c r="S675" s="421">
        <f>All_Detail_v2[[#This Row],[Install Date]]</f>
        <v>0</v>
      </c>
    </row>
    <row r="676" spans="1:19">
      <c r="A676">
        <v>672</v>
      </c>
      <c r="B676" s="704" t="s">
        <v>763</v>
      </c>
      <c r="C676" s="705" t="s">
        <v>776</v>
      </c>
      <c r="D676" s="705" t="s">
        <v>783</v>
      </c>
      <c r="E676" s="706" t="s">
        <v>360</v>
      </c>
      <c r="F676" s="706">
        <v>2</v>
      </c>
      <c r="G676" s="706"/>
      <c r="H676" s="720"/>
      <c r="I676" s="720">
        <v>46183</v>
      </c>
      <c r="J676" s="706" t="s">
        <v>355</v>
      </c>
      <c r="K676" t="str">
        <f t="shared" si="34"/>
        <v>Switch</v>
      </c>
      <c r="M676" s="419">
        <f t="shared" si="33"/>
        <v>0</v>
      </c>
      <c r="N676" s="419">
        <f t="shared" si="35"/>
        <v>0</v>
      </c>
      <c r="O676" s="419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1">
        <f>All_Detail_v2[[#This Row],[Scheduled Date]]</f>
        <v>46183</v>
      </c>
      <c r="S676" s="421">
        <f>All_Detail_v2[[#This Row],[Install Date]]</f>
        <v>0</v>
      </c>
    </row>
    <row r="677" spans="1:19">
      <c r="A677">
        <v>673</v>
      </c>
      <c r="B677" s="704" t="s">
        <v>763</v>
      </c>
      <c r="C677" s="706" t="s">
        <v>784</v>
      </c>
      <c r="D677" s="706" t="s">
        <v>40</v>
      </c>
      <c r="E677" s="706" t="s">
        <v>354</v>
      </c>
      <c r="F677" s="706">
        <v>1</v>
      </c>
      <c r="G677" s="706"/>
      <c r="H677" s="720"/>
      <c r="I677" s="720">
        <v>46183</v>
      </c>
      <c r="J677" s="706" t="s">
        <v>355</v>
      </c>
      <c r="K677" t="str">
        <f t="shared" si="34"/>
        <v>AP</v>
      </c>
      <c r="M677" s="419">
        <f t="shared" si="33"/>
        <v>0</v>
      </c>
      <c r="N677" s="419">
        <f t="shared" si="35"/>
        <v>0</v>
      </c>
      <c r="O677" s="419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1">
        <f>All_Detail_v2[[#This Row],[Scheduled Date]]</f>
        <v>46183</v>
      </c>
      <c r="S677" s="421">
        <f>All_Detail_v2[[#This Row],[Install Date]]</f>
        <v>0</v>
      </c>
    </row>
    <row r="678" spans="1:19">
      <c r="A678">
        <v>674</v>
      </c>
      <c r="B678" s="704" t="s">
        <v>763</v>
      </c>
      <c r="C678" s="706" t="s">
        <v>784</v>
      </c>
      <c r="D678" s="706" t="s">
        <v>779</v>
      </c>
      <c r="E678" s="706" t="s">
        <v>360</v>
      </c>
      <c r="F678" s="706">
        <v>2</v>
      </c>
      <c r="G678" s="706"/>
      <c r="H678" s="720"/>
      <c r="I678" s="720">
        <v>46184</v>
      </c>
      <c r="J678" s="706" t="s">
        <v>355</v>
      </c>
      <c r="K678" t="str">
        <f t="shared" si="34"/>
        <v>Switch</v>
      </c>
      <c r="M678" s="419">
        <f t="shared" si="33"/>
        <v>0</v>
      </c>
      <c r="N678" s="419">
        <f t="shared" si="35"/>
        <v>0</v>
      </c>
      <c r="O678" s="419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1">
        <f>All_Detail_v2[[#This Row],[Scheduled Date]]</f>
        <v>46184</v>
      </c>
      <c r="S678" s="421">
        <f>All_Detail_v2[[#This Row],[Install Date]]</f>
        <v>0</v>
      </c>
    </row>
    <row r="679" spans="1:19">
      <c r="A679">
        <v>675</v>
      </c>
      <c r="B679" s="704" t="s">
        <v>763</v>
      </c>
      <c r="C679" s="706" t="s">
        <v>785</v>
      </c>
      <c r="D679" s="706" t="s">
        <v>40</v>
      </c>
      <c r="E679" s="706" t="s">
        <v>354</v>
      </c>
      <c r="F679" s="706">
        <v>1</v>
      </c>
      <c r="G679" s="706"/>
      <c r="H679" s="720"/>
      <c r="I679" s="720">
        <v>46184</v>
      </c>
      <c r="J679" s="706" t="s">
        <v>355</v>
      </c>
      <c r="K679" t="str">
        <f t="shared" si="34"/>
        <v>AP</v>
      </c>
      <c r="M679" s="419">
        <f t="shared" si="33"/>
        <v>0</v>
      </c>
      <c r="N679" s="419">
        <f t="shared" si="35"/>
        <v>0</v>
      </c>
      <c r="O679" s="419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1">
        <f>All_Detail_v2[[#This Row],[Scheduled Date]]</f>
        <v>46184</v>
      </c>
      <c r="S679" s="421">
        <f>All_Detail_v2[[#This Row],[Install Date]]</f>
        <v>0</v>
      </c>
    </row>
    <row r="680" spans="1:19">
      <c r="A680">
        <v>676</v>
      </c>
      <c r="B680" s="704" t="s">
        <v>763</v>
      </c>
      <c r="C680" s="706" t="s">
        <v>785</v>
      </c>
      <c r="D680" s="706" t="s">
        <v>779</v>
      </c>
      <c r="E680" s="706" t="s">
        <v>360</v>
      </c>
      <c r="F680" s="706">
        <v>2</v>
      </c>
      <c r="G680" s="706"/>
      <c r="H680" s="720"/>
      <c r="I680" s="720">
        <v>46184</v>
      </c>
      <c r="J680" s="706" t="s">
        <v>355</v>
      </c>
      <c r="K680" t="str">
        <f t="shared" si="34"/>
        <v>Switch</v>
      </c>
      <c r="M680" s="419">
        <f t="shared" si="33"/>
        <v>0</v>
      </c>
      <c r="N680" s="419">
        <f t="shared" si="35"/>
        <v>0</v>
      </c>
      <c r="O680" s="419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1">
        <f>All_Detail_v2[[#This Row],[Scheduled Date]]</f>
        <v>46184</v>
      </c>
      <c r="S680" s="421">
        <f>All_Detail_v2[[#This Row],[Install Date]]</f>
        <v>0</v>
      </c>
    </row>
    <row r="681" spans="1:19">
      <c r="A681">
        <v>677</v>
      </c>
      <c r="B681" s="704" t="s">
        <v>763</v>
      </c>
      <c r="C681" s="706" t="s">
        <v>786</v>
      </c>
      <c r="D681" s="706" t="s">
        <v>779</v>
      </c>
      <c r="E681" s="706" t="s">
        <v>360</v>
      </c>
      <c r="F681" s="706">
        <v>2</v>
      </c>
      <c r="G681" s="706"/>
      <c r="H681" s="720"/>
      <c r="I681" s="720">
        <v>46184</v>
      </c>
      <c r="J681" s="706" t="s">
        <v>355</v>
      </c>
      <c r="K681" t="str">
        <f t="shared" si="34"/>
        <v>Switch</v>
      </c>
      <c r="M681" s="419">
        <f t="shared" si="33"/>
        <v>0</v>
      </c>
      <c r="N681" s="419">
        <f t="shared" si="35"/>
        <v>0</v>
      </c>
      <c r="O681" s="419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1">
        <f>All_Detail_v2[[#This Row],[Scheduled Date]]</f>
        <v>46184</v>
      </c>
      <c r="S681" s="421">
        <f>All_Detail_v2[[#This Row],[Install Date]]</f>
        <v>0</v>
      </c>
    </row>
    <row r="682" spans="1:19">
      <c r="A682">
        <v>678</v>
      </c>
      <c r="B682" s="704" t="s">
        <v>763</v>
      </c>
      <c r="C682" s="706" t="s">
        <v>787</v>
      </c>
      <c r="D682" s="706" t="s">
        <v>788</v>
      </c>
      <c r="E682" s="706" t="s">
        <v>360</v>
      </c>
      <c r="F682" s="706">
        <v>2</v>
      </c>
      <c r="G682" s="706"/>
      <c r="H682" s="720"/>
      <c r="I682" s="720">
        <v>46184</v>
      </c>
      <c r="J682" s="706" t="s">
        <v>355</v>
      </c>
      <c r="K682" t="str">
        <f t="shared" si="34"/>
        <v>Switch</v>
      </c>
      <c r="M682" s="419">
        <f t="shared" si="33"/>
        <v>0</v>
      </c>
      <c r="N682" s="419">
        <f t="shared" si="35"/>
        <v>0</v>
      </c>
      <c r="O682" s="419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1">
        <f>All_Detail_v2[[#This Row],[Scheduled Date]]</f>
        <v>46184</v>
      </c>
      <c r="S682" s="421">
        <f>All_Detail_v2[[#This Row],[Install Date]]</f>
        <v>0</v>
      </c>
    </row>
    <row r="683" spans="1:19">
      <c r="A683">
        <v>679</v>
      </c>
      <c r="B683" s="704" t="s">
        <v>763</v>
      </c>
      <c r="C683" s="706" t="s">
        <v>789</v>
      </c>
      <c r="D683" s="706" t="s">
        <v>790</v>
      </c>
      <c r="E683" s="706" t="s">
        <v>360</v>
      </c>
      <c r="F683" s="706">
        <v>2</v>
      </c>
      <c r="G683" s="706"/>
      <c r="H683" s="720"/>
      <c r="I683" s="720">
        <v>46184</v>
      </c>
      <c r="J683" s="706" t="s">
        <v>355</v>
      </c>
      <c r="K683" t="str">
        <f t="shared" si="34"/>
        <v>Switch</v>
      </c>
      <c r="M683" s="419">
        <f t="shared" si="33"/>
        <v>0</v>
      </c>
      <c r="N683" s="419">
        <f t="shared" si="35"/>
        <v>0</v>
      </c>
      <c r="O683" s="419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1">
        <f>All_Detail_v2[[#This Row],[Scheduled Date]]</f>
        <v>46184</v>
      </c>
      <c r="S683" s="421">
        <f>All_Detail_v2[[#This Row],[Install Date]]</f>
        <v>0</v>
      </c>
    </row>
    <row r="684" spans="1:19">
      <c r="A684">
        <v>680</v>
      </c>
      <c r="B684" s="704" t="s">
        <v>763</v>
      </c>
      <c r="C684" s="706" t="s">
        <v>791</v>
      </c>
      <c r="D684" s="706" t="s">
        <v>590</v>
      </c>
      <c r="E684" s="706" t="s">
        <v>360</v>
      </c>
      <c r="F684" s="706">
        <v>2</v>
      </c>
      <c r="G684" s="706"/>
      <c r="H684" s="720"/>
      <c r="I684" s="720">
        <v>46184</v>
      </c>
      <c r="J684" s="706" t="s">
        <v>355</v>
      </c>
      <c r="K684" t="str">
        <f t="shared" si="34"/>
        <v>Switch</v>
      </c>
      <c r="M684" s="419">
        <f t="shared" si="33"/>
        <v>0</v>
      </c>
      <c r="N684" s="419">
        <f t="shared" si="35"/>
        <v>0</v>
      </c>
      <c r="O684" s="419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1">
        <f>All_Detail_v2[[#This Row],[Scheduled Date]]</f>
        <v>46184</v>
      </c>
      <c r="S684" s="421">
        <f>All_Detail_v2[[#This Row],[Install Date]]</f>
        <v>0</v>
      </c>
    </row>
    <row r="685" spans="1:19">
      <c r="A685">
        <v>681</v>
      </c>
      <c r="B685" s="704" t="s">
        <v>763</v>
      </c>
      <c r="C685" s="706" t="s">
        <v>792</v>
      </c>
      <c r="D685" s="706" t="s">
        <v>793</v>
      </c>
      <c r="E685" s="706" t="s">
        <v>360</v>
      </c>
      <c r="F685" s="706">
        <v>2</v>
      </c>
      <c r="G685" s="706"/>
      <c r="H685" s="720"/>
      <c r="I685" s="720">
        <v>46185</v>
      </c>
      <c r="J685" s="706" t="s">
        <v>355</v>
      </c>
      <c r="K685" t="str">
        <f t="shared" si="34"/>
        <v>Switch</v>
      </c>
      <c r="M685" s="419">
        <f t="shared" si="33"/>
        <v>0</v>
      </c>
      <c r="N685" s="419">
        <f t="shared" si="35"/>
        <v>0</v>
      </c>
      <c r="O685" s="419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1">
        <f>All_Detail_v2[[#This Row],[Scheduled Date]]</f>
        <v>46185</v>
      </c>
      <c r="S685" s="421">
        <f>All_Detail_v2[[#This Row],[Install Date]]</f>
        <v>0</v>
      </c>
    </row>
    <row r="686" spans="1:19">
      <c r="A686">
        <v>682</v>
      </c>
      <c r="B686" s="704" t="s">
        <v>763</v>
      </c>
      <c r="C686" s="706" t="s">
        <v>794</v>
      </c>
      <c r="D686" s="706" t="s">
        <v>750</v>
      </c>
      <c r="E686" s="706" t="s">
        <v>360</v>
      </c>
      <c r="F686" s="706">
        <v>2</v>
      </c>
      <c r="G686" s="706"/>
      <c r="H686" s="720"/>
      <c r="I686" s="720">
        <v>46185</v>
      </c>
      <c r="J686" s="706" t="s">
        <v>355</v>
      </c>
      <c r="K686" t="str">
        <f t="shared" si="34"/>
        <v>Switch</v>
      </c>
      <c r="M686" s="419">
        <f t="shared" si="33"/>
        <v>0</v>
      </c>
      <c r="N686" s="419">
        <f t="shared" si="35"/>
        <v>0</v>
      </c>
      <c r="O686" s="419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1">
        <f>All_Detail_v2[[#This Row],[Scheduled Date]]</f>
        <v>46185</v>
      </c>
      <c r="S686" s="421">
        <f>All_Detail_v2[[#This Row],[Install Date]]</f>
        <v>0</v>
      </c>
    </row>
    <row r="687" spans="1:19">
      <c r="A687">
        <v>683</v>
      </c>
      <c r="B687" s="704" t="s">
        <v>763</v>
      </c>
      <c r="C687" s="706" t="s">
        <v>795</v>
      </c>
      <c r="D687" s="706" t="s">
        <v>796</v>
      </c>
      <c r="E687" s="706" t="s">
        <v>360</v>
      </c>
      <c r="F687" s="706">
        <v>2</v>
      </c>
      <c r="G687" s="706"/>
      <c r="H687" s="720"/>
      <c r="I687" s="720">
        <v>46185</v>
      </c>
      <c r="J687" s="706" t="s">
        <v>355</v>
      </c>
      <c r="K687" t="str">
        <f t="shared" si="34"/>
        <v>Switch</v>
      </c>
      <c r="M687" s="419">
        <f t="shared" si="33"/>
        <v>0</v>
      </c>
      <c r="N687" s="419">
        <f t="shared" si="35"/>
        <v>0</v>
      </c>
      <c r="O687" s="419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1">
        <f>All_Detail_v2[[#This Row],[Scheduled Date]]</f>
        <v>46185</v>
      </c>
      <c r="S687" s="421">
        <f>All_Detail_v2[[#This Row],[Install Date]]</f>
        <v>0</v>
      </c>
    </row>
    <row r="688" spans="1:19">
      <c r="A688">
        <v>684</v>
      </c>
      <c r="B688" s="704" t="s">
        <v>763</v>
      </c>
      <c r="C688" s="706" t="s">
        <v>797</v>
      </c>
      <c r="D688" s="706" t="s">
        <v>798</v>
      </c>
      <c r="E688" s="706" t="s">
        <v>360</v>
      </c>
      <c r="F688" s="706">
        <v>2</v>
      </c>
      <c r="G688" s="706"/>
      <c r="H688" s="720"/>
      <c r="I688" s="720">
        <v>46185</v>
      </c>
      <c r="J688" s="706" t="s">
        <v>355</v>
      </c>
      <c r="K688" t="str">
        <f t="shared" si="34"/>
        <v>Switch</v>
      </c>
      <c r="M688" s="419">
        <f t="shared" si="33"/>
        <v>0</v>
      </c>
      <c r="N688" s="419">
        <f t="shared" si="35"/>
        <v>0</v>
      </c>
      <c r="O688" s="419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1">
        <f>All_Detail_v2[[#This Row],[Scheduled Date]]</f>
        <v>46185</v>
      </c>
      <c r="S688" s="421">
        <f>All_Detail_v2[[#This Row],[Install Date]]</f>
        <v>0</v>
      </c>
    </row>
    <row r="689" spans="1:19">
      <c r="A689">
        <v>685</v>
      </c>
      <c r="B689" s="704" t="s">
        <v>763</v>
      </c>
      <c r="C689" s="706" t="s">
        <v>799</v>
      </c>
      <c r="D689" s="706" t="s">
        <v>800</v>
      </c>
      <c r="E689" s="706" t="s">
        <v>360</v>
      </c>
      <c r="F689" s="706">
        <v>2</v>
      </c>
      <c r="G689" s="706"/>
      <c r="H689" s="720"/>
      <c r="I689" s="720">
        <v>46185</v>
      </c>
      <c r="J689" s="706" t="s">
        <v>355</v>
      </c>
      <c r="K689" t="str">
        <f t="shared" si="34"/>
        <v>Switch</v>
      </c>
      <c r="M689" s="419">
        <f t="shared" si="33"/>
        <v>0</v>
      </c>
      <c r="N689" s="419">
        <f t="shared" si="35"/>
        <v>0</v>
      </c>
      <c r="O689" s="419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1">
        <f>All_Detail_v2[[#This Row],[Scheduled Date]]</f>
        <v>46185</v>
      </c>
      <c r="S689" s="421">
        <f>All_Detail_v2[[#This Row],[Install Date]]</f>
        <v>0</v>
      </c>
    </row>
    <row r="690" spans="1:19">
      <c r="A690">
        <v>686</v>
      </c>
      <c r="B690" s="704" t="s">
        <v>763</v>
      </c>
      <c r="C690" s="706" t="s">
        <v>801</v>
      </c>
      <c r="D690" s="706" t="s">
        <v>802</v>
      </c>
      <c r="E690" s="706" t="s">
        <v>360</v>
      </c>
      <c r="F690" s="706">
        <v>2</v>
      </c>
      <c r="G690" s="706"/>
      <c r="H690" s="720"/>
      <c r="I690" s="720">
        <v>46185</v>
      </c>
      <c r="J690" s="706" t="s">
        <v>355</v>
      </c>
      <c r="K690" t="str">
        <f t="shared" si="34"/>
        <v>Switch</v>
      </c>
      <c r="M690" s="419">
        <f t="shared" si="33"/>
        <v>0</v>
      </c>
      <c r="N690" s="419">
        <f t="shared" si="35"/>
        <v>0</v>
      </c>
      <c r="O690" s="419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1">
        <f>All_Detail_v2[[#This Row],[Scheduled Date]]</f>
        <v>46185</v>
      </c>
      <c r="S690" s="421">
        <f>All_Detail_v2[[#This Row],[Install Date]]</f>
        <v>0</v>
      </c>
    </row>
    <row r="691" spans="1:19">
      <c r="A691">
        <v>687</v>
      </c>
      <c r="B691" s="704" t="s">
        <v>763</v>
      </c>
      <c r="C691" s="706" t="s">
        <v>803</v>
      </c>
      <c r="D691" s="706" t="s">
        <v>804</v>
      </c>
      <c r="E691" s="706" t="s">
        <v>360</v>
      </c>
      <c r="F691" s="706">
        <v>1</v>
      </c>
      <c r="G691" s="706"/>
      <c r="H691" s="720"/>
      <c r="I691" s="720">
        <v>46188</v>
      </c>
      <c r="J691" s="706" t="s">
        <v>355</v>
      </c>
      <c r="K691" t="str">
        <f t="shared" si="34"/>
        <v>Switch</v>
      </c>
      <c r="M691" s="419">
        <f t="shared" si="33"/>
        <v>0</v>
      </c>
      <c r="N691" s="419">
        <f t="shared" si="35"/>
        <v>0</v>
      </c>
      <c r="O691" s="419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1">
        <f>All_Detail_v2[[#This Row],[Scheduled Date]]</f>
        <v>46188</v>
      </c>
      <c r="S691" s="421">
        <f>All_Detail_v2[[#This Row],[Install Date]]</f>
        <v>0</v>
      </c>
    </row>
    <row r="692" spans="1:19">
      <c r="A692">
        <v>688</v>
      </c>
      <c r="B692" s="704" t="s">
        <v>805</v>
      </c>
      <c r="C692" s="706" t="s">
        <v>806</v>
      </c>
      <c r="D692" s="706" t="s">
        <v>40</v>
      </c>
      <c r="E692" s="706" t="s">
        <v>354</v>
      </c>
      <c r="F692" s="706">
        <v>18</v>
      </c>
      <c r="G692" s="706"/>
      <c r="H692" s="720"/>
      <c r="I692" s="720">
        <v>46189</v>
      </c>
      <c r="J692" s="706" t="s">
        <v>355</v>
      </c>
      <c r="K692" t="str">
        <f t="shared" si="34"/>
        <v>AP</v>
      </c>
      <c r="M692" s="419">
        <f t="shared" si="33"/>
        <v>0</v>
      </c>
      <c r="N692" s="419">
        <f t="shared" si="35"/>
        <v>0</v>
      </c>
      <c r="O692" s="419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1">
        <f>All_Detail_v2[[#This Row],[Scheduled Date]]</f>
        <v>46189</v>
      </c>
      <c r="S692" s="421">
        <f>All_Detail_v2[[#This Row],[Install Date]]</f>
        <v>0</v>
      </c>
    </row>
    <row r="693" spans="1:19">
      <c r="A693">
        <v>689</v>
      </c>
      <c r="B693" s="704" t="s">
        <v>805</v>
      </c>
      <c r="C693" s="706" t="s">
        <v>806</v>
      </c>
      <c r="D693" s="706" t="s">
        <v>807</v>
      </c>
      <c r="E693" s="706" t="s">
        <v>408</v>
      </c>
      <c r="F693" s="706">
        <v>2</v>
      </c>
      <c r="G693" s="706"/>
      <c r="H693" s="720"/>
      <c r="I693" s="720">
        <v>46190</v>
      </c>
      <c r="J693" s="706" t="s">
        <v>355</v>
      </c>
      <c r="K693" t="str">
        <f t="shared" si="34"/>
        <v>Switch</v>
      </c>
      <c r="M693" s="419">
        <f t="shared" si="33"/>
        <v>0</v>
      </c>
      <c r="N693" s="419">
        <f t="shared" si="35"/>
        <v>0</v>
      </c>
      <c r="O693" s="419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1">
        <f>All_Detail_v2[[#This Row],[Scheduled Date]]</f>
        <v>46190</v>
      </c>
      <c r="S693" s="421">
        <f>All_Detail_v2[[#This Row],[Install Date]]</f>
        <v>0</v>
      </c>
    </row>
    <row r="694" spans="1:19">
      <c r="A694">
        <v>690</v>
      </c>
      <c r="B694" s="704" t="s">
        <v>805</v>
      </c>
      <c r="C694" s="706" t="s">
        <v>806</v>
      </c>
      <c r="D694" s="706" t="s">
        <v>807</v>
      </c>
      <c r="E694" s="706" t="s">
        <v>411</v>
      </c>
      <c r="F694" s="706">
        <v>2</v>
      </c>
      <c r="G694" s="706">
        <v>2</v>
      </c>
      <c r="H694" s="720">
        <v>46063</v>
      </c>
      <c r="I694" s="720">
        <v>46063</v>
      </c>
      <c r="J694" s="706" t="s">
        <v>358</v>
      </c>
      <c r="K694" t="str">
        <f t="shared" si="34"/>
        <v>Infra</v>
      </c>
      <c r="M694" s="419">
        <f t="shared" si="33"/>
        <v>2</v>
      </c>
      <c r="N694" s="419">
        <f t="shared" si="35"/>
        <v>2</v>
      </c>
      <c r="O694" s="419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1">
        <f>All_Detail_v2[[#This Row],[Scheduled Date]]</f>
        <v>46063</v>
      </c>
      <c r="S694" s="421">
        <f>All_Detail_v2[[#This Row],[Install Date]]</f>
        <v>46063</v>
      </c>
    </row>
    <row r="695" spans="1:19">
      <c r="A695">
        <v>691</v>
      </c>
      <c r="B695" s="704" t="s">
        <v>805</v>
      </c>
      <c r="C695" s="706" t="s">
        <v>806</v>
      </c>
      <c r="D695" s="706" t="s">
        <v>808</v>
      </c>
      <c r="E695" s="706" t="s">
        <v>360</v>
      </c>
      <c r="F695" s="706">
        <v>2</v>
      </c>
      <c r="G695" s="706"/>
      <c r="H695" s="720"/>
      <c r="I695" s="720">
        <v>46190</v>
      </c>
      <c r="J695" s="706" t="s">
        <v>355</v>
      </c>
      <c r="K695" t="str">
        <f t="shared" si="34"/>
        <v>Switch</v>
      </c>
      <c r="M695" s="419">
        <f t="shared" si="33"/>
        <v>0</v>
      </c>
      <c r="N695" s="419">
        <f t="shared" si="35"/>
        <v>0</v>
      </c>
      <c r="O695" s="419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1">
        <f>All_Detail_v2[[#This Row],[Scheduled Date]]</f>
        <v>46190</v>
      </c>
      <c r="S695" s="421">
        <f>All_Detail_v2[[#This Row],[Install Date]]</f>
        <v>0</v>
      </c>
    </row>
    <row r="696" spans="1:19">
      <c r="A696">
        <v>692</v>
      </c>
      <c r="B696" s="704" t="s">
        <v>805</v>
      </c>
      <c r="C696" s="706" t="s">
        <v>806</v>
      </c>
      <c r="D696" s="706" t="s">
        <v>809</v>
      </c>
      <c r="E696" s="706" t="s">
        <v>360</v>
      </c>
      <c r="F696" s="706">
        <v>1</v>
      </c>
      <c r="G696" s="706"/>
      <c r="H696" s="720"/>
      <c r="I696" s="720">
        <v>46191</v>
      </c>
      <c r="J696" s="706" t="s">
        <v>355</v>
      </c>
      <c r="K696" t="str">
        <f t="shared" si="34"/>
        <v>Switch</v>
      </c>
      <c r="M696" s="419">
        <f t="shared" si="33"/>
        <v>0</v>
      </c>
      <c r="N696" s="419">
        <f t="shared" si="35"/>
        <v>0</v>
      </c>
      <c r="O696" s="419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1">
        <f>All_Detail_v2[[#This Row],[Scheduled Date]]</f>
        <v>46191</v>
      </c>
      <c r="S696" s="421">
        <f>All_Detail_v2[[#This Row],[Install Date]]</f>
        <v>0</v>
      </c>
    </row>
    <row r="697" spans="1:19">
      <c r="A697">
        <v>693</v>
      </c>
      <c r="B697" s="704" t="s">
        <v>805</v>
      </c>
      <c r="C697" s="706" t="s">
        <v>806</v>
      </c>
      <c r="D697" s="706" t="s">
        <v>809</v>
      </c>
      <c r="E697" s="706" t="s">
        <v>357</v>
      </c>
      <c r="F697" s="706">
        <v>1</v>
      </c>
      <c r="G697" s="706"/>
      <c r="H697" s="720"/>
      <c r="I697" s="720">
        <v>46191</v>
      </c>
      <c r="J697" s="706" t="s">
        <v>355</v>
      </c>
      <c r="K697" t="str">
        <f t="shared" si="34"/>
        <v>Switch</v>
      </c>
      <c r="M697" s="419">
        <f t="shared" si="33"/>
        <v>0</v>
      </c>
      <c r="N697" s="419">
        <f t="shared" si="35"/>
        <v>0</v>
      </c>
      <c r="O697" s="419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1">
        <f>All_Detail_v2[[#This Row],[Scheduled Date]]</f>
        <v>46191</v>
      </c>
      <c r="S697" s="421">
        <f>All_Detail_v2[[#This Row],[Install Date]]</f>
        <v>0</v>
      </c>
    </row>
    <row r="698" spans="1:19">
      <c r="A698">
        <v>694</v>
      </c>
      <c r="B698" s="704" t="s">
        <v>805</v>
      </c>
      <c r="C698" s="706" t="s">
        <v>806</v>
      </c>
      <c r="D698" s="706" t="s">
        <v>810</v>
      </c>
      <c r="E698" s="706" t="s">
        <v>357</v>
      </c>
      <c r="F698" s="706">
        <v>2</v>
      </c>
      <c r="G698" s="706"/>
      <c r="H698" s="720"/>
      <c r="I698" s="720">
        <v>46191</v>
      </c>
      <c r="J698" s="706" t="s">
        <v>355</v>
      </c>
      <c r="K698" t="str">
        <f t="shared" si="34"/>
        <v>Switch</v>
      </c>
      <c r="M698" s="419">
        <f t="shared" si="33"/>
        <v>0</v>
      </c>
      <c r="N698" s="419">
        <f t="shared" si="35"/>
        <v>0</v>
      </c>
      <c r="O698" s="419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1">
        <f>All_Detail_v2[[#This Row],[Scheduled Date]]</f>
        <v>46191</v>
      </c>
      <c r="S698" s="421">
        <f>All_Detail_v2[[#This Row],[Install Date]]</f>
        <v>0</v>
      </c>
    </row>
    <row r="699" spans="1:19">
      <c r="A699">
        <v>695</v>
      </c>
      <c r="B699" s="704" t="s">
        <v>805</v>
      </c>
      <c r="C699" s="706" t="s">
        <v>806</v>
      </c>
      <c r="D699" s="706" t="s">
        <v>811</v>
      </c>
      <c r="E699" s="706" t="s">
        <v>402</v>
      </c>
      <c r="F699" s="706">
        <v>2</v>
      </c>
      <c r="G699" s="706"/>
      <c r="H699" s="720"/>
      <c r="I699" s="720">
        <v>46191</v>
      </c>
      <c r="J699" s="706" t="s">
        <v>355</v>
      </c>
      <c r="K699" t="str">
        <f t="shared" si="34"/>
        <v>Switch</v>
      </c>
      <c r="M699" s="419">
        <f t="shared" si="33"/>
        <v>0</v>
      </c>
      <c r="N699" s="419">
        <f t="shared" si="35"/>
        <v>0</v>
      </c>
      <c r="O699" s="419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1">
        <f>All_Detail_v2[[#This Row],[Scheduled Date]]</f>
        <v>46191</v>
      </c>
      <c r="S699" s="421">
        <f>All_Detail_v2[[#This Row],[Install Date]]</f>
        <v>0</v>
      </c>
    </row>
    <row r="700" spans="1:19">
      <c r="A700">
        <v>696</v>
      </c>
      <c r="B700" s="704" t="s">
        <v>805</v>
      </c>
      <c r="C700" s="706" t="s">
        <v>806</v>
      </c>
      <c r="D700" s="706" t="s">
        <v>812</v>
      </c>
      <c r="E700" s="706" t="s">
        <v>364</v>
      </c>
      <c r="F700" s="706">
        <v>2</v>
      </c>
      <c r="G700" s="706"/>
      <c r="H700" s="720"/>
      <c r="I700" s="720">
        <v>46191</v>
      </c>
      <c r="J700" s="706" t="s">
        <v>355</v>
      </c>
      <c r="K700" t="str">
        <f t="shared" si="34"/>
        <v>Switch</v>
      </c>
      <c r="M700" s="419">
        <f t="shared" si="33"/>
        <v>0</v>
      </c>
      <c r="N700" s="419">
        <f t="shared" si="35"/>
        <v>0</v>
      </c>
      <c r="O700" s="419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1">
        <f>All_Detail_v2[[#This Row],[Scheduled Date]]</f>
        <v>46191</v>
      </c>
      <c r="S700" s="421">
        <f>All_Detail_v2[[#This Row],[Install Date]]</f>
        <v>0</v>
      </c>
    </row>
    <row r="701" spans="1:19">
      <c r="A701">
        <v>697</v>
      </c>
      <c r="B701" s="704" t="s">
        <v>805</v>
      </c>
      <c r="C701" s="706" t="s">
        <v>806</v>
      </c>
      <c r="D701" s="706" t="s">
        <v>812</v>
      </c>
      <c r="E701" s="706" t="s">
        <v>357</v>
      </c>
      <c r="F701" s="706">
        <v>2</v>
      </c>
      <c r="G701" s="706"/>
      <c r="H701" s="720"/>
      <c r="I701" s="720">
        <v>46191</v>
      </c>
      <c r="J701" s="706" t="s">
        <v>355</v>
      </c>
      <c r="K701" t="str">
        <f t="shared" si="34"/>
        <v>Switch</v>
      </c>
      <c r="M701" s="419">
        <f t="shared" si="33"/>
        <v>0</v>
      </c>
      <c r="N701" s="419">
        <f t="shared" si="35"/>
        <v>0</v>
      </c>
      <c r="O701" s="419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1">
        <f>All_Detail_v2[[#This Row],[Scheduled Date]]</f>
        <v>46191</v>
      </c>
      <c r="S701" s="421">
        <f>All_Detail_v2[[#This Row],[Install Date]]</f>
        <v>0</v>
      </c>
    </row>
    <row r="702" spans="1:19">
      <c r="A702">
        <v>698</v>
      </c>
      <c r="B702" s="704" t="s">
        <v>805</v>
      </c>
      <c r="C702" s="706" t="s">
        <v>806</v>
      </c>
      <c r="D702" s="706" t="s">
        <v>813</v>
      </c>
      <c r="E702" s="706" t="s">
        <v>360</v>
      </c>
      <c r="F702" s="706">
        <v>3</v>
      </c>
      <c r="G702" s="706"/>
      <c r="H702" s="720"/>
      <c r="I702" s="720">
        <v>46191</v>
      </c>
      <c r="J702" s="706" t="s">
        <v>355</v>
      </c>
      <c r="K702" t="str">
        <f t="shared" si="34"/>
        <v>Switch</v>
      </c>
      <c r="M702" s="419">
        <f t="shared" si="33"/>
        <v>0</v>
      </c>
      <c r="N702" s="419">
        <f t="shared" si="35"/>
        <v>0</v>
      </c>
      <c r="O702" s="419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1">
        <f>All_Detail_v2[[#This Row],[Scheduled Date]]</f>
        <v>46191</v>
      </c>
      <c r="S702" s="421">
        <f>All_Detail_v2[[#This Row],[Install Date]]</f>
        <v>0</v>
      </c>
    </row>
    <row r="703" spans="1:19">
      <c r="A703">
        <v>699</v>
      </c>
      <c r="B703" s="704" t="s">
        <v>805</v>
      </c>
      <c r="C703" s="706" t="s">
        <v>806</v>
      </c>
      <c r="D703" s="706" t="s">
        <v>814</v>
      </c>
      <c r="E703" s="706" t="s">
        <v>360</v>
      </c>
      <c r="F703" s="706">
        <v>11</v>
      </c>
      <c r="G703" s="706"/>
      <c r="H703" s="720"/>
      <c r="I703" s="720">
        <v>46192</v>
      </c>
      <c r="J703" s="706" t="s">
        <v>355</v>
      </c>
      <c r="K703" t="str">
        <f t="shared" si="34"/>
        <v>Switch</v>
      </c>
      <c r="M703" s="419">
        <f t="shared" si="33"/>
        <v>0</v>
      </c>
      <c r="N703" s="419">
        <f t="shared" si="35"/>
        <v>0</v>
      </c>
      <c r="O703" s="419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1">
        <f>All_Detail_v2[[#This Row],[Scheduled Date]]</f>
        <v>46192</v>
      </c>
      <c r="S703" s="421">
        <f>All_Detail_v2[[#This Row],[Install Date]]</f>
        <v>0</v>
      </c>
    </row>
    <row r="704" spans="1:19">
      <c r="A704">
        <v>700</v>
      </c>
      <c r="B704" s="704" t="s">
        <v>805</v>
      </c>
      <c r="C704" s="706" t="s">
        <v>806</v>
      </c>
      <c r="D704" s="706" t="s">
        <v>814</v>
      </c>
      <c r="E704" s="706" t="s">
        <v>365</v>
      </c>
      <c r="F704" s="706">
        <v>1</v>
      </c>
      <c r="G704" s="706"/>
      <c r="H704" s="720"/>
      <c r="I704" s="720">
        <v>46192</v>
      </c>
      <c r="J704" s="706" t="s">
        <v>355</v>
      </c>
      <c r="K704" t="str">
        <f t="shared" si="34"/>
        <v>Switch</v>
      </c>
      <c r="M704" s="419">
        <f t="shared" si="33"/>
        <v>0</v>
      </c>
      <c r="N704" s="419">
        <f t="shared" si="35"/>
        <v>0</v>
      </c>
      <c r="O704" s="419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1">
        <f>All_Detail_v2[[#This Row],[Scheduled Date]]</f>
        <v>46192</v>
      </c>
      <c r="S704" s="421">
        <f>All_Detail_v2[[#This Row],[Install Date]]</f>
        <v>0</v>
      </c>
    </row>
    <row r="705" spans="1:19">
      <c r="A705">
        <v>701</v>
      </c>
      <c r="B705" s="704" t="s">
        <v>805</v>
      </c>
      <c r="C705" s="706" t="s">
        <v>806</v>
      </c>
      <c r="D705" s="705" t="s">
        <v>815</v>
      </c>
      <c r="E705" s="706" t="s">
        <v>365</v>
      </c>
      <c r="F705" s="706">
        <v>1</v>
      </c>
      <c r="G705" s="706"/>
      <c r="H705" s="720"/>
      <c r="I705" s="720">
        <v>46195</v>
      </c>
      <c r="J705" s="706" t="s">
        <v>355</v>
      </c>
      <c r="K705" t="str">
        <f t="shared" si="34"/>
        <v>Switch</v>
      </c>
      <c r="M705" s="419">
        <f t="shared" si="33"/>
        <v>0</v>
      </c>
      <c r="N705" s="419">
        <f t="shared" si="35"/>
        <v>0</v>
      </c>
      <c r="O705" s="419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1">
        <f>All_Detail_v2[[#This Row],[Scheduled Date]]</f>
        <v>46195</v>
      </c>
      <c r="S705" s="421">
        <f>All_Detail_v2[[#This Row],[Install Date]]</f>
        <v>0</v>
      </c>
    </row>
    <row r="706" spans="1:19">
      <c r="A706">
        <v>702</v>
      </c>
      <c r="B706" s="704" t="s">
        <v>805</v>
      </c>
      <c r="C706" s="706" t="s">
        <v>816</v>
      </c>
      <c r="D706" s="706" t="s">
        <v>40</v>
      </c>
      <c r="E706" s="706" t="s">
        <v>354</v>
      </c>
      <c r="F706" s="706">
        <v>8</v>
      </c>
      <c r="G706" s="706"/>
      <c r="H706" s="720"/>
      <c r="I706" s="720">
        <v>46189</v>
      </c>
      <c r="J706" s="706" t="s">
        <v>355</v>
      </c>
      <c r="K706" t="str">
        <f t="shared" si="34"/>
        <v>AP</v>
      </c>
      <c r="M706" s="419">
        <f t="shared" ref="M706:M739" si="36">O706</f>
        <v>0</v>
      </c>
      <c r="N706" s="419">
        <f t="shared" si="35"/>
        <v>0</v>
      </c>
      <c r="O706" s="419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1">
        <f>All_Detail_v2[[#This Row],[Scheduled Date]]</f>
        <v>46189</v>
      </c>
      <c r="S706" s="421">
        <f>All_Detail_v2[[#This Row],[Install Date]]</f>
        <v>0</v>
      </c>
    </row>
    <row r="707" spans="1:19">
      <c r="A707">
        <v>703</v>
      </c>
      <c r="B707" s="704" t="s">
        <v>805</v>
      </c>
      <c r="C707" s="706" t="s">
        <v>816</v>
      </c>
      <c r="D707" s="706" t="s">
        <v>817</v>
      </c>
      <c r="E707" s="706" t="s">
        <v>360</v>
      </c>
      <c r="F707" s="706">
        <v>2</v>
      </c>
      <c r="G707" s="706"/>
      <c r="H707" s="720"/>
      <c r="I707" s="720">
        <v>46189</v>
      </c>
      <c r="J707" s="706" t="s">
        <v>355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9">
        <f t="shared" si="36"/>
        <v>0</v>
      </c>
      <c r="N707" s="419">
        <f t="shared" si="35"/>
        <v>0</v>
      </c>
      <c r="O707" s="419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1">
        <f>All_Detail_v2[[#This Row],[Scheduled Date]]</f>
        <v>46189</v>
      </c>
      <c r="S707" s="421">
        <f>All_Detail_v2[[#This Row],[Install Date]]</f>
        <v>0</v>
      </c>
    </row>
    <row r="708" spans="1:19">
      <c r="A708">
        <v>704</v>
      </c>
      <c r="B708" s="704" t="s">
        <v>805</v>
      </c>
      <c r="C708" s="706" t="s">
        <v>816</v>
      </c>
      <c r="D708" s="705" t="s">
        <v>818</v>
      </c>
      <c r="E708" s="706" t="s">
        <v>365</v>
      </c>
      <c r="F708" s="706">
        <v>1</v>
      </c>
      <c r="G708" s="706"/>
      <c r="H708" s="720"/>
      <c r="I708" s="720">
        <v>46189</v>
      </c>
      <c r="J708" s="706" t="s">
        <v>355</v>
      </c>
      <c r="K708" t="str">
        <f t="shared" si="37"/>
        <v>Switch</v>
      </c>
      <c r="M708" s="419">
        <f t="shared" si="36"/>
        <v>0</v>
      </c>
      <c r="N708" s="419">
        <f t="shared" si="35"/>
        <v>0</v>
      </c>
      <c r="O708" s="419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1">
        <f>All_Detail_v2[[#This Row],[Scheduled Date]]</f>
        <v>46189</v>
      </c>
      <c r="S708" s="421">
        <f>All_Detail_v2[[#This Row],[Install Date]]</f>
        <v>0</v>
      </c>
    </row>
    <row r="709" spans="1:19">
      <c r="A709">
        <v>705</v>
      </c>
      <c r="B709" s="704" t="s">
        <v>805</v>
      </c>
      <c r="C709" s="706" t="s">
        <v>816</v>
      </c>
      <c r="D709" s="705" t="s">
        <v>819</v>
      </c>
      <c r="E709" s="706" t="s">
        <v>365</v>
      </c>
      <c r="F709" s="706">
        <v>2</v>
      </c>
      <c r="G709" s="706"/>
      <c r="H709" s="720"/>
      <c r="I709" s="720">
        <v>46189</v>
      </c>
      <c r="J709" s="706" t="s">
        <v>355</v>
      </c>
      <c r="K709" t="str">
        <f t="shared" si="37"/>
        <v>Switch</v>
      </c>
      <c r="M709" s="419">
        <f t="shared" si="36"/>
        <v>0</v>
      </c>
      <c r="N709" s="419">
        <f t="shared" si="35"/>
        <v>0</v>
      </c>
      <c r="O709" s="419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1">
        <f>All_Detail_v2[[#This Row],[Scheduled Date]]</f>
        <v>46189</v>
      </c>
      <c r="S709" s="421">
        <f>All_Detail_v2[[#This Row],[Install Date]]</f>
        <v>0</v>
      </c>
    </row>
    <row r="710" spans="1:19">
      <c r="A710">
        <v>706</v>
      </c>
      <c r="B710" s="704" t="s">
        <v>805</v>
      </c>
      <c r="C710" s="706" t="s">
        <v>816</v>
      </c>
      <c r="D710" s="705" t="s">
        <v>820</v>
      </c>
      <c r="E710" s="706" t="s">
        <v>360</v>
      </c>
      <c r="F710" s="706">
        <v>3</v>
      </c>
      <c r="G710" s="706"/>
      <c r="H710" s="720"/>
      <c r="I710" s="720">
        <v>46190</v>
      </c>
      <c r="J710" s="706" t="s">
        <v>355</v>
      </c>
      <c r="K710" t="str">
        <f t="shared" si="37"/>
        <v>Switch</v>
      </c>
      <c r="M710" s="419">
        <f t="shared" si="36"/>
        <v>0</v>
      </c>
      <c r="N710" s="419">
        <f t="shared" ref="N710:N739" si="38">O710</f>
        <v>0</v>
      </c>
      <c r="O710" s="419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1">
        <f>All_Detail_v2[[#This Row],[Scheduled Date]]</f>
        <v>46190</v>
      </c>
      <c r="S710" s="421">
        <f>All_Detail_v2[[#This Row],[Install Date]]</f>
        <v>0</v>
      </c>
    </row>
    <row r="711" spans="1:19">
      <c r="A711">
        <v>707</v>
      </c>
      <c r="B711" s="704" t="s">
        <v>805</v>
      </c>
      <c r="C711" s="706" t="s">
        <v>821</v>
      </c>
      <c r="D711" s="706" t="s">
        <v>40</v>
      </c>
      <c r="E711" s="706" t="s">
        <v>354</v>
      </c>
      <c r="F711" s="706">
        <v>6</v>
      </c>
      <c r="G711" s="706"/>
      <c r="H711" s="720"/>
      <c r="I711" s="720">
        <v>46190</v>
      </c>
      <c r="J711" s="706" t="s">
        <v>355</v>
      </c>
      <c r="K711" t="str">
        <f t="shared" si="37"/>
        <v>AP</v>
      </c>
      <c r="M711" s="419">
        <f t="shared" si="36"/>
        <v>0</v>
      </c>
      <c r="N711" s="419">
        <f t="shared" si="38"/>
        <v>0</v>
      </c>
      <c r="O711" s="419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1">
        <f>All_Detail_v2[[#This Row],[Scheduled Date]]</f>
        <v>46190</v>
      </c>
      <c r="S711" s="421">
        <f>All_Detail_v2[[#This Row],[Install Date]]</f>
        <v>0</v>
      </c>
    </row>
    <row r="712" spans="1:19">
      <c r="A712">
        <v>708</v>
      </c>
      <c r="B712" s="704" t="s">
        <v>805</v>
      </c>
      <c r="C712" s="706" t="s">
        <v>821</v>
      </c>
      <c r="D712" s="705" t="s">
        <v>822</v>
      </c>
      <c r="E712" s="706" t="s">
        <v>360</v>
      </c>
      <c r="F712" s="706">
        <v>1</v>
      </c>
      <c r="G712" s="706"/>
      <c r="H712" s="720"/>
      <c r="I712" s="720">
        <v>46190</v>
      </c>
      <c r="J712" s="706" t="s">
        <v>355</v>
      </c>
      <c r="K712" t="str">
        <f t="shared" si="37"/>
        <v>Switch</v>
      </c>
      <c r="M712" s="419">
        <f t="shared" si="36"/>
        <v>0</v>
      </c>
      <c r="N712" s="419">
        <f t="shared" si="38"/>
        <v>0</v>
      </c>
      <c r="O712" s="419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1">
        <f>All_Detail_v2[[#This Row],[Scheduled Date]]</f>
        <v>46190</v>
      </c>
      <c r="S712" s="421">
        <f>All_Detail_v2[[#This Row],[Install Date]]</f>
        <v>0</v>
      </c>
    </row>
    <row r="713" spans="1:19">
      <c r="A713">
        <v>709</v>
      </c>
      <c r="B713" s="704" t="s">
        <v>805</v>
      </c>
      <c r="C713" s="706" t="s">
        <v>821</v>
      </c>
      <c r="D713" s="705" t="s">
        <v>823</v>
      </c>
      <c r="E713" s="706" t="s">
        <v>365</v>
      </c>
      <c r="F713" s="706">
        <v>1</v>
      </c>
      <c r="G713" s="706"/>
      <c r="H713" s="720"/>
      <c r="I713" s="720">
        <v>46190</v>
      </c>
      <c r="J713" s="706" t="s">
        <v>355</v>
      </c>
      <c r="K713" t="str">
        <f t="shared" si="37"/>
        <v>Switch</v>
      </c>
      <c r="M713" s="419">
        <f t="shared" si="36"/>
        <v>0</v>
      </c>
      <c r="N713" s="419">
        <f t="shared" si="38"/>
        <v>0</v>
      </c>
      <c r="O713" s="419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1">
        <f>All_Detail_v2[[#This Row],[Scheduled Date]]</f>
        <v>46190</v>
      </c>
      <c r="S713" s="421">
        <f>All_Detail_v2[[#This Row],[Install Date]]</f>
        <v>0</v>
      </c>
    </row>
    <row r="714" spans="1:19">
      <c r="A714">
        <v>710</v>
      </c>
      <c r="B714" s="704" t="s">
        <v>805</v>
      </c>
      <c r="C714" s="706" t="s">
        <v>821</v>
      </c>
      <c r="D714" s="705" t="s">
        <v>824</v>
      </c>
      <c r="E714" s="706" t="s">
        <v>365</v>
      </c>
      <c r="F714" s="706">
        <v>1</v>
      </c>
      <c r="G714" s="706"/>
      <c r="H714" s="720"/>
      <c r="I714" s="720">
        <v>46191</v>
      </c>
      <c r="J714" s="706" t="s">
        <v>355</v>
      </c>
      <c r="K714" t="str">
        <f t="shared" si="37"/>
        <v>Switch</v>
      </c>
      <c r="M714" s="419">
        <f t="shared" si="36"/>
        <v>0</v>
      </c>
      <c r="N714" s="419">
        <f t="shared" si="38"/>
        <v>0</v>
      </c>
      <c r="O714" s="419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1">
        <f>All_Detail_v2[[#This Row],[Scheduled Date]]</f>
        <v>46191</v>
      </c>
      <c r="S714" s="421">
        <f>All_Detail_v2[[#This Row],[Install Date]]</f>
        <v>0</v>
      </c>
    </row>
    <row r="715" spans="1:19">
      <c r="A715">
        <v>711</v>
      </c>
      <c r="B715" s="704" t="s">
        <v>805</v>
      </c>
      <c r="C715" s="706" t="s">
        <v>821</v>
      </c>
      <c r="D715" s="705" t="s">
        <v>825</v>
      </c>
      <c r="E715" s="706" t="s">
        <v>360</v>
      </c>
      <c r="F715" s="706">
        <v>4</v>
      </c>
      <c r="G715" s="706"/>
      <c r="H715" s="720"/>
      <c r="I715" s="720">
        <v>46191</v>
      </c>
      <c r="J715" s="706" t="s">
        <v>355</v>
      </c>
      <c r="K715" t="str">
        <f t="shared" si="37"/>
        <v>Switch</v>
      </c>
      <c r="M715" s="419">
        <f t="shared" si="36"/>
        <v>0</v>
      </c>
      <c r="N715" s="419">
        <f t="shared" si="38"/>
        <v>0</v>
      </c>
      <c r="O715" s="419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1">
        <f>All_Detail_v2[[#This Row],[Scheduled Date]]</f>
        <v>46191</v>
      </c>
      <c r="S715" s="421">
        <f>All_Detail_v2[[#This Row],[Install Date]]</f>
        <v>0</v>
      </c>
    </row>
    <row r="716" spans="1:19">
      <c r="A716">
        <v>712</v>
      </c>
      <c r="B716" s="704" t="s">
        <v>805</v>
      </c>
      <c r="C716" s="706" t="s">
        <v>821</v>
      </c>
      <c r="D716" s="705" t="s">
        <v>825</v>
      </c>
      <c r="E716" s="706" t="s">
        <v>365</v>
      </c>
      <c r="F716" s="706">
        <v>2</v>
      </c>
      <c r="G716" s="706"/>
      <c r="H716" s="720"/>
      <c r="I716" s="720">
        <v>46191</v>
      </c>
      <c r="J716" s="706" t="s">
        <v>355</v>
      </c>
      <c r="K716" t="str">
        <f t="shared" si="37"/>
        <v>Switch</v>
      </c>
      <c r="M716" s="419">
        <f t="shared" si="36"/>
        <v>0</v>
      </c>
      <c r="N716" s="419">
        <f t="shared" si="38"/>
        <v>0</v>
      </c>
      <c r="O716" s="419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1">
        <f>All_Detail_v2[[#This Row],[Scheduled Date]]</f>
        <v>46191</v>
      </c>
      <c r="S716" s="421">
        <f>All_Detail_v2[[#This Row],[Install Date]]</f>
        <v>0</v>
      </c>
    </row>
    <row r="717" spans="1:19">
      <c r="A717">
        <v>713</v>
      </c>
      <c r="B717" s="704" t="s">
        <v>805</v>
      </c>
      <c r="C717" s="706" t="s">
        <v>826</v>
      </c>
      <c r="D717" s="706" t="s">
        <v>40</v>
      </c>
      <c r="E717" s="706" t="s">
        <v>354</v>
      </c>
      <c r="F717" s="706">
        <v>5</v>
      </c>
      <c r="G717" s="706"/>
      <c r="H717" s="720"/>
      <c r="I717" s="720">
        <v>46191</v>
      </c>
      <c r="J717" s="706" t="s">
        <v>355</v>
      </c>
      <c r="K717" t="str">
        <f t="shared" si="37"/>
        <v>AP</v>
      </c>
      <c r="M717" s="419">
        <f t="shared" si="36"/>
        <v>0</v>
      </c>
      <c r="N717" s="419">
        <f t="shared" si="38"/>
        <v>0</v>
      </c>
      <c r="O717" s="419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1">
        <f>All_Detail_v2[[#This Row],[Scheduled Date]]</f>
        <v>46191</v>
      </c>
      <c r="S717" s="421">
        <f>All_Detail_v2[[#This Row],[Install Date]]</f>
        <v>0</v>
      </c>
    </row>
    <row r="718" spans="1:19">
      <c r="A718">
        <v>714</v>
      </c>
      <c r="B718" s="704" t="s">
        <v>805</v>
      </c>
      <c r="C718" s="706" t="s">
        <v>826</v>
      </c>
      <c r="D718" s="705" t="s">
        <v>827</v>
      </c>
      <c r="E718" s="706" t="s">
        <v>360</v>
      </c>
      <c r="F718" s="706">
        <v>2</v>
      </c>
      <c r="G718" s="706"/>
      <c r="H718" s="720"/>
      <c r="I718" s="720">
        <v>46192</v>
      </c>
      <c r="J718" s="706" t="s">
        <v>355</v>
      </c>
      <c r="K718" t="str">
        <f t="shared" si="37"/>
        <v>Switch</v>
      </c>
      <c r="M718" s="419">
        <f t="shared" si="36"/>
        <v>0</v>
      </c>
      <c r="N718" s="419">
        <f t="shared" si="38"/>
        <v>0</v>
      </c>
      <c r="O718" s="419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1">
        <f>All_Detail_v2[[#This Row],[Scheduled Date]]</f>
        <v>46192</v>
      </c>
      <c r="S718" s="421">
        <f>All_Detail_v2[[#This Row],[Install Date]]</f>
        <v>0</v>
      </c>
    </row>
    <row r="719" spans="1:19">
      <c r="A719">
        <v>715</v>
      </c>
      <c r="B719" s="704" t="s">
        <v>805</v>
      </c>
      <c r="C719" s="706" t="s">
        <v>828</v>
      </c>
      <c r="D719" s="706" t="s">
        <v>40</v>
      </c>
      <c r="E719" s="706" t="s">
        <v>354</v>
      </c>
      <c r="F719" s="706">
        <v>2</v>
      </c>
      <c r="G719" s="706"/>
      <c r="H719" s="720"/>
      <c r="I719" s="720">
        <v>46192</v>
      </c>
      <c r="J719" s="706" t="s">
        <v>355</v>
      </c>
      <c r="K719" t="str">
        <f t="shared" si="37"/>
        <v>AP</v>
      </c>
      <c r="M719" s="419">
        <f t="shared" si="36"/>
        <v>0</v>
      </c>
      <c r="N719" s="419">
        <f t="shared" si="38"/>
        <v>0</v>
      </c>
      <c r="O719" s="419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1">
        <f>All_Detail_v2[[#This Row],[Scheduled Date]]</f>
        <v>46192</v>
      </c>
      <c r="S719" s="421">
        <f>All_Detail_v2[[#This Row],[Install Date]]</f>
        <v>0</v>
      </c>
    </row>
    <row r="720" spans="1:19">
      <c r="A720">
        <v>716</v>
      </c>
      <c r="B720" s="704" t="s">
        <v>805</v>
      </c>
      <c r="C720" s="706" t="s">
        <v>828</v>
      </c>
      <c r="D720" s="706" t="s">
        <v>829</v>
      </c>
      <c r="E720" s="706" t="s">
        <v>365</v>
      </c>
      <c r="F720" s="706">
        <v>2</v>
      </c>
      <c r="G720" s="706"/>
      <c r="H720" s="720"/>
      <c r="I720" s="720">
        <v>46192</v>
      </c>
      <c r="J720" s="706" t="s">
        <v>355</v>
      </c>
      <c r="K720" t="str">
        <f t="shared" si="37"/>
        <v>Switch</v>
      </c>
      <c r="M720" s="419">
        <f t="shared" si="36"/>
        <v>0</v>
      </c>
      <c r="N720" s="419">
        <f t="shared" si="38"/>
        <v>0</v>
      </c>
      <c r="O720" s="419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1">
        <f>All_Detail_v2[[#This Row],[Scheduled Date]]</f>
        <v>46192</v>
      </c>
      <c r="S720" s="421">
        <f>All_Detail_v2[[#This Row],[Install Date]]</f>
        <v>0</v>
      </c>
    </row>
    <row r="721" spans="1:19">
      <c r="A721">
        <v>717</v>
      </c>
      <c r="B721" s="704" t="s">
        <v>805</v>
      </c>
      <c r="C721" s="706" t="s">
        <v>828</v>
      </c>
      <c r="D721" s="705" t="s">
        <v>830</v>
      </c>
      <c r="E721" s="706" t="s">
        <v>360</v>
      </c>
      <c r="F721" s="706">
        <v>2</v>
      </c>
      <c r="G721" s="706"/>
      <c r="H721" s="720"/>
      <c r="I721" s="720">
        <v>46192</v>
      </c>
      <c r="J721" s="706" t="s">
        <v>355</v>
      </c>
      <c r="K721" t="str">
        <f t="shared" si="37"/>
        <v>Switch</v>
      </c>
      <c r="M721" s="419">
        <f t="shared" si="36"/>
        <v>0</v>
      </c>
      <c r="N721" s="419">
        <f t="shared" si="38"/>
        <v>0</v>
      </c>
      <c r="O721" s="419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1">
        <f>All_Detail_v2[[#This Row],[Scheduled Date]]</f>
        <v>46192</v>
      </c>
      <c r="S721" s="421">
        <f>All_Detail_v2[[#This Row],[Install Date]]</f>
        <v>0</v>
      </c>
    </row>
    <row r="722" spans="1:19">
      <c r="A722">
        <v>718</v>
      </c>
      <c r="B722" s="704" t="s">
        <v>805</v>
      </c>
      <c r="C722" s="706" t="s">
        <v>831</v>
      </c>
      <c r="D722" s="706" t="s">
        <v>40</v>
      </c>
      <c r="E722" s="706" t="s">
        <v>354</v>
      </c>
      <c r="F722" s="706">
        <v>3</v>
      </c>
      <c r="G722" s="706"/>
      <c r="H722" s="720"/>
      <c r="I722" s="720">
        <v>46192</v>
      </c>
      <c r="J722" s="706" t="s">
        <v>355</v>
      </c>
      <c r="K722" t="str">
        <f t="shared" si="37"/>
        <v>AP</v>
      </c>
      <c r="M722" s="419">
        <f t="shared" si="36"/>
        <v>0</v>
      </c>
      <c r="N722" s="419">
        <f t="shared" si="38"/>
        <v>0</v>
      </c>
      <c r="O722" s="419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1">
        <f>All_Detail_v2[[#This Row],[Scheduled Date]]</f>
        <v>46192</v>
      </c>
      <c r="S722" s="421">
        <f>All_Detail_v2[[#This Row],[Install Date]]</f>
        <v>0</v>
      </c>
    </row>
    <row r="723" spans="1:19">
      <c r="A723">
        <v>719</v>
      </c>
      <c r="B723" s="704" t="s">
        <v>805</v>
      </c>
      <c r="C723" s="706" t="s">
        <v>831</v>
      </c>
      <c r="D723" s="706" t="s">
        <v>832</v>
      </c>
      <c r="E723" s="706" t="s">
        <v>360</v>
      </c>
      <c r="F723" s="706">
        <v>1</v>
      </c>
      <c r="G723" s="706"/>
      <c r="H723" s="720"/>
      <c r="I723" s="720">
        <v>46192</v>
      </c>
      <c r="J723" s="706" t="s">
        <v>355</v>
      </c>
      <c r="K723" t="str">
        <f t="shared" si="37"/>
        <v>Switch</v>
      </c>
      <c r="M723" s="419">
        <f t="shared" si="36"/>
        <v>0</v>
      </c>
      <c r="N723" s="419">
        <f t="shared" si="38"/>
        <v>0</v>
      </c>
      <c r="O723" s="419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1">
        <f>All_Detail_v2[[#This Row],[Scheduled Date]]</f>
        <v>46192</v>
      </c>
      <c r="S723" s="421">
        <f>All_Detail_v2[[#This Row],[Install Date]]</f>
        <v>0</v>
      </c>
    </row>
    <row r="724" spans="1:19">
      <c r="A724">
        <v>720</v>
      </c>
      <c r="B724" s="704" t="s">
        <v>805</v>
      </c>
      <c r="C724" s="706" t="s">
        <v>831</v>
      </c>
      <c r="D724" s="705" t="s">
        <v>833</v>
      </c>
      <c r="E724" s="706" t="s">
        <v>365</v>
      </c>
      <c r="F724" s="706">
        <v>1</v>
      </c>
      <c r="G724" s="706"/>
      <c r="H724" s="720"/>
      <c r="I724" s="720">
        <v>46195</v>
      </c>
      <c r="J724" s="706" t="s">
        <v>355</v>
      </c>
      <c r="K724" t="str">
        <f t="shared" si="37"/>
        <v>Switch</v>
      </c>
      <c r="M724" s="419">
        <f t="shared" si="36"/>
        <v>0</v>
      </c>
      <c r="N724" s="419">
        <f t="shared" si="38"/>
        <v>0</v>
      </c>
      <c r="O724" s="419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1">
        <f>All_Detail_v2[[#This Row],[Scheduled Date]]</f>
        <v>46195</v>
      </c>
      <c r="S724" s="421">
        <f>All_Detail_v2[[#This Row],[Install Date]]</f>
        <v>0</v>
      </c>
    </row>
    <row r="725" spans="1:19">
      <c r="A725">
        <v>721</v>
      </c>
      <c r="B725" s="704" t="s">
        <v>805</v>
      </c>
      <c r="C725" s="706" t="s">
        <v>834</v>
      </c>
      <c r="D725" s="706" t="s">
        <v>40</v>
      </c>
      <c r="E725" s="706" t="s">
        <v>354</v>
      </c>
      <c r="F725" s="706">
        <v>1</v>
      </c>
      <c r="G725" s="706"/>
      <c r="H725" s="720"/>
      <c r="I725" s="720">
        <v>46195</v>
      </c>
      <c r="J725" s="706" t="s">
        <v>355</v>
      </c>
      <c r="K725" t="str">
        <f t="shared" si="37"/>
        <v>AP</v>
      </c>
      <c r="M725" s="419">
        <f t="shared" si="36"/>
        <v>0</v>
      </c>
      <c r="N725" s="419">
        <f t="shared" si="38"/>
        <v>0</v>
      </c>
      <c r="O725" s="419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1">
        <f>All_Detail_v2[[#This Row],[Scheduled Date]]</f>
        <v>46195</v>
      </c>
      <c r="S725" s="421">
        <f>All_Detail_v2[[#This Row],[Install Date]]</f>
        <v>0</v>
      </c>
    </row>
    <row r="726" spans="1:19">
      <c r="A726">
        <v>722</v>
      </c>
      <c r="B726" s="704" t="s">
        <v>805</v>
      </c>
      <c r="C726" s="706" t="s">
        <v>834</v>
      </c>
      <c r="D726" s="706" t="s">
        <v>835</v>
      </c>
      <c r="E726" s="706" t="s">
        <v>360</v>
      </c>
      <c r="F726" s="706">
        <v>1</v>
      </c>
      <c r="G726" s="706"/>
      <c r="H726" s="720"/>
      <c r="I726" s="720">
        <v>46195</v>
      </c>
      <c r="J726" s="706" t="s">
        <v>355</v>
      </c>
      <c r="K726" t="str">
        <f t="shared" si="37"/>
        <v>Switch</v>
      </c>
      <c r="M726" s="419">
        <f t="shared" si="36"/>
        <v>0</v>
      </c>
      <c r="N726" s="419">
        <f t="shared" si="38"/>
        <v>0</v>
      </c>
      <c r="O726" s="419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1">
        <f>All_Detail_v2[[#This Row],[Scheduled Date]]</f>
        <v>46195</v>
      </c>
      <c r="S726" s="421">
        <f>All_Detail_v2[[#This Row],[Install Date]]</f>
        <v>0</v>
      </c>
    </row>
    <row r="727" spans="1:19">
      <c r="A727">
        <v>723</v>
      </c>
      <c r="B727" s="704" t="s">
        <v>805</v>
      </c>
      <c r="C727" s="706" t="s">
        <v>834</v>
      </c>
      <c r="D727" s="706" t="s">
        <v>835</v>
      </c>
      <c r="E727" s="706" t="s">
        <v>365</v>
      </c>
      <c r="F727" s="706">
        <v>1</v>
      </c>
      <c r="G727" s="706"/>
      <c r="H727" s="720"/>
      <c r="I727" s="720">
        <v>46195</v>
      </c>
      <c r="J727" s="706" t="s">
        <v>355</v>
      </c>
      <c r="K727" t="str">
        <f t="shared" si="37"/>
        <v>Switch</v>
      </c>
      <c r="M727" s="419">
        <f t="shared" si="36"/>
        <v>0</v>
      </c>
      <c r="N727" s="419">
        <f t="shared" si="38"/>
        <v>0</v>
      </c>
      <c r="O727" s="419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1">
        <f>All_Detail_v2[[#This Row],[Scheduled Date]]</f>
        <v>46195</v>
      </c>
      <c r="S727" s="421">
        <f>All_Detail_v2[[#This Row],[Install Date]]</f>
        <v>0</v>
      </c>
    </row>
    <row r="728" spans="1:19">
      <c r="A728">
        <v>724</v>
      </c>
      <c r="B728" s="704" t="s">
        <v>805</v>
      </c>
      <c r="C728" s="706" t="s">
        <v>834</v>
      </c>
      <c r="D728" s="706" t="s">
        <v>836</v>
      </c>
      <c r="E728" s="706" t="s">
        <v>360</v>
      </c>
      <c r="F728" s="706">
        <v>1</v>
      </c>
      <c r="G728" s="706"/>
      <c r="H728" s="720"/>
      <c r="I728" s="720">
        <v>46195</v>
      </c>
      <c r="J728" s="706" t="s">
        <v>355</v>
      </c>
      <c r="K728" t="str">
        <f t="shared" si="37"/>
        <v>Switch</v>
      </c>
      <c r="M728" s="419">
        <f t="shared" si="36"/>
        <v>0</v>
      </c>
      <c r="N728" s="419">
        <f t="shared" si="38"/>
        <v>0</v>
      </c>
      <c r="O728" s="419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1">
        <f>All_Detail_v2[[#This Row],[Scheduled Date]]</f>
        <v>46195</v>
      </c>
      <c r="S728" s="421">
        <f>All_Detail_v2[[#This Row],[Install Date]]</f>
        <v>0</v>
      </c>
    </row>
    <row r="729" spans="1:19">
      <c r="A729">
        <v>725</v>
      </c>
      <c r="B729" s="704" t="s">
        <v>805</v>
      </c>
      <c r="C729" s="705" t="s">
        <v>837</v>
      </c>
      <c r="D729" s="706" t="s">
        <v>838</v>
      </c>
      <c r="E729" s="706" t="s">
        <v>360</v>
      </c>
      <c r="F729" s="706">
        <v>1</v>
      </c>
      <c r="G729" s="706"/>
      <c r="H729" s="720"/>
      <c r="I729" s="720">
        <v>46195</v>
      </c>
      <c r="J729" s="706" t="s">
        <v>355</v>
      </c>
      <c r="K729" t="str">
        <f t="shared" si="37"/>
        <v>Switch</v>
      </c>
      <c r="M729" s="419">
        <f t="shared" si="36"/>
        <v>0</v>
      </c>
      <c r="N729" s="419">
        <f t="shared" si="38"/>
        <v>0</v>
      </c>
      <c r="O729" s="419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1">
        <f>All_Detail_v2[[#This Row],[Scheduled Date]]</f>
        <v>46195</v>
      </c>
      <c r="S729" s="421">
        <f>All_Detail_v2[[#This Row],[Install Date]]</f>
        <v>0</v>
      </c>
    </row>
    <row r="730" spans="1:19">
      <c r="A730">
        <v>726</v>
      </c>
      <c r="B730" s="704" t="s">
        <v>805</v>
      </c>
      <c r="C730" s="705" t="s">
        <v>837</v>
      </c>
      <c r="D730" s="706" t="s">
        <v>838</v>
      </c>
      <c r="E730" s="706" t="s">
        <v>400</v>
      </c>
      <c r="F730" s="706">
        <v>1</v>
      </c>
      <c r="G730" s="706"/>
      <c r="H730" s="720"/>
      <c r="I730" s="720">
        <v>46195</v>
      </c>
      <c r="J730" s="706" t="s">
        <v>355</v>
      </c>
      <c r="K730" t="str">
        <f t="shared" si="37"/>
        <v>Switch</v>
      </c>
      <c r="M730" s="419">
        <f t="shared" si="36"/>
        <v>0</v>
      </c>
      <c r="N730" s="419">
        <f t="shared" si="38"/>
        <v>0</v>
      </c>
      <c r="O730" s="419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1">
        <f>All_Detail_v2[[#This Row],[Scheduled Date]]</f>
        <v>46195</v>
      </c>
      <c r="S730" s="421">
        <f>All_Detail_v2[[#This Row],[Install Date]]</f>
        <v>0</v>
      </c>
    </row>
    <row r="731" spans="1:19">
      <c r="A731">
        <v>727</v>
      </c>
      <c r="B731" s="704" t="s">
        <v>805</v>
      </c>
      <c r="C731" s="705" t="s">
        <v>837</v>
      </c>
      <c r="D731" s="706" t="s">
        <v>839</v>
      </c>
      <c r="E731" s="706" t="s">
        <v>360</v>
      </c>
      <c r="F731" s="706">
        <v>1</v>
      </c>
      <c r="G731" s="706"/>
      <c r="H731" s="720"/>
      <c r="I731" s="720">
        <v>46195</v>
      </c>
      <c r="J731" s="706" t="s">
        <v>355</v>
      </c>
      <c r="K731" t="str">
        <f t="shared" si="37"/>
        <v>Switch</v>
      </c>
      <c r="M731" s="419">
        <f t="shared" si="36"/>
        <v>0</v>
      </c>
      <c r="N731" s="419">
        <f t="shared" si="38"/>
        <v>0</v>
      </c>
      <c r="O731" s="419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1">
        <f>All_Detail_v2[[#This Row],[Scheduled Date]]</f>
        <v>46195</v>
      </c>
      <c r="S731" s="421">
        <f>All_Detail_v2[[#This Row],[Install Date]]</f>
        <v>0</v>
      </c>
    </row>
    <row r="732" spans="1:19">
      <c r="A732">
        <v>728</v>
      </c>
      <c r="B732" s="704" t="s">
        <v>805</v>
      </c>
      <c r="C732" s="705" t="s">
        <v>837</v>
      </c>
      <c r="D732" s="705" t="s">
        <v>840</v>
      </c>
      <c r="E732" s="706" t="s">
        <v>365</v>
      </c>
      <c r="F732" s="706">
        <v>1</v>
      </c>
      <c r="G732" s="706"/>
      <c r="H732" s="720"/>
      <c r="I732" s="720">
        <v>46195</v>
      </c>
      <c r="J732" s="706" t="s">
        <v>355</v>
      </c>
      <c r="K732" t="str">
        <f t="shared" si="37"/>
        <v>Switch</v>
      </c>
      <c r="M732" s="419">
        <f t="shared" si="36"/>
        <v>0</v>
      </c>
      <c r="N732" s="419">
        <f t="shared" si="38"/>
        <v>0</v>
      </c>
      <c r="O732" s="419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1">
        <f>All_Detail_v2[[#This Row],[Scheduled Date]]</f>
        <v>46195</v>
      </c>
      <c r="S732" s="421">
        <f>All_Detail_v2[[#This Row],[Install Date]]</f>
        <v>0</v>
      </c>
    </row>
    <row r="733" spans="1:19">
      <c r="A733">
        <v>729</v>
      </c>
      <c r="B733" s="704" t="s">
        <v>805</v>
      </c>
      <c r="C733" s="706" t="s">
        <v>841</v>
      </c>
      <c r="D733" s="706" t="s">
        <v>750</v>
      </c>
      <c r="E733" s="706" t="s">
        <v>360</v>
      </c>
      <c r="F733" s="706">
        <v>2</v>
      </c>
      <c r="G733" s="706"/>
      <c r="H733" s="720"/>
      <c r="I733" s="720">
        <v>46195</v>
      </c>
      <c r="J733" s="706" t="s">
        <v>355</v>
      </c>
      <c r="K733" t="str">
        <f t="shared" si="37"/>
        <v>Switch</v>
      </c>
      <c r="M733" s="419">
        <f t="shared" si="36"/>
        <v>0</v>
      </c>
      <c r="N733" s="419">
        <f t="shared" si="38"/>
        <v>0</v>
      </c>
      <c r="O733" s="419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1">
        <f>All_Detail_v2[[#This Row],[Scheduled Date]]</f>
        <v>46195</v>
      </c>
      <c r="S733" s="421">
        <f>All_Detail_v2[[#This Row],[Install Date]]</f>
        <v>0</v>
      </c>
    </row>
    <row r="734" spans="1:19">
      <c r="A734">
        <v>730</v>
      </c>
      <c r="B734" s="704" t="s">
        <v>805</v>
      </c>
      <c r="C734" s="706" t="s">
        <v>842</v>
      </c>
      <c r="D734" s="706" t="s">
        <v>843</v>
      </c>
      <c r="E734" s="706" t="s">
        <v>360</v>
      </c>
      <c r="F734" s="706">
        <v>2</v>
      </c>
      <c r="G734" s="706"/>
      <c r="H734" s="720"/>
      <c r="I734" s="720">
        <v>46195</v>
      </c>
      <c r="J734" s="706" t="s">
        <v>355</v>
      </c>
      <c r="K734" t="str">
        <f t="shared" si="37"/>
        <v>Switch</v>
      </c>
      <c r="M734" s="419">
        <f t="shared" si="36"/>
        <v>0</v>
      </c>
      <c r="N734" s="419">
        <f t="shared" si="38"/>
        <v>0</v>
      </c>
      <c r="O734" s="419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1">
        <f>All_Detail_v2[[#This Row],[Scheduled Date]]</f>
        <v>46195</v>
      </c>
      <c r="S734" s="421">
        <f>All_Detail_v2[[#This Row],[Install Date]]</f>
        <v>0</v>
      </c>
    </row>
    <row r="735" spans="1:19">
      <c r="A735">
        <v>731</v>
      </c>
      <c r="B735" s="704" t="s">
        <v>805</v>
      </c>
      <c r="C735" s="705" t="s">
        <v>844</v>
      </c>
      <c r="D735" s="706" t="s">
        <v>835</v>
      </c>
      <c r="E735" s="706" t="s">
        <v>400</v>
      </c>
      <c r="F735" s="706">
        <v>2</v>
      </c>
      <c r="G735" s="706"/>
      <c r="H735" s="720"/>
      <c r="I735" s="720">
        <v>46195</v>
      </c>
      <c r="J735" s="706" t="s">
        <v>355</v>
      </c>
      <c r="K735" t="str">
        <f t="shared" si="37"/>
        <v>Switch</v>
      </c>
      <c r="M735" s="419">
        <f t="shared" si="36"/>
        <v>0</v>
      </c>
      <c r="N735" s="419">
        <f t="shared" si="38"/>
        <v>0</v>
      </c>
      <c r="O735" s="419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1">
        <f>All_Detail_v2[[#This Row],[Scheduled Date]]</f>
        <v>46195</v>
      </c>
      <c r="S735" s="421">
        <f>All_Detail_v2[[#This Row],[Install Date]]</f>
        <v>0</v>
      </c>
    </row>
    <row r="736" spans="1:19">
      <c r="A736">
        <v>732</v>
      </c>
      <c r="B736" s="704" t="s">
        <v>805</v>
      </c>
      <c r="C736" s="705" t="s">
        <v>845</v>
      </c>
      <c r="D736" s="705" t="s">
        <v>846</v>
      </c>
      <c r="E736" s="706" t="s">
        <v>365</v>
      </c>
      <c r="F736" s="706">
        <v>1</v>
      </c>
      <c r="G736" s="706"/>
      <c r="H736" s="720"/>
      <c r="I736" s="720">
        <v>46195</v>
      </c>
      <c r="J736" s="706" t="s">
        <v>355</v>
      </c>
      <c r="K736" t="str">
        <f t="shared" si="37"/>
        <v>Switch</v>
      </c>
      <c r="M736" s="419">
        <f t="shared" si="36"/>
        <v>0</v>
      </c>
      <c r="N736" s="419">
        <f t="shared" si="38"/>
        <v>0</v>
      </c>
      <c r="O736" s="419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1">
        <f>All_Detail_v2[[#This Row],[Scheduled Date]]</f>
        <v>46195</v>
      </c>
      <c r="S736" s="421">
        <f>All_Detail_v2[[#This Row],[Install Date]]</f>
        <v>0</v>
      </c>
    </row>
    <row r="737" spans="1:19">
      <c r="A737">
        <v>733</v>
      </c>
      <c r="B737" s="704" t="s">
        <v>847</v>
      </c>
      <c r="C737" s="706" t="s">
        <v>847</v>
      </c>
      <c r="D737" s="706" t="s">
        <v>814</v>
      </c>
      <c r="E737" s="706" t="s">
        <v>360</v>
      </c>
      <c r="F737" s="706">
        <v>2</v>
      </c>
      <c r="G737" s="706"/>
      <c r="H737" s="720"/>
      <c r="I737" s="720">
        <v>46196</v>
      </c>
      <c r="J737" s="706" t="s">
        <v>355</v>
      </c>
      <c r="K737" t="str">
        <f t="shared" si="37"/>
        <v>Switch</v>
      </c>
      <c r="M737" s="419">
        <f t="shared" si="36"/>
        <v>0</v>
      </c>
      <c r="N737" s="419">
        <f t="shared" si="38"/>
        <v>0</v>
      </c>
      <c r="O737" s="419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1">
        <f>All_Detail_v2[[#This Row],[Scheduled Date]]</f>
        <v>46196</v>
      </c>
      <c r="S737" s="421">
        <f>All_Detail_v2[[#This Row],[Install Date]]</f>
        <v>0</v>
      </c>
    </row>
    <row r="738" spans="1:19">
      <c r="A738">
        <v>734</v>
      </c>
      <c r="B738" s="704" t="s">
        <v>847</v>
      </c>
      <c r="C738" s="706" t="s">
        <v>847</v>
      </c>
      <c r="D738" s="706" t="s">
        <v>848</v>
      </c>
      <c r="E738" s="706" t="s">
        <v>557</v>
      </c>
      <c r="F738" s="706">
        <v>2</v>
      </c>
      <c r="G738" s="706"/>
      <c r="H738" s="720"/>
      <c r="I738" s="720">
        <v>46196</v>
      </c>
      <c r="J738" s="706" t="s">
        <v>355</v>
      </c>
      <c r="K738" t="str">
        <f t="shared" si="37"/>
        <v>Switch</v>
      </c>
      <c r="M738" s="419">
        <f t="shared" si="36"/>
        <v>0</v>
      </c>
      <c r="N738" s="419">
        <f t="shared" si="38"/>
        <v>0</v>
      </c>
      <c r="O738" s="419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1">
        <f>All_Detail_v2[[#This Row],[Scheduled Date]]</f>
        <v>46196</v>
      </c>
      <c r="S738" s="421">
        <f>All_Detail_v2[[#This Row],[Install Date]]</f>
        <v>0</v>
      </c>
    </row>
    <row r="739" spans="1:19">
      <c r="A739">
        <v>735</v>
      </c>
      <c r="B739" s="704" t="s">
        <v>847</v>
      </c>
      <c r="C739" s="706" t="s">
        <v>847</v>
      </c>
      <c r="D739" s="706" t="s">
        <v>848</v>
      </c>
      <c r="E739" s="706" t="s">
        <v>411</v>
      </c>
      <c r="F739" s="706">
        <v>2</v>
      </c>
      <c r="G739" s="706">
        <v>2</v>
      </c>
      <c r="H739" s="720">
        <v>46063</v>
      </c>
      <c r="I739" s="720">
        <v>46063</v>
      </c>
      <c r="J739" s="706" t="s">
        <v>358</v>
      </c>
      <c r="K739" t="str">
        <f t="shared" si="37"/>
        <v>Infra</v>
      </c>
      <c r="M739" s="419">
        <f t="shared" si="36"/>
        <v>2</v>
      </c>
      <c r="N739" s="419">
        <f t="shared" si="38"/>
        <v>2</v>
      </c>
      <c r="O739" s="419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1">
        <f>All_Detail_v2[[#This Row],[Scheduled Date]]</f>
        <v>46063</v>
      </c>
      <c r="S739" s="421">
        <f>All_Detail_v2[[#This Row],[Install Date]]</f>
        <v>46063</v>
      </c>
    </row>
    <row r="740" spans="1:19">
      <c r="A740">
        <v>736</v>
      </c>
      <c r="B740" s="708" t="s">
        <v>847</v>
      </c>
      <c r="C740" s="709" t="s">
        <v>849</v>
      </c>
      <c r="D740" s="709" t="s">
        <v>850</v>
      </c>
      <c r="E740" s="709" t="s">
        <v>360</v>
      </c>
      <c r="F740" s="709">
        <v>2</v>
      </c>
      <c r="G740" s="709"/>
      <c r="H740" s="721"/>
      <c r="I740" s="720">
        <v>46196</v>
      </c>
      <c r="J740" s="709" t="s">
        <v>355</v>
      </c>
      <c r="K740" t="str">
        <f t="shared" si="37"/>
        <v>Switch</v>
      </c>
      <c r="M740" s="419">
        <f t="shared" ref="M740" si="39">O740</f>
        <v>0</v>
      </c>
      <c r="N740" s="419">
        <f t="shared" ref="N740" si="40">O740</f>
        <v>0</v>
      </c>
      <c r="O740" s="419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1">
        <f>All_Detail_v2[[#This Row],[Scheduled Date]]</f>
        <v>46196</v>
      </c>
      <c r="S740" s="421">
        <f>All_Detail_v2[[#This Row],[Install Date]]</f>
        <v>0</v>
      </c>
    </row>
    <row r="741" spans="1:19">
      <c r="B741" s="381"/>
      <c r="C741" s="382"/>
      <c r="D741" s="382"/>
      <c r="E741" s="382"/>
      <c r="F741" s="539">
        <f>SUBTOTAL(109,All_Detail_v2[Qty])</f>
        <v>1592</v>
      </c>
      <c r="G741" s="382"/>
      <c r="H741" s="383"/>
      <c r="I741" s="383"/>
      <c r="J741" s="382"/>
      <c r="K741" s="382"/>
      <c r="L741" s="382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3" bestFit="1" customWidth="1"/>
    <col min="2" max="21" width="12" style="423" customWidth="1"/>
    <col min="22" max="22" width="16" style="423" customWidth="1"/>
    <col min="23" max="29" width="8.6640625" style="423"/>
    <col min="31" max="53" width="8.6640625" style="423"/>
    <col min="55" max="16384" width="8.6640625" style="423"/>
  </cols>
  <sheetData>
    <row r="1" spans="1:22" ht="30" customHeight="1">
      <c r="A1" s="945" t="s">
        <v>851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</row>
    <row r="2" spans="1:22" ht="18" customHeight="1">
      <c r="A2" s="947" t="s">
        <v>852</v>
      </c>
      <c r="B2" s="948"/>
      <c r="C2" s="948"/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948"/>
      <c r="V2" s="948"/>
    </row>
    <row r="3" spans="1:22" ht="4.5" customHeight="1">
      <c r="A3" s="710"/>
      <c r="B3" s="710"/>
      <c r="C3" s="710"/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710"/>
      <c r="O3" s="710"/>
      <c r="P3" s="710"/>
      <c r="Q3" s="710"/>
      <c r="R3" s="710"/>
      <c r="S3" s="710"/>
      <c r="T3" s="710"/>
      <c r="U3" s="710"/>
    </row>
    <row r="4" spans="1:22" ht="28.8">
      <c r="A4" s="951" t="s">
        <v>291</v>
      </c>
      <c r="B4" s="424" t="s">
        <v>853</v>
      </c>
      <c r="C4" s="424" t="s">
        <v>854</v>
      </c>
      <c r="D4" s="424" t="s">
        <v>855</v>
      </c>
      <c r="E4" s="424" t="s">
        <v>856</v>
      </c>
      <c r="F4" s="424" t="s">
        <v>857</v>
      </c>
      <c r="G4" s="424" t="s">
        <v>858</v>
      </c>
      <c r="H4" s="424" t="s">
        <v>859</v>
      </c>
      <c r="I4" s="424" t="s">
        <v>860</v>
      </c>
      <c r="J4" s="424" t="s">
        <v>861</v>
      </c>
      <c r="K4" s="424" t="s">
        <v>862</v>
      </c>
      <c r="L4" s="424" t="s">
        <v>863</v>
      </c>
      <c r="M4" s="424" t="s">
        <v>864</v>
      </c>
      <c r="N4" s="424" t="s">
        <v>865</v>
      </c>
      <c r="O4" s="424" t="s">
        <v>866</v>
      </c>
      <c r="P4" s="424" t="s">
        <v>867</v>
      </c>
      <c r="Q4" s="424" t="s">
        <v>868</v>
      </c>
      <c r="R4" s="424" t="s">
        <v>869</v>
      </c>
      <c r="S4" s="424" t="s">
        <v>870</v>
      </c>
      <c r="T4" s="424" t="s">
        <v>871</v>
      </c>
      <c r="U4" s="424" t="s">
        <v>872</v>
      </c>
      <c r="V4" s="779" t="s">
        <v>301</v>
      </c>
    </row>
    <row r="5" spans="1:22" ht="4.5" customHeight="1">
      <c r="A5" s="951"/>
      <c r="V5" s="944"/>
    </row>
    <row r="6" spans="1:22" ht="21.75" customHeight="1">
      <c r="A6" s="949" t="s">
        <v>302</v>
      </c>
      <c r="B6" s="950"/>
      <c r="C6" s="950"/>
      <c r="D6" s="950"/>
      <c r="E6" s="950"/>
      <c r="F6" s="950"/>
      <c r="G6" s="950"/>
      <c r="H6" s="950"/>
      <c r="I6" s="950"/>
      <c r="J6" s="950"/>
      <c r="K6" s="950"/>
      <c r="L6" s="950"/>
      <c r="M6" s="950"/>
      <c r="N6" s="950"/>
      <c r="O6" s="950"/>
      <c r="P6" s="950"/>
      <c r="Q6" s="950"/>
      <c r="R6" s="950"/>
      <c r="S6" s="950"/>
      <c r="T6" s="950"/>
      <c r="U6" s="950"/>
      <c r="V6" s="950"/>
    </row>
    <row r="7" spans="1:22" ht="19.5" customHeight="1">
      <c r="A7" s="425" t="s">
        <v>303</v>
      </c>
      <c r="B7" s="426" cm="1">
        <f t="array" ref="B7">SUMPRODUCT((SVB!$R$2:$R$740&gt;=B80)*(SVB!$R$2:$R$740&lt;=B81)*(ISNUMBER(SVB!$F$2:$F$740))*(SVB!$F$2:$F$740))</f>
        <v>153</v>
      </c>
      <c r="C7" s="426" cm="1">
        <f t="array" ref="C7">SUMPRODUCT((SVB!$R$2:$R$740&gt;=C80)*(SVB!$R$2:$R$740&lt;=C81)*(ISNUMBER(SVB!$F$2:$F$740))*(SVB!$F$2:$F$740))</f>
        <v>69</v>
      </c>
      <c r="D7" s="426" cm="1">
        <f t="array" ref="D7">SUMPRODUCT((SVB!$R$2:$R$740&gt;=D80)*(SVB!$R$2:$R$740&lt;=D81)*(ISNUMBER(SVB!$F$2:$F$740))*(SVB!$F$2:$F$740))</f>
        <v>66</v>
      </c>
      <c r="E7" s="426" cm="1">
        <f t="array" ref="E7">SUMPRODUCT((SVB!$R$2:$R$740&gt;=E80)*(SVB!$R$2:$R$740&lt;=E81)*(ISNUMBER(SVB!$F$2:$F$740))*(SVB!$F$2:$F$740))</f>
        <v>53</v>
      </c>
      <c r="F7" s="426" cm="1">
        <f t="array" ref="F7">SUMPRODUCT((SVB!$R$2:$R$740&gt;=F80)*(SVB!$R$2:$R$740&lt;=F81)*(ISNUMBER(SVB!$F$2:$F$740))*(SVB!$F$2:$F$740))</f>
        <v>101</v>
      </c>
      <c r="G7" s="426" cm="1">
        <f t="array" ref="G7">SUMPRODUCT((SVB!$R$2:$R$740&gt;=G80)*(SVB!$R$2:$R$740&lt;=G81)*(ISNUMBER(SVB!$F$2:$F$740))*(SVB!$F$2:$F$740))</f>
        <v>241</v>
      </c>
      <c r="H7" s="426" cm="1">
        <f t="array" ref="H7">SUMPRODUCT((SVB!$R$2:$R$740&gt;=H80)*(SVB!$R$2:$R$740&lt;=H81)*(ISNUMBER(SVB!$F$2:$F$740))*(SVB!$F$2:$F$740))</f>
        <v>49</v>
      </c>
      <c r="I7" s="426" cm="1">
        <f t="array" ref="I7">SUMPRODUCT((SVB!$R$2:$R$740&gt;=I80)*(SVB!$R$2:$R$740&lt;=I81)*(ISNUMBER(SVB!$F$2:$F$740))*(SVB!$F$2:$F$740))</f>
        <v>50</v>
      </c>
      <c r="J7" s="426" cm="1">
        <f t="array" ref="J7">SUMPRODUCT((SVB!$R$2:$R$740&gt;=J80)*(SVB!$R$2:$R$740&lt;=J81)*(ISNUMBER(SVB!$F$2:$F$740))*(SVB!$F$2:$F$740))</f>
        <v>31</v>
      </c>
      <c r="K7" s="426" cm="1">
        <f t="array" ref="K7">SUMPRODUCT((SVB!$R$2:$R$740&gt;=K80)*(SVB!$R$2:$R$740&lt;=K81)*(ISNUMBER(SVB!$F$2:$F$740))*(SVB!$F$2:$F$740))</f>
        <v>86</v>
      </c>
      <c r="L7" s="426" cm="1">
        <f t="array" ref="L7">SUMPRODUCT((SVB!$R$2:$R$740&gt;=L80)*(SVB!$R$2:$R$740&lt;=L81)*(ISNUMBER(SVB!$F$2:$F$740))*(SVB!$F$2:$F$740))</f>
        <v>93</v>
      </c>
      <c r="M7" s="426" cm="1">
        <f t="array" ref="M7">SUMPRODUCT((SVB!$R$2:$R$740&gt;=M80)*(SVB!$R$2:$R$740&lt;=M81)*(ISNUMBER(SVB!$F$2:$F$740))*(SVB!$F$2:$F$740))</f>
        <v>97</v>
      </c>
      <c r="N7" s="426" cm="1">
        <f t="array" ref="N7">SUMPRODUCT((SVB!$R$2:$R$740&gt;=N80)*(SVB!$R$2:$R$740&lt;=N81)*(ISNUMBER(SVB!$F$2:$F$740))*(SVB!$F$2:$F$740))</f>
        <v>50</v>
      </c>
      <c r="O7" s="426" cm="1">
        <f t="array" ref="O7">SUMPRODUCT((SVB!$R$2:$R$740&gt;=O80)*(SVB!$R$2:$R$740&lt;=O81)*(ISNUMBER(SVB!$F$2:$F$740))*(SVB!$F$2:$F$740))</f>
        <v>58</v>
      </c>
      <c r="P7" s="426" cm="1">
        <f t="array" ref="P7">SUMPRODUCT((SVB!$R$2:$R$740&gt;=P80)*(SVB!$R$2:$R$740&lt;=P81)*(ISNUMBER(SVB!$F$2:$F$740))*(SVB!$F$2:$F$740))</f>
        <v>77</v>
      </c>
      <c r="Q7" s="426" cm="1">
        <f t="array" ref="Q7">SUMPRODUCT((SVB!$R$2:$R$740&gt;=Q80)*(SVB!$R$2:$R$740&lt;=Q81)*(ISNUMBER(SVB!$F$2:$F$740))*(SVB!$F$2:$F$740))</f>
        <v>99</v>
      </c>
      <c r="R7" s="426" cm="1">
        <f t="array" ref="R7">SUMPRODUCT((SVB!$R$2:$R$740&gt;=R80)*(SVB!$R$2:$R$740&lt;=R81)*(ISNUMBER(SVB!$F$2:$F$740))*(SVB!$F$2:$F$740))</f>
        <v>99</v>
      </c>
      <c r="S7" s="426" cm="1">
        <f t="array" ref="S7">SUMPRODUCT((SVB!$R$2:$R$740&gt;=S80)*(SVB!$R$2:$R$740&lt;=S81)*(ISNUMBER(SVB!$F$2:$F$740))*(SVB!$F$2:$F$740))</f>
        <v>97</v>
      </c>
      <c r="T7" s="426" cm="1">
        <f t="array" ref="T7">SUMPRODUCT((SVB!$R$2:$R$740&gt;=T80)*(SVB!$R$2:$R$740&lt;=T81)*(ISNUMBER(SVB!$F$2:$F$740))*(SVB!$F$2:$F$740))</f>
        <v>23</v>
      </c>
      <c r="U7" s="426" cm="1">
        <f t="array" ref="U7">SUMPRODUCT((SVB!$R$2:$R$740&gt;=U80)*(SVB!$R$2:$R$740&lt;=U81)*(ISNUMBER(SVB!$F$2:$F$740))*(SVB!$F$2:$F$740))</f>
        <v>0</v>
      </c>
      <c r="V7" s="427" cm="1">
        <f t="array" ref="V7">SUMPRODUCT((SVB!$B$2:$B$740&lt;&gt;"")*(ISNUMBER(SVB!$F$2:$F$740))*(SVB!$F$2:$F$740))</f>
        <v>1592</v>
      </c>
    </row>
    <row r="8" spans="1:22" ht="19.5" customHeight="1">
      <c r="A8" s="428" t="s">
        <v>304</v>
      </c>
      <c r="B8" s="429">
        <f>IF(B7=0,"-",B7/$V$7)</f>
        <v>9.6105527638190955E-2</v>
      </c>
      <c r="C8" s="429">
        <f t="shared" ref="C8:U8" si="0">IF(C7=0,"-",C7/$V$7)</f>
        <v>4.3341708542713568E-2</v>
      </c>
      <c r="D8" s="429">
        <f t="shared" si="0"/>
        <v>4.1457286432160803E-2</v>
      </c>
      <c r="E8" s="429">
        <f t="shared" si="0"/>
        <v>3.3291457286432159E-2</v>
      </c>
      <c r="F8" s="429">
        <f t="shared" si="0"/>
        <v>6.3442211055276379E-2</v>
      </c>
      <c r="G8" s="429">
        <f t="shared" si="0"/>
        <v>0.1513819095477387</v>
      </c>
      <c r="H8" s="429">
        <f t="shared" si="0"/>
        <v>3.077889447236181E-2</v>
      </c>
      <c r="I8" s="429">
        <f t="shared" si="0"/>
        <v>3.1407035175879394E-2</v>
      </c>
      <c r="J8" s="429">
        <f t="shared" si="0"/>
        <v>1.9472361809045227E-2</v>
      </c>
      <c r="K8" s="429">
        <f t="shared" si="0"/>
        <v>5.4020100502512561E-2</v>
      </c>
      <c r="L8" s="429">
        <f t="shared" si="0"/>
        <v>5.8417085427135682E-2</v>
      </c>
      <c r="M8" s="429">
        <f t="shared" si="0"/>
        <v>6.092964824120603E-2</v>
      </c>
      <c r="N8" s="429">
        <f t="shared" si="0"/>
        <v>3.1407035175879394E-2</v>
      </c>
      <c r="O8" s="429">
        <f t="shared" si="0"/>
        <v>3.6432160804020099E-2</v>
      </c>
      <c r="P8" s="429">
        <f t="shared" si="0"/>
        <v>4.8366834170854273E-2</v>
      </c>
      <c r="Q8" s="429">
        <f t="shared" si="0"/>
        <v>6.2185929648241205E-2</v>
      </c>
      <c r="R8" s="429">
        <f t="shared" si="0"/>
        <v>6.2185929648241205E-2</v>
      </c>
      <c r="S8" s="429">
        <f t="shared" si="0"/>
        <v>6.092964824120603E-2</v>
      </c>
      <c r="T8" s="429">
        <f t="shared" si="0"/>
        <v>1.4447236180904523E-2</v>
      </c>
      <c r="U8" s="429" t="str">
        <f t="shared" si="0"/>
        <v>-</v>
      </c>
      <c r="V8" s="430">
        <f>SUM(B8:U8)</f>
        <v>1.0000000000000002</v>
      </c>
    </row>
    <row r="9" spans="1:22" ht="4.5" customHeight="1"/>
    <row r="10" spans="1:22" ht="21.75" customHeight="1">
      <c r="A10" s="949" t="s">
        <v>873</v>
      </c>
      <c r="B10" s="950"/>
      <c r="C10" s="950"/>
      <c r="D10" s="950"/>
      <c r="E10" s="950"/>
      <c r="F10" s="950"/>
      <c r="G10" s="950"/>
      <c r="H10" s="950"/>
      <c r="I10" s="950"/>
      <c r="J10" s="950"/>
      <c r="K10" s="950"/>
      <c r="L10" s="950"/>
      <c r="M10" s="950"/>
      <c r="N10" s="950"/>
      <c r="O10" s="950"/>
      <c r="P10" s="950"/>
      <c r="Q10" s="950"/>
      <c r="R10" s="950"/>
      <c r="S10" s="950"/>
      <c r="T10" s="950"/>
      <c r="U10" s="950"/>
      <c r="V10" s="950"/>
    </row>
    <row r="11" spans="1:22" ht="19.5" customHeight="1">
      <c r="A11" s="425" t="s">
        <v>874</v>
      </c>
      <c r="B11" s="426" cm="1">
        <f t="array" ref="B11">SUMPRODUCT((SVB!$R$2:$R$740&gt;=B80)*(SVB!$R$2:$R$740&lt;=B81)*(SVB!$K$2:$K$740="Switch")*(ISNUMBER(SVB!$F$2:$F$740))*(SVB!$F$2:$F$740))</f>
        <v>88</v>
      </c>
      <c r="C11" s="426" cm="1">
        <f t="array" ref="C11">SUMPRODUCT((SVB!$R$2:$R$740&gt;=C80)*(SVB!$R$2:$R$740&lt;=C81)*(SVB!$K$2:$K$740="Switch")*(ISNUMBER(SVB!$F$2:$F$740))*(SVB!$F$2:$F$740))</f>
        <v>45</v>
      </c>
      <c r="D11" s="426" cm="1">
        <f t="array" ref="D11">SUMPRODUCT((SVB!$R$2:$R$740&gt;=D80)*(SVB!$R$2:$R$740&lt;=D81)*(SVB!$K$2:$K$740="Switch")*(ISNUMBER(SVB!$F$2:$F$740))*(SVB!$F$2:$F$740))</f>
        <v>64</v>
      </c>
      <c r="E11" s="426" cm="1">
        <f t="array" ref="E11">SUMPRODUCT((SVB!$R$2:$R$740&gt;=E80)*(SVB!$R$2:$R$740&lt;=E81)*(SVB!$K$2:$K$740="Switch")*(ISNUMBER(SVB!$F$2:$F$740))*(SVB!$F$2:$F$740))</f>
        <v>53</v>
      </c>
      <c r="F11" s="426" cm="1">
        <f t="array" ref="F11">SUMPRODUCT((SVB!$R$2:$R$740&gt;=F80)*(SVB!$R$2:$R$740&lt;=F81)*(SVB!$K$2:$K$740="Switch")*(ISNUMBER(SVB!$F$2:$F$740))*(SVB!$F$2:$F$740))</f>
        <v>101</v>
      </c>
      <c r="G11" s="426" cm="1">
        <f t="array" ref="G11">SUMPRODUCT((SVB!$R$2:$R$740&gt;=G80)*(SVB!$R$2:$R$740&lt;=G81)*(SVB!$K$2:$K$740="Switch")*(ISNUMBER(SVB!$F$2:$F$740))*(SVB!$F$2:$F$740))</f>
        <v>62</v>
      </c>
      <c r="H11" s="426" cm="1">
        <f t="array" ref="H11">SUMPRODUCT((SVB!$R$2:$R$740&gt;=H80)*(SVB!$R$2:$R$740&lt;=H81)*(SVB!$K$2:$K$740="Switch")*(ISNUMBER(SVB!$F$2:$F$740))*(SVB!$F$2:$F$740))</f>
        <v>30</v>
      </c>
      <c r="I11" s="426" cm="1">
        <f t="array" ref="I11">SUMPRODUCT((SVB!$R$2:$R$740&gt;=I80)*(SVB!$R$2:$R$740&lt;=I81)*(SVB!$K$2:$K$740="Switch")*(ISNUMBER(SVB!$F$2:$F$740))*(SVB!$F$2:$F$740))</f>
        <v>35</v>
      </c>
      <c r="J11" s="426" cm="1">
        <f t="array" ref="J11">SUMPRODUCT((SVB!$R$2:$R$740&gt;=J80)*(SVB!$R$2:$R$740&lt;=J81)*(SVB!$K$2:$K$740="Switch")*(ISNUMBER(SVB!$F$2:$F$740))*(SVB!$F$2:$F$740))</f>
        <v>31</v>
      </c>
      <c r="K11" s="426" cm="1">
        <f t="array" ref="K11">SUMPRODUCT((SVB!$R$2:$R$740&gt;=K80)*(SVB!$R$2:$R$740&lt;=K81)*(SVB!$K$2:$K$740="Switch")*(ISNUMBER(SVB!$F$2:$F$740))*(SVB!$F$2:$F$740))</f>
        <v>49</v>
      </c>
      <c r="L11" s="426" cm="1">
        <f t="array" ref="L11">SUMPRODUCT((SVB!$R$2:$R$740&gt;=L80)*(SVB!$R$2:$R$740&lt;=L81)*(SVB!$K$2:$K$740="Switch")*(ISNUMBER(SVB!$F$2:$F$740))*(SVB!$F$2:$F$740))</f>
        <v>49</v>
      </c>
      <c r="M11" s="426" cm="1">
        <f t="array" ref="M11">SUMPRODUCT((SVB!$R$2:$R$740&gt;=M80)*(SVB!$R$2:$R$740&lt;=M81)*(SVB!$K$2:$K$740="Switch")*(ISNUMBER(SVB!$F$2:$F$740))*(SVB!$F$2:$F$740))</f>
        <v>97</v>
      </c>
      <c r="N11" s="426" cm="1">
        <f t="array" ref="N11">SUMPRODUCT((SVB!$R$2:$R$740&gt;=N80)*(SVB!$R$2:$R$740&lt;=N81)*(SVB!$K$2:$K$740="Switch")*(ISNUMBER(SVB!$F$2:$F$740))*(SVB!$F$2:$F$740))</f>
        <v>50</v>
      </c>
      <c r="O11" s="426" cm="1">
        <f t="array" ref="O11">SUMPRODUCT((SVB!$R$2:$R$740&gt;=O80)*(SVB!$R$2:$R$740&lt;=O81)*(SVB!$K$2:$K$740="Switch")*(ISNUMBER(SVB!$F$2:$F$740))*(SVB!$F$2:$F$740))</f>
        <v>58</v>
      </c>
      <c r="P11" s="426" cm="1">
        <f t="array" ref="P11">SUMPRODUCT((SVB!$R$2:$R$740&gt;=P80)*(SVB!$R$2:$R$740&lt;=P81)*(SVB!$K$2:$K$740="Switch")*(ISNUMBER(SVB!$F$2:$F$740))*(SVB!$F$2:$F$740))</f>
        <v>77</v>
      </c>
      <c r="Q11" s="426" cm="1">
        <f t="array" ref="Q11">SUMPRODUCT((SVB!$R$2:$R$740&gt;=Q80)*(SVB!$R$2:$R$740&lt;=Q81)*(SVB!$K$2:$K$740="Switch")*(ISNUMBER(SVB!$F$2:$F$740))*(SVB!$F$2:$F$740))</f>
        <v>88</v>
      </c>
      <c r="R11" s="426" cm="1">
        <f t="array" ref="R11">SUMPRODUCT((SVB!$R$2:$R$740&gt;=R80)*(SVB!$R$2:$R$740&lt;=R81)*(SVB!$K$2:$K$740="Switch")*(ISNUMBER(SVB!$F$2:$F$740))*(SVB!$F$2:$F$740))</f>
        <v>67</v>
      </c>
      <c r="S11" s="426" cm="1">
        <f t="array" ref="S11">SUMPRODUCT((SVB!$R$2:$R$740&gt;=S80)*(SVB!$R$2:$R$740&lt;=S81)*(SVB!$K$2:$K$740="Switch")*(ISNUMBER(SVB!$F$2:$F$740))*(SVB!$F$2:$F$740))</f>
        <v>55</v>
      </c>
      <c r="T11" s="426" cm="1">
        <f t="array" ref="T11">SUMPRODUCT((SVB!$R$2:$R$740&gt;=T80)*(SVB!$R$2:$R$740&lt;=T81)*(SVB!$K$2:$K$740="Switch")*(ISNUMBER(SVB!$F$2:$F$740))*(SVB!$F$2:$F$740))</f>
        <v>22</v>
      </c>
      <c r="U11" s="426" cm="1">
        <f t="array" ref="U11">SUMPRODUCT((SVB!$R$2:$R$740&gt;=U80)*(SVB!$R$2:$R$740&lt;=U81)*(SVB!$K$2:$K$740="Switch")*(ISNUMBER(SVB!$F$2:$F$740))*(SVB!$F$2:$F$740))</f>
        <v>0</v>
      </c>
      <c r="V11" s="427" cm="1">
        <f t="array" ref="V11">SUMPRODUCT((SVB!$B$2:$B$740&lt;&gt;"")*(SVB!$K$2:$K$740="Switch")*(ISNUMBER(SVB!$F$2:$F$740))*(SVB!$F$2:$F$740))</f>
        <v>1121</v>
      </c>
    </row>
    <row r="12" spans="1:22" ht="19.5" customHeight="1">
      <c r="A12" s="428" t="s">
        <v>875</v>
      </c>
      <c r="B12" s="429">
        <f>IF(B11=0,"-",B11/$V$11)</f>
        <v>7.8501338090990191E-2</v>
      </c>
      <c r="C12" s="429">
        <f t="shared" ref="C12:U12" si="1">IF(C11=0,"-",C11/$V$11)</f>
        <v>4.0142729705619981E-2</v>
      </c>
      <c r="D12" s="429">
        <f t="shared" si="1"/>
        <v>5.7091882247992866E-2</v>
      </c>
      <c r="E12" s="429">
        <f t="shared" si="1"/>
        <v>4.7279214986619092E-2</v>
      </c>
      <c r="F12" s="429">
        <f t="shared" si="1"/>
        <v>9.0098126672613743E-2</v>
      </c>
      <c r="G12" s="429">
        <f t="shared" si="1"/>
        <v>5.5307760927743088E-2</v>
      </c>
      <c r="H12" s="429">
        <f t="shared" si="1"/>
        <v>2.6761819803746655E-2</v>
      </c>
      <c r="I12" s="429">
        <f t="shared" si="1"/>
        <v>3.1222123104371096E-2</v>
      </c>
      <c r="J12" s="429">
        <f t="shared" si="1"/>
        <v>2.7653880463871544E-2</v>
      </c>
      <c r="K12" s="429">
        <f t="shared" si="1"/>
        <v>4.3710972346119537E-2</v>
      </c>
      <c r="L12" s="429">
        <f t="shared" si="1"/>
        <v>4.3710972346119537E-2</v>
      </c>
      <c r="M12" s="429">
        <f t="shared" si="1"/>
        <v>8.6529884032114188E-2</v>
      </c>
      <c r="N12" s="429">
        <f t="shared" si="1"/>
        <v>4.4603033006244422E-2</v>
      </c>
      <c r="O12" s="429">
        <f t="shared" si="1"/>
        <v>5.1739518287243533E-2</v>
      </c>
      <c r="P12" s="429">
        <f t="shared" si="1"/>
        <v>6.8688670829616411E-2</v>
      </c>
      <c r="Q12" s="429">
        <f t="shared" si="1"/>
        <v>7.8501338090990191E-2</v>
      </c>
      <c r="R12" s="429">
        <f t="shared" si="1"/>
        <v>5.9768064228367529E-2</v>
      </c>
      <c r="S12" s="429">
        <f t="shared" si="1"/>
        <v>4.906333630686887E-2</v>
      </c>
      <c r="T12" s="429">
        <f t="shared" si="1"/>
        <v>1.9625334522747548E-2</v>
      </c>
      <c r="U12" s="429" t="str">
        <f t="shared" si="1"/>
        <v>-</v>
      </c>
      <c r="V12" s="430">
        <f>SUM(B12:U12)</f>
        <v>1</v>
      </c>
    </row>
    <row r="13" spans="1:22" ht="4.5" customHeight="1"/>
    <row r="14" spans="1:22" ht="21.75" customHeight="1">
      <c r="A14" s="949" t="s">
        <v>876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950"/>
      <c r="M14" s="950"/>
      <c r="N14" s="950"/>
      <c r="O14" s="950"/>
      <c r="P14" s="950"/>
      <c r="Q14" s="950"/>
      <c r="R14" s="950"/>
      <c r="S14" s="950"/>
      <c r="T14" s="950"/>
      <c r="U14" s="950"/>
      <c r="V14" s="950"/>
    </row>
    <row r="15" spans="1:22" ht="19.5" customHeight="1">
      <c r="A15" s="425" t="s">
        <v>877</v>
      </c>
      <c r="B15" s="426" cm="1">
        <f t="array" ref="B15">SUMPRODUCT((SVB!$R$2:$R$740&gt;=B80)*(SVB!$R$2:$R$740&lt;=B81)*(SVB!$K$2:$K$740="AP")*(ISNUMBER(SVB!$F$2:$F$740))*(SVB!$F$2:$F$740))</f>
        <v>43</v>
      </c>
      <c r="C15" s="426" cm="1">
        <f t="array" ref="C15">SUMPRODUCT((SVB!$R$2:$R$740&gt;=C80)*(SVB!$R$2:$R$740&lt;=C81)*(SVB!$K$2:$K$740="AP")*(ISNUMBER(SVB!$F$2:$F$740))*(SVB!$F$2:$F$740))</f>
        <v>24</v>
      </c>
      <c r="D15" s="426" cm="1">
        <f t="array" ref="D15">SUMPRODUCT((SVB!$R$2:$R$740&gt;=D80)*(SVB!$R$2:$R$740&lt;=D81)*(SVB!$K$2:$K$740="AP")*(ISNUMBER(SVB!$F$2:$F$740))*(SVB!$F$2:$F$740))</f>
        <v>0</v>
      </c>
      <c r="E15" s="426" cm="1">
        <f t="array" ref="E15">SUMPRODUCT((SVB!$R$2:$R$740&gt;=E80)*(SVB!$R$2:$R$740&lt;=E81)*(SVB!$K$2:$K$740="AP")*(ISNUMBER(SVB!$F$2:$F$740))*(SVB!$F$2:$F$740))</f>
        <v>0</v>
      </c>
      <c r="F15" s="426" cm="1">
        <f t="array" ref="F15">SUMPRODUCT((SVB!$R$2:$R$740&gt;=F80)*(SVB!$R$2:$R$740&lt;=F81)*(SVB!$K$2:$K$740="AP")*(ISNUMBER(SVB!$F$2:$F$740))*(SVB!$F$2:$F$740))</f>
        <v>0</v>
      </c>
      <c r="G15" s="426" cm="1">
        <f t="array" ref="G15">SUMPRODUCT((SVB!$R$2:$R$740&gt;=G80)*(SVB!$R$2:$R$740&lt;=G81)*(SVB!$K$2:$K$740="AP")*(ISNUMBER(SVB!$F$2:$F$740))*(SVB!$F$2:$F$740))</f>
        <v>177</v>
      </c>
      <c r="H15" s="426" cm="1">
        <f t="array" ref="H15">SUMPRODUCT((SVB!$R$2:$R$740&gt;=H80)*(SVB!$R$2:$R$740&lt;=H81)*(SVB!$K$2:$K$740="AP")*(ISNUMBER(SVB!$F$2:$F$740))*(SVB!$F$2:$F$740))</f>
        <v>19</v>
      </c>
      <c r="I15" s="426" cm="1">
        <f t="array" ref="I15">SUMPRODUCT((SVB!$R$2:$R$740&gt;=I80)*(SVB!$R$2:$R$740&lt;=I81)*(SVB!$K$2:$K$740="AP")*(ISNUMBER(SVB!$F$2:$F$740))*(SVB!$F$2:$F$740))</f>
        <v>15</v>
      </c>
      <c r="J15" s="426" cm="1">
        <f t="array" ref="J15">SUMPRODUCT((SVB!$R$2:$R$740&gt;=J80)*(SVB!$R$2:$R$740&lt;=J81)*(SVB!$K$2:$K$740="AP")*(ISNUMBER(SVB!$F$2:$F$740))*(SVB!$F$2:$F$740))</f>
        <v>0</v>
      </c>
      <c r="K15" s="426" cm="1">
        <f t="array" ref="K15">SUMPRODUCT((SVB!$R$2:$R$740&gt;=K80)*(SVB!$R$2:$R$740&lt;=K81)*(SVB!$K$2:$K$740="AP")*(ISNUMBER(SVB!$F$2:$F$740))*(SVB!$F$2:$F$740))</f>
        <v>37</v>
      </c>
      <c r="L15" s="426" cm="1">
        <f t="array" ref="L15">SUMPRODUCT((SVB!$R$2:$R$740&gt;=L80)*(SVB!$R$2:$R$740&lt;=L81)*(SVB!$K$2:$K$740="AP")*(ISNUMBER(SVB!$F$2:$F$740))*(SVB!$F$2:$F$740))</f>
        <v>44</v>
      </c>
      <c r="M15" s="426" cm="1">
        <f t="array" ref="M15">SUMPRODUCT((SVB!$R$2:$R$740&gt;=M80)*(SVB!$R$2:$R$740&lt;=M81)*(SVB!$K$2:$K$740="AP")*(ISNUMBER(SVB!$F$2:$F$740))*(SVB!$F$2:$F$740))</f>
        <v>0</v>
      </c>
      <c r="N15" s="426" cm="1">
        <f t="array" ref="N15">SUMPRODUCT((SVB!$R$2:$R$740&gt;=N80)*(SVB!$R$2:$R$740&lt;=N81)*(SVB!$K$2:$K$740="AP")*(ISNUMBER(SVB!$F$2:$F$740))*(SVB!$F$2:$F$740))</f>
        <v>0</v>
      </c>
      <c r="O15" s="426" cm="1">
        <f t="array" ref="O15">SUMPRODUCT((SVB!$R$2:$R$740&gt;=O80)*(SVB!$R$2:$R$740&lt;=O81)*(SVB!$K$2:$K$740="AP")*(ISNUMBER(SVB!$F$2:$F$740))*(SVB!$F$2:$F$740))</f>
        <v>0</v>
      </c>
      <c r="P15" s="426" cm="1">
        <f t="array" ref="P15">SUMPRODUCT((SVB!$R$2:$R$740&gt;=P80)*(SVB!$R$2:$R$740&lt;=P81)*(SVB!$K$2:$K$740="AP")*(ISNUMBER(SVB!$F$2:$F$740))*(SVB!$F$2:$F$740))</f>
        <v>0</v>
      </c>
      <c r="Q15" s="426" cm="1">
        <f t="array" ref="Q15">SUMPRODUCT((SVB!$R$2:$R$740&gt;=Q80)*(SVB!$R$2:$R$740&lt;=Q81)*(SVB!$K$2:$K$740="AP")*(ISNUMBER(SVB!$F$2:$F$740))*(SVB!$F$2:$F$740))</f>
        <v>11</v>
      </c>
      <c r="R15" s="426" cm="1">
        <f t="array" ref="R15">SUMPRODUCT((SVB!$R$2:$R$740&gt;=R80)*(SVB!$R$2:$R$740&lt;=R81)*(SVB!$K$2:$K$740="AP")*(ISNUMBER(SVB!$F$2:$F$740))*(SVB!$F$2:$F$740))</f>
        <v>32</v>
      </c>
      <c r="S15" s="426" cm="1">
        <f t="array" ref="S15">SUMPRODUCT((SVB!$R$2:$R$740&gt;=S80)*(SVB!$R$2:$R$740&lt;=S81)*(SVB!$K$2:$K$740="AP")*(ISNUMBER(SVB!$F$2:$F$740))*(SVB!$F$2:$F$740))</f>
        <v>42</v>
      </c>
      <c r="T15" s="426" cm="1">
        <f t="array" ref="T15">SUMPRODUCT((SVB!$R$2:$R$740&gt;=T80)*(SVB!$R$2:$R$740&lt;=T81)*(SVB!$K$2:$K$740="AP")*(ISNUMBER(SVB!$F$2:$F$740))*(SVB!$F$2:$F$740))</f>
        <v>1</v>
      </c>
      <c r="U15" s="426" cm="1">
        <f t="array" ref="U15">SUMPRODUCT((SVB!$R$2:$R$740&gt;=U80)*(SVB!$R$2:$R$740&lt;=U81)*(SVB!$K$2:$K$740="AP")*(ISNUMBER(SVB!$F$2:$F$740))*(SVB!$F$2:$F$740))</f>
        <v>0</v>
      </c>
      <c r="V15" s="427" cm="1">
        <f t="array" ref="V15">SUMPRODUCT((SVB!$B$2:$B$740&lt;&gt;"")*(SVB!$K$2:$K$740="AP")*(ISNUMBER(SVB!$F$2:$F$740))*(SVB!$F$2:$F$740))</f>
        <v>445</v>
      </c>
    </row>
    <row r="16" spans="1:22" ht="19.5" customHeight="1">
      <c r="A16" s="428" t="s">
        <v>878</v>
      </c>
      <c r="B16" s="429">
        <f>IF(B15=0,"-",B15/$V$15)</f>
        <v>9.662921348314607E-2</v>
      </c>
      <c r="C16" s="429">
        <f t="shared" ref="C16:U16" si="2">IF(C15=0,"-",C15/$V$15)</f>
        <v>5.3932584269662923E-2</v>
      </c>
      <c r="D16" s="429" t="str">
        <f t="shared" si="2"/>
        <v>-</v>
      </c>
      <c r="E16" s="429" t="str">
        <f t="shared" si="2"/>
        <v>-</v>
      </c>
      <c r="F16" s="429" t="str">
        <f t="shared" si="2"/>
        <v>-</v>
      </c>
      <c r="G16" s="429">
        <f t="shared" si="2"/>
        <v>0.39775280898876403</v>
      </c>
      <c r="H16" s="429">
        <f t="shared" si="2"/>
        <v>4.2696629213483148E-2</v>
      </c>
      <c r="I16" s="429">
        <f t="shared" si="2"/>
        <v>3.3707865168539325E-2</v>
      </c>
      <c r="J16" s="429" t="str">
        <f t="shared" si="2"/>
        <v>-</v>
      </c>
      <c r="K16" s="429">
        <f t="shared" si="2"/>
        <v>8.3146067415730343E-2</v>
      </c>
      <c r="L16" s="429">
        <f t="shared" si="2"/>
        <v>9.8876404494382023E-2</v>
      </c>
      <c r="M16" s="429" t="str">
        <f t="shared" si="2"/>
        <v>-</v>
      </c>
      <c r="N16" s="429" t="str">
        <f t="shared" si="2"/>
        <v>-</v>
      </c>
      <c r="O16" s="429" t="str">
        <f t="shared" si="2"/>
        <v>-</v>
      </c>
      <c r="P16" s="429" t="str">
        <f t="shared" si="2"/>
        <v>-</v>
      </c>
      <c r="Q16" s="429">
        <f t="shared" si="2"/>
        <v>2.4719101123595506E-2</v>
      </c>
      <c r="R16" s="429">
        <f t="shared" si="2"/>
        <v>7.1910112359550568E-2</v>
      </c>
      <c r="S16" s="429">
        <f t="shared" si="2"/>
        <v>9.4382022471910118E-2</v>
      </c>
      <c r="T16" s="429">
        <f t="shared" si="2"/>
        <v>2.2471910112359553E-3</v>
      </c>
      <c r="U16" s="429" t="str">
        <f t="shared" si="2"/>
        <v>-</v>
      </c>
      <c r="V16" s="430">
        <f>SUM(B16:U16)</f>
        <v>1</v>
      </c>
    </row>
    <row r="17" spans="1:22" ht="4.5" customHeight="1"/>
    <row r="18" spans="1:22" ht="21.75" customHeight="1">
      <c r="A18" s="952" t="s">
        <v>305</v>
      </c>
      <c r="B18" s="953"/>
      <c r="C18" s="953"/>
      <c r="D18" s="953"/>
      <c r="E18" s="953"/>
      <c r="F18" s="953"/>
      <c r="G18" s="953"/>
      <c r="H18" s="953"/>
      <c r="I18" s="953"/>
      <c r="J18" s="953"/>
      <c r="K18" s="953"/>
      <c r="L18" s="953"/>
      <c r="M18" s="953"/>
      <c r="N18" s="953"/>
      <c r="O18" s="953"/>
      <c r="P18" s="953"/>
      <c r="Q18" s="953"/>
      <c r="R18" s="953"/>
      <c r="S18" s="953"/>
      <c r="T18" s="953"/>
      <c r="U18" s="953"/>
      <c r="V18" s="953"/>
    </row>
    <row r="19" spans="1:22" ht="19.5" customHeight="1">
      <c r="A19" s="431" t="s">
        <v>306</v>
      </c>
      <c r="B19" s="432">
        <f t="shared" ref="B19:U19" si="3">B7</f>
        <v>153</v>
      </c>
      <c r="C19" s="432">
        <f t="shared" si="3"/>
        <v>69</v>
      </c>
      <c r="D19" s="432">
        <f t="shared" si="3"/>
        <v>66</v>
      </c>
      <c r="E19" s="432">
        <f t="shared" si="3"/>
        <v>53</v>
      </c>
      <c r="F19" s="432">
        <f t="shared" si="3"/>
        <v>101</v>
      </c>
      <c r="G19" s="432">
        <f t="shared" si="3"/>
        <v>241</v>
      </c>
      <c r="H19" s="432">
        <f t="shared" si="3"/>
        <v>49</v>
      </c>
      <c r="I19" s="432">
        <f t="shared" si="3"/>
        <v>50</v>
      </c>
      <c r="J19" s="432">
        <f t="shared" si="3"/>
        <v>31</v>
      </c>
      <c r="K19" s="432">
        <f t="shared" si="3"/>
        <v>86</v>
      </c>
      <c r="L19" s="432">
        <f t="shared" si="3"/>
        <v>93</v>
      </c>
      <c r="M19" s="432">
        <f t="shared" si="3"/>
        <v>97</v>
      </c>
      <c r="N19" s="432">
        <f t="shared" si="3"/>
        <v>50</v>
      </c>
      <c r="O19" s="432">
        <f t="shared" si="3"/>
        <v>58</v>
      </c>
      <c r="P19" s="432">
        <f t="shared" si="3"/>
        <v>77</v>
      </c>
      <c r="Q19" s="432">
        <f t="shared" si="3"/>
        <v>99</v>
      </c>
      <c r="R19" s="432">
        <f t="shared" si="3"/>
        <v>99</v>
      </c>
      <c r="S19" s="432">
        <f t="shared" si="3"/>
        <v>97</v>
      </c>
      <c r="T19" s="432">
        <f t="shared" si="3"/>
        <v>23</v>
      </c>
      <c r="U19" s="432">
        <f t="shared" si="3"/>
        <v>0</v>
      </c>
      <c r="V19" s="433">
        <f>V7</f>
        <v>1592</v>
      </c>
    </row>
    <row r="20" spans="1:22" ht="19.5" customHeight="1">
      <c r="A20" s="434" t="s">
        <v>307</v>
      </c>
      <c r="B20" s="435" cm="1">
        <f t="array" ref="B20">SUMPRODUCT((SVB!$S$2:$S$740&gt;=B80)*(SVB!$S$2:$S$740&lt;=B81)*(ISNUMBER(SVB!$M$2:$M$740))*(SVB!$M$2:$M$740))</f>
        <v>179</v>
      </c>
      <c r="C20" s="435" cm="1">
        <f t="array" ref="C20">SUMPRODUCT((SVB!$S$2:$S$740&gt;=C80)*(SVB!$S$2:$S$740&lt;=C81)*(ISNUMBER(SVB!$M$2:$M$740))*(SVB!$M$2:$M$740))</f>
        <v>45</v>
      </c>
      <c r="D20" s="435" cm="1">
        <f t="array" ref="D20">SUMPRODUCT((SVB!$S$2:$S$740&gt;=D80)*(SVB!$S$2:$S$740&lt;=D81)*(ISNUMBER(SVB!$M$2:$M$740))*(SVB!$M$2:$M$740))</f>
        <v>64</v>
      </c>
      <c r="E20" s="435" cm="1">
        <f t="array" ref="E20">SUMPRODUCT((SVB!$S$2:$S$740&gt;=E80)*(SVB!$S$2:$S$740&lt;=E81)*(ISNUMBER(SVB!$M$2:$M$740))*(SVB!$M$2:$M$740))</f>
        <v>51</v>
      </c>
      <c r="F20" s="435" cm="1">
        <f t="array" ref="F20">SUMPRODUCT((SVB!$S$2:$S$740&gt;=F80)*(SVB!$S$2:$S$740&lt;=F81)*(ISNUMBER(SVB!$M$2:$M$740))*(SVB!$M$2:$M$740))</f>
        <v>120</v>
      </c>
      <c r="G20" s="435" cm="1">
        <f t="array" ref="G20">SUMPRODUCT((SVB!$S$2:$S$740&gt;=G80)*(SVB!$S$2:$S$740&lt;=G81)*(ISNUMBER(SVB!$M$2:$M$740))*(SVB!$M$2:$M$740))</f>
        <v>0</v>
      </c>
      <c r="H20" s="435" cm="1">
        <f t="array" ref="H20">SUMPRODUCT((SVB!$S$2:$S$740&gt;=H80)*(SVB!$S$2:$S$740&lt;=H81)*(ISNUMBER(SVB!$M$2:$M$740))*(SVB!$M$2:$M$740))</f>
        <v>0</v>
      </c>
      <c r="I20" s="435" cm="1">
        <f t="array" ref="I20">SUMPRODUCT((SVB!$S$2:$S$740&gt;=I80)*(SVB!$S$2:$S$740&lt;=I81)*(ISNUMBER(SVB!$M$2:$M$740))*(SVB!$M$2:$M$740))</f>
        <v>0</v>
      </c>
      <c r="J20" s="435" cm="1">
        <f t="array" ref="J20">SUMPRODUCT((SVB!$S$2:$S$740&gt;=J80)*(SVB!$S$2:$S$740&lt;=J81)*(ISNUMBER(SVB!$M$2:$M$740))*(SVB!$M$2:$M$740))</f>
        <v>0</v>
      </c>
      <c r="K20" s="435" cm="1">
        <f t="array" ref="K20">SUMPRODUCT((SVB!$S$2:$S$740&gt;=K80)*(SVB!$S$2:$S$740&lt;=K81)*(ISNUMBER(SVB!$M$2:$M$740))*(SVB!$M$2:$M$740))</f>
        <v>0</v>
      </c>
      <c r="L20" s="435" cm="1">
        <f t="array" ref="L20">SUMPRODUCT((SVB!$S$2:$S$740&gt;=L80)*(SVB!$S$2:$S$740&lt;=L81)*(ISNUMBER(SVB!$M$2:$M$740))*(SVB!$M$2:$M$740))</f>
        <v>0</v>
      </c>
      <c r="M20" s="435" cm="1">
        <f t="array" ref="M20">SUMPRODUCT((SVB!$S$2:$S$740&gt;=M80)*(SVB!$S$2:$S$740&lt;=M81)*(ISNUMBER(SVB!$M$2:$M$740))*(SVB!$M$2:$M$740))</f>
        <v>0</v>
      </c>
      <c r="N20" s="435" cm="1">
        <f t="array" ref="N20">SUMPRODUCT((SVB!$S$2:$S$740&gt;=N80)*(SVB!$S$2:$S$740&lt;=N81)*(ISNUMBER(SVB!$M$2:$M$740))*(SVB!$M$2:$M$740))</f>
        <v>0</v>
      </c>
      <c r="O20" s="435" cm="1">
        <f t="array" ref="O20">SUMPRODUCT((SVB!$S$2:$S$740&gt;=O80)*(SVB!$S$2:$S$740&lt;=O81)*(ISNUMBER(SVB!$M$2:$M$740))*(SVB!$M$2:$M$740))</f>
        <v>0</v>
      </c>
      <c r="P20" s="435" cm="1">
        <f t="array" ref="P20">SUMPRODUCT((SVB!$S$2:$S$740&gt;=P80)*(SVB!$S$2:$S$740&lt;=P81)*(ISNUMBER(SVB!$M$2:$M$740))*(SVB!$M$2:$M$740))</f>
        <v>0</v>
      </c>
      <c r="Q20" s="435" cm="1">
        <f t="array" ref="Q20">SUMPRODUCT((SVB!$S$2:$S$740&gt;=Q80)*(SVB!$S$2:$S$740&lt;=Q81)*(ISNUMBER(SVB!$M$2:$M$740))*(SVB!$M$2:$M$740))</f>
        <v>0</v>
      </c>
      <c r="R20" s="435" cm="1">
        <f t="array" ref="R20">SUMPRODUCT((SVB!$S$2:$S$740&gt;=R80)*(SVB!$S$2:$S$740&lt;=R81)*(ISNUMBER(SVB!$M$2:$M$740))*(SVB!$M$2:$M$740))</f>
        <v>0</v>
      </c>
      <c r="S20" s="435" cm="1">
        <f t="array" ref="S20">SUMPRODUCT((SVB!$S$2:$S$740&gt;=S80)*(SVB!$S$2:$S$740&lt;=S81)*(ISNUMBER(SVB!$M$2:$M$740))*(SVB!$M$2:$M$740))</f>
        <v>0</v>
      </c>
      <c r="T20" s="435" cm="1">
        <f t="array" ref="T20">SUMPRODUCT((SVB!$S$2:$S$740&gt;=T80)*(SVB!$S$2:$S$740&lt;=T81)*(ISNUMBER(SVB!$M$2:$M$740))*(SVB!$M$2:$M$740))</f>
        <v>0</v>
      </c>
      <c r="U20" s="435" cm="1">
        <f t="array" ref="U20">SUMPRODUCT((SVB!$S$2:$S$740&gt;=U80)*(SVB!$S$2:$S$740&lt;=U81)*(ISNUMBER(SVB!$M$2:$M$740))*(SVB!$M$2:$M$740))</f>
        <v>0</v>
      </c>
      <c r="V20" s="433">
        <f>SUM(B20:U20)</f>
        <v>459</v>
      </c>
    </row>
    <row r="21" spans="1:22" ht="19.5" customHeight="1">
      <c r="A21" s="436" t="s">
        <v>308</v>
      </c>
      <c r="B21" s="437">
        <f>IF(B19=0,IF(B20=0,"-","100%"),B20/B19)</f>
        <v>1.1699346405228759</v>
      </c>
      <c r="C21" s="437">
        <f t="shared" ref="C21:U21" si="4">IF(C19=0,IF(C20=0,"-","100%"),C20/C19)</f>
        <v>0.65217391304347827</v>
      </c>
      <c r="D21" s="437">
        <f t="shared" si="4"/>
        <v>0.96969696969696972</v>
      </c>
      <c r="E21" s="437">
        <f t="shared" si="4"/>
        <v>0.96226415094339623</v>
      </c>
      <c r="F21" s="437">
        <f t="shared" si="4"/>
        <v>1.1881188118811881</v>
      </c>
      <c r="G21" s="437">
        <f t="shared" si="4"/>
        <v>0</v>
      </c>
      <c r="H21" s="437">
        <f t="shared" si="4"/>
        <v>0</v>
      </c>
      <c r="I21" s="437">
        <f t="shared" si="4"/>
        <v>0</v>
      </c>
      <c r="J21" s="437">
        <f t="shared" si="4"/>
        <v>0</v>
      </c>
      <c r="K21" s="437">
        <f t="shared" si="4"/>
        <v>0</v>
      </c>
      <c r="L21" s="437">
        <f t="shared" si="4"/>
        <v>0</v>
      </c>
      <c r="M21" s="437">
        <f t="shared" si="4"/>
        <v>0</v>
      </c>
      <c r="N21" s="437">
        <f t="shared" si="4"/>
        <v>0</v>
      </c>
      <c r="O21" s="437">
        <f t="shared" si="4"/>
        <v>0</v>
      </c>
      <c r="P21" s="437">
        <f t="shared" si="4"/>
        <v>0</v>
      </c>
      <c r="Q21" s="437">
        <f t="shared" si="4"/>
        <v>0</v>
      </c>
      <c r="R21" s="437">
        <f t="shared" si="4"/>
        <v>0</v>
      </c>
      <c r="S21" s="437">
        <f t="shared" si="4"/>
        <v>0</v>
      </c>
      <c r="T21" s="437">
        <f t="shared" si="4"/>
        <v>0</v>
      </c>
      <c r="U21" s="437" t="str">
        <f t="shared" si="4"/>
        <v>-</v>
      </c>
      <c r="V21" s="430">
        <f>IF(V19=0,"-",V20/V19)</f>
        <v>0.28831658291457285</v>
      </c>
    </row>
    <row r="22" spans="1:22" ht="4.5" customHeight="1"/>
    <row r="23" spans="1:22" ht="21.75" customHeight="1">
      <c r="A23" s="954" t="s">
        <v>309</v>
      </c>
      <c r="B23" s="955"/>
      <c r="C23" s="955"/>
      <c r="D23" s="955"/>
      <c r="E23" s="955"/>
      <c r="F23" s="955"/>
      <c r="G23" s="955"/>
      <c r="H23" s="955"/>
      <c r="I23" s="955"/>
      <c r="J23" s="955"/>
      <c r="K23" s="955"/>
      <c r="L23" s="955"/>
      <c r="M23" s="955"/>
      <c r="N23" s="955"/>
      <c r="O23" s="955"/>
      <c r="P23" s="955"/>
      <c r="Q23" s="955"/>
      <c r="R23" s="955"/>
      <c r="S23" s="955"/>
      <c r="T23" s="955"/>
      <c r="U23" s="955"/>
      <c r="V23" s="955"/>
    </row>
    <row r="24" spans="1:22" ht="19.5" customHeight="1">
      <c r="A24" s="431" t="s">
        <v>306</v>
      </c>
      <c r="B24" s="432">
        <f t="shared" ref="B24:U24" si="5">B7</f>
        <v>153</v>
      </c>
      <c r="C24" s="432">
        <f t="shared" si="5"/>
        <v>69</v>
      </c>
      <c r="D24" s="432">
        <f t="shared" si="5"/>
        <v>66</v>
      </c>
      <c r="E24" s="432">
        <f t="shared" si="5"/>
        <v>53</v>
      </c>
      <c r="F24" s="432">
        <f t="shared" si="5"/>
        <v>101</v>
      </c>
      <c r="G24" s="432">
        <f t="shared" si="5"/>
        <v>241</v>
      </c>
      <c r="H24" s="432">
        <f t="shared" si="5"/>
        <v>49</v>
      </c>
      <c r="I24" s="432">
        <f t="shared" si="5"/>
        <v>50</v>
      </c>
      <c r="J24" s="432">
        <f t="shared" si="5"/>
        <v>31</v>
      </c>
      <c r="K24" s="432">
        <f t="shared" si="5"/>
        <v>86</v>
      </c>
      <c r="L24" s="432">
        <f t="shared" si="5"/>
        <v>93</v>
      </c>
      <c r="M24" s="432">
        <f t="shared" si="5"/>
        <v>97</v>
      </c>
      <c r="N24" s="432">
        <f t="shared" si="5"/>
        <v>50</v>
      </c>
      <c r="O24" s="432">
        <f t="shared" si="5"/>
        <v>58</v>
      </c>
      <c r="P24" s="432">
        <f t="shared" si="5"/>
        <v>77</v>
      </c>
      <c r="Q24" s="432">
        <f t="shared" si="5"/>
        <v>99</v>
      </c>
      <c r="R24" s="432">
        <f t="shared" si="5"/>
        <v>99</v>
      </c>
      <c r="S24" s="432">
        <f t="shared" si="5"/>
        <v>97</v>
      </c>
      <c r="T24" s="432">
        <f t="shared" si="5"/>
        <v>23</v>
      </c>
      <c r="U24" s="432">
        <f t="shared" si="5"/>
        <v>0</v>
      </c>
      <c r="V24" s="433">
        <f t="shared" ref="V24" si="6">V7</f>
        <v>1592</v>
      </c>
    </row>
    <row r="25" spans="1:22" ht="19.5" customHeight="1">
      <c r="A25" s="434" t="s">
        <v>307</v>
      </c>
      <c r="B25" s="435" cm="1">
        <f t="array" ref="B25">SUMPRODUCT((SVB!$S$2:$S$740&gt;=B80)*(SVB!$S$2:$S$740&lt;=B81)*(ISNUMBER(SVB!$N$2:$N$740))*(SVB!$N$2:$N$740))</f>
        <v>179</v>
      </c>
      <c r="C25" s="435" cm="1">
        <f t="array" ref="C25">SUMPRODUCT((SVB!$S$2:$S$740&gt;=C80)*(SVB!$S$2:$S$740&lt;=C81)*(ISNUMBER(SVB!$N$2:$N$740))*(SVB!$N$2:$N$740))</f>
        <v>45</v>
      </c>
      <c r="D25" s="435" cm="1">
        <f t="array" ref="D25">SUMPRODUCT((SVB!$S$2:$S$740&gt;=D80)*(SVB!$S$2:$S$740&lt;=D81)*(ISNUMBER(SVB!$N$2:$N$740))*(SVB!$N$2:$N$740))</f>
        <v>64</v>
      </c>
      <c r="E25" s="435" cm="1">
        <f t="array" ref="E25">SUMPRODUCT((SVB!$S$2:$S$740&gt;=E80)*(SVB!$S$2:$S$740&lt;=E81)*(ISNUMBER(SVB!$N$2:$N$740))*(SVB!$N$2:$N$740))</f>
        <v>51</v>
      </c>
      <c r="F25" s="435" cm="1">
        <f t="array" ref="F25">SUMPRODUCT((SVB!$S$2:$S$740&gt;=F80)*(SVB!$S$2:$S$740&lt;=F81)*(ISNUMBER(SVB!$N$2:$N$740))*(SVB!$N$2:$N$740))</f>
        <v>120</v>
      </c>
      <c r="G25" s="435" cm="1">
        <f t="array" ref="G25">SUMPRODUCT((SVB!$S$2:$S$740&gt;=G80)*(SVB!$S$2:$S$740&lt;=G81)*(ISNUMBER(SVB!$N$2:$N$740))*(SVB!$N$2:$N$740))</f>
        <v>0</v>
      </c>
      <c r="H25" s="435" cm="1">
        <f t="array" ref="H25">SUMPRODUCT((SVB!$S$2:$S$740&gt;=H80)*(SVB!$S$2:$S$740&lt;=H81)*(ISNUMBER(SVB!$N$2:$N$740))*(SVB!$N$2:$N$740))</f>
        <v>0</v>
      </c>
      <c r="I25" s="435" cm="1">
        <f t="array" ref="I25">SUMPRODUCT((SVB!$S$2:$S$740&gt;=I80)*(SVB!$S$2:$S$740&lt;=I81)*(ISNUMBER(SVB!$N$2:$N$740))*(SVB!$N$2:$N$740))</f>
        <v>0</v>
      </c>
      <c r="J25" s="435" cm="1">
        <f t="array" ref="J25">SUMPRODUCT((SVB!$S$2:$S$740&gt;=J80)*(SVB!$S$2:$S$740&lt;=J81)*(ISNUMBER(SVB!$N$2:$N$740))*(SVB!$N$2:$N$740))</f>
        <v>0</v>
      </c>
      <c r="K25" s="435" cm="1">
        <f t="array" ref="K25">SUMPRODUCT((SVB!$S$2:$S$740&gt;=K80)*(SVB!$S$2:$S$740&lt;=K81)*(ISNUMBER(SVB!$N$2:$N$740))*(SVB!$N$2:$N$740))</f>
        <v>0</v>
      </c>
      <c r="L25" s="435" cm="1">
        <f t="array" ref="L25">SUMPRODUCT((SVB!$S$2:$S$740&gt;=L80)*(SVB!$S$2:$S$740&lt;=L81)*(ISNUMBER(SVB!$N$2:$N$740))*(SVB!$N$2:$N$740))</f>
        <v>0</v>
      </c>
      <c r="M25" s="435" cm="1">
        <f t="array" ref="M25">SUMPRODUCT((SVB!$S$2:$S$740&gt;=M80)*(SVB!$S$2:$S$740&lt;=M81)*(ISNUMBER(SVB!$N$2:$N$740))*(SVB!$N$2:$N$740))</f>
        <v>0</v>
      </c>
      <c r="N25" s="435" cm="1">
        <f t="array" ref="N25">SUMPRODUCT((SVB!$S$2:$S$740&gt;=N80)*(SVB!$S$2:$S$740&lt;=N81)*(ISNUMBER(SVB!$N$2:$N$740))*(SVB!$N$2:$N$740))</f>
        <v>0</v>
      </c>
      <c r="O25" s="435" cm="1">
        <f t="array" ref="O25">SUMPRODUCT((SVB!$S$2:$S$740&gt;=O80)*(SVB!$S$2:$S$740&lt;=O81)*(ISNUMBER(SVB!$N$2:$N$740))*(SVB!$N$2:$N$740))</f>
        <v>0</v>
      </c>
      <c r="P25" s="435" cm="1">
        <f t="array" ref="P25">SUMPRODUCT((SVB!$S$2:$S$740&gt;=P80)*(SVB!$S$2:$S$740&lt;=P81)*(ISNUMBER(SVB!$N$2:$N$740))*(SVB!$N$2:$N$740))</f>
        <v>0</v>
      </c>
      <c r="Q25" s="435" cm="1">
        <f t="array" ref="Q25">SUMPRODUCT((SVB!$S$2:$S$740&gt;=Q80)*(SVB!$S$2:$S$740&lt;=Q81)*(ISNUMBER(SVB!$N$2:$N$740))*(SVB!$N$2:$N$740))</f>
        <v>0</v>
      </c>
      <c r="R25" s="435" cm="1">
        <f t="array" ref="R25">SUMPRODUCT((SVB!$S$2:$S$740&gt;=R80)*(SVB!$S$2:$S$740&lt;=R81)*(ISNUMBER(SVB!$N$2:$N$740))*(SVB!$N$2:$N$740))</f>
        <v>0</v>
      </c>
      <c r="S25" s="435" cm="1">
        <f t="array" ref="S25">SUMPRODUCT((SVB!$S$2:$S$740&gt;=S80)*(SVB!$S$2:$S$740&lt;=S81)*(ISNUMBER(SVB!$N$2:$N$740))*(SVB!$N$2:$N$740))</f>
        <v>0</v>
      </c>
      <c r="T25" s="435" cm="1">
        <f t="array" ref="T25">SUMPRODUCT((SVB!$S$2:$S$740&gt;=T80)*(SVB!$S$2:$S$740&lt;=T81)*(ISNUMBER(SVB!$N$2:$N$740))*(SVB!$N$2:$N$740))</f>
        <v>0</v>
      </c>
      <c r="U25" s="435" cm="1">
        <f t="array" ref="U25">SUMPRODUCT((SVB!$S$2:$S$740&gt;=U80)*(SVB!$S$2:$S$740&lt;=U81)*(ISNUMBER(SVB!$N$2:$N$740))*(SVB!$N$2:$N$740))</f>
        <v>0</v>
      </c>
      <c r="V25" s="433">
        <f>SUM(B25:U25)</f>
        <v>459</v>
      </c>
    </row>
    <row r="26" spans="1:22" ht="19.5" customHeight="1">
      <c r="A26" s="436" t="s">
        <v>310</v>
      </c>
      <c r="B26" s="437">
        <f t="shared" ref="B26:U26" si="7">IF(B24=0,IF(B25=0,"-","100%"),B25/B24)</f>
        <v>1.1699346405228759</v>
      </c>
      <c r="C26" s="437">
        <f t="shared" si="7"/>
        <v>0.65217391304347827</v>
      </c>
      <c r="D26" s="437">
        <f t="shared" si="7"/>
        <v>0.96969696969696972</v>
      </c>
      <c r="E26" s="437">
        <f t="shared" si="7"/>
        <v>0.96226415094339623</v>
      </c>
      <c r="F26" s="437">
        <f t="shared" si="7"/>
        <v>1.1881188118811881</v>
      </c>
      <c r="G26" s="437">
        <f t="shared" si="7"/>
        <v>0</v>
      </c>
      <c r="H26" s="437">
        <f t="shared" si="7"/>
        <v>0</v>
      </c>
      <c r="I26" s="437">
        <f t="shared" si="7"/>
        <v>0</v>
      </c>
      <c r="J26" s="437">
        <f t="shared" si="7"/>
        <v>0</v>
      </c>
      <c r="K26" s="437">
        <f t="shared" si="7"/>
        <v>0</v>
      </c>
      <c r="L26" s="437">
        <f t="shared" si="7"/>
        <v>0</v>
      </c>
      <c r="M26" s="437">
        <f t="shared" si="7"/>
        <v>0</v>
      </c>
      <c r="N26" s="437">
        <f t="shared" si="7"/>
        <v>0</v>
      </c>
      <c r="O26" s="437">
        <f t="shared" si="7"/>
        <v>0</v>
      </c>
      <c r="P26" s="437">
        <f t="shared" si="7"/>
        <v>0</v>
      </c>
      <c r="Q26" s="437">
        <f t="shared" si="7"/>
        <v>0</v>
      </c>
      <c r="R26" s="437">
        <f t="shared" si="7"/>
        <v>0</v>
      </c>
      <c r="S26" s="437">
        <f t="shared" si="7"/>
        <v>0</v>
      </c>
      <c r="T26" s="437">
        <f t="shared" si="7"/>
        <v>0</v>
      </c>
      <c r="U26" s="437" t="str">
        <f t="shared" si="7"/>
        <v>-</v>
      </c>
      <c r="V26" s="430">
        <f>IF(V24=0,"-",V25/V24)</f>
        <v>0.28831658291457285</v>
      </c>
    </row>
    <row r="27" spans="1:22" ht="4.5" customHeight="1"/>
    <row r="28" spans="1:22" ht="21.75" customHeight="1">
      <c r="A28" s="942" t="s">
        <v>311</v>
      </c>
      <c r="B28" s="943"/>
      <c r="C28" s="943"/>
      <c r="D28" s="943"/>
      <c r="E28" s="943"/>
      <c r="F28" s="943"/>
      <c r="G28" s="943"/>
      <c r="H28" s="943"/>
      <c r="I28" s="943"/>
      <c r="J28" s="943"/>
      <c r="K28" s="943"/>
      <c r="L28" s="943"/>
      <c r="M28" s="943"/>
      <c r="N28" s="943"/>
      <c r="O28" s="943"/>
      <c r="P28" s="943"/>
      <c r="Q28" s="943"/>
      <c r="R28" s="943"/>
      <c r="S28" s="943"/>
      <c r="T28" s="943"/>
      <c r="U28" s="943"/>
      <c r="V28" s="943"/>
    </row>
    <row r="29" spans="1:22" ht="19.5" customHeight="1">
      <c r="A29" s="431" t="s">
        <v>306</v>
      </c>
      <c r="B29" s="432">
        <f t="shared" ref="B29:U29" si="8">B7</f>
        <v>153</v>
      </c>
      <c r="C29" s="432">
        <f t="shared" si="8"/>
        <v>69</v>
      </c>
      <c r="D29" s="432">
        <f t="shared" si="8"/>
        <v>66</v>
      </c>
      <c r="E29" s="432">
        <f t="shared" si="8"/>
        <v>53</v>
      </c>
      <c r="F29" s="432">
        <f t="shared" si="8"/>
        <v>101</v>
      </c>
      <c r="G29" s="432">
        <f t="shared" si="8"/>
        <v>241</v>
      </c>
      <c r="H29" s="432">
        <f t="shared" si="8"/>
        <v>49</v>
      </c>
      <c r="I29" s="432">
        <f t="shared" si="8"/>
        <v>50</v>
      </c>
      <c r="J29" s="432">
        <f t="shared" si="8"/>
        <v>31</v>
      </c>
      <c r="K29" s="432">
        <f t="shared" si="8"/>
        <v>86</v>
      </c>
      <c r="L29" s="432">
        <f t="shared" si="8"/>
        <v>93</v>
      </c>
      <c r="M29" s="432">
        <f t="shared" si="8"/>
        <v>97</v>
      </c>
      <c r="N29" s="432">
        <f t="shared" si="8"/>
        <v>50</v>
      </c>
      <c r="O29" s="432">
        <f t="shared" si="8"/>
        <v>58</v>
      </c>
      <c r="P29" s="432">
        <f t="shared" si="8"/>
        <v>77</v>
      </c>
      <c r="Q29" s="432">
        <f t="shared" si="8"/>
        <v>99</v>
      </c>
      <c r="R29" s="432">
        <f t="shared" si="8"/>
        <v>99</v>
      </c>
      <c r="S29" s="432">
        <f t="shared" si="8"/>
        <v>97</v>
      </c>
      <c r="T29" s="432">
        <f t="shared" si="8"/>
        <v>23</v>
      </c>
      <c r="U29" s="432">
        <f t="shared" si="8"/>
        <v>0</v>
      </c>
      <c r="V29" s="433">
        <f>V7</f>
        <v>1592</v>
      </c>
    </row>
    <row r="30" spans="1:22" ht="19.5" customHeight="1">
      <c r="A30" s="434" t="s">
        <v>307</v>
      </c>
      <c r="B30" s="435" cm="1">
        <f t="array" ref="B30">SUMPRODUCT((SVB!$S$2:$S$740&gt;=B80)*(SVB!$S$2:$S$740&lt;=B81)*(ISNUMBER(SVB!$O$2:$O$740))*(SVB!$O$2:$O$740))</f>
        <v>179</v>
      </c>
      <c r="C30" s="435" cm="1">
        <f t="array" ref="C30">SUMPRODUCT((SVB!$S$2:$S$740&gt;=C80)*(SVB!$S$2:$S$740&lt;=C81)*(ISNUMBER(SVB!$O$2:$O$740))*(SVB!$O$2:$O$740))</f>
        <v>45</v>
      </c>
      <c r="D30" s="435" cm="1">
        <f t="array" ref="D30">SUMPRODUCT((SVB!$S$2:$S$740&gt;=D80)*(SVB!$S$2:$S$740&lt;=D81)*(ISNUMBER(SVB!$O$2:$O$740))*(SVB!$O$2:$O$740))</f>
        <v>64</v>
      </c>
      <c r="E30" s="435" cm="1">
        <f t="array" ref="E30">SUMPRODUCT((SVB!$S$2:$S$740&gt;=E80)*(SVB!$S$2:$S$740&lt;=E81)*(ISNUMBER(SVB!$O$2:$O$740))*(SVB!$O$2:$O$740))</f>
        <v>51</v>
      </c>
      <c r="F30" s="435" cm="1">
        <f t="array" ref="F30">SUMPRODUCT((SVB!$S$2:$S$740&gt;=F80)*(SVB!$S$2:$S$740&lt;=F81)*(ISNUMBER(SVB!$O$2:$O$740))*(SVB!$O$2:$O$740))</f>
        <v>120</v>
      </c>
      <c r="G30" s="435" cm="1">
        <f t="array" ref="G30">SUMPRODUCT((SVB!$S$2:$S$740&gt;=G80)*(SVB!$S$2:$S$740&lt;=G81)*(ISNUMBER(SVB!$O$2:$O$740))*(SVB!$O$2:$O$740))</f>
        <v>0</v>
      </c>
      <c r="H30" s="435" cm="1">
        <f t="array" ref="H30">SUMPRODUCT((SVB!$S$2:$S$740&gt;=H80)*(SVB!$S$2:$S$740&lt;=H81)*(ISNUMBER(SVB!$O$2:$O$740))*(SVB!$O$2:$O$740))</f>
        <v>0</v>
      </c>
      <c r="I30" s="435" cm="1">
        <f t="array" ref="I30">SUMPRODUCT((SVB!$S$2:$S$740&gt;=I80)*(SVB!$S$2:$S$740&lt;=I81)*(ISNUMBER(SVB!$O$2:$O$740))*(SVB!$O$2:$O$740))</f>
        <v>0</v>
      </c>
      <c r="J30" s="435" cm="1">
        <f t="array" ref="J30">SUMPRODUCT((SVB!$S$2:$S$740&gt;=J80)*(SVB!$S$2:$S$740&lt;=J81)*(ISNUMBER(SVB!$O$2:$O$740))*(SVB!$O$2:$O$740))</f>
        <v>0</v>
      </c>
      <c r="K30" s="435" cm="1">
        <f t="array" ref="K30">SUMPRODUCT((SVB!$S$2:$S$740&gt;=K80)*(SVB!$S$2:$S$740&lt;=K81)*(ISNUMBER(SVB!$O$2:$O$740))*(SVB!$O$2:$O$740))</f>
        <v>0</v>
      </c>
      <c r="L30" s="435" cm="1">
        <f t="array" ref="L30">SUMPRODUCT((SVB!$S$2:$S$740&gt;=L80)*(SVB!$S$2:$S$740&lt;=L81)*(ISNUMBER(SVB!$O$2:$O$740))*(SVB!$O$2:$O$740))</f>
        <v>0</v>
      </c>
      <c r="M30" s="435" cm="1">
        <f t="array" ref="M30">SUMPRODUCT((SVB!$S$2:$S$740&gt;=M80)*(SVB!$S$2:$S$740&lt;=M81)*(ISNUMBER(SVB!$O$2:$O$740))*(SVB!$O$2:$O$740))</f>
        <v>0</v>
      </c>
      <c r="N30" s="435" cm="1">
        <f t="array" ref="N30">SUMPRODUCT((SVB!$S$2:$S$740&gt;=N80)*(SVB!$S$2:$S$740&lt;=N81)*(ISNUMBER(SVB!$O$2:$O$740))*(SVB!$O$2:$O$740))</f>
        <v>0</v>
      </c>
      <c r="O30" s="435" cm="1">
        <f t="array" ref="O30">SUMPRODUCT((SVB!$S$2:$S$740&gt;=O80)*(SVB!$S$2:$S$740&lt;=O81)*(ISNUMBER(SVB!$O$2:$O$740))*(SVB!$O$2:$O$740))</f>
        <v>0</v>
      </c>
      <c r="P30" s="435" cm="1">
        <f t="array" ref="P30">SUMPRODUCT((SVB!$S$2:$S$740&gt;=P80)*(SVB!$S$2:$S$740&lt;=P81)*(ISNUMBER(SVB!$O$2:$O$740))*(SVB!$O$2:$O$740))</f>
        <v>0</v>
      </c>
      <c r="Q30" s="435" cm="1">
        <f t="array" ref="Q30">SUMPRODUCT((SVB!$S$2:$S$740&gt;=Q80)*(SVB!$S$2:$S$740&lt;=Q81)*(ISNUMBER(SVB!$O$2:$O$740))*(SVB!$O$2:$O$740))</f>
        <v>0</v>
      </c>
      <c r="R30" s="435" cm="1">
        <f t="array" ref="R30">SUMPRODUCT((SVB!$S$2:$S$740&gt;=R80)*(SVB!$S$2:$S$740&lt;=R81)*(ISNUMBER(SVB!$O$2:$O$740))*(SVB!$O$2:$O$740))</f>
        <v>0</v>
      </c>
      <c r="S30" s="435" cm="1">
        <f t="array" ref="S30">SUMPRODUCT((SVB!$S$2:$S$740&gt;=S80)*(SVB!$S$2:$S$740&lt;=S81)*(ISNUMBER(SVB!$O$2:$O$740))*(SVB!$O$2:$O$740))</f>
        <v>0</v>
      </c>
      <c r="T30" s="435" cm="1">
        <f t="array" ref="T30">SUMPRODUCT((SVB!$S$2:$S$740&gt;=T80)*(SVB!$S$2:$S$740&lt;=T81)*(ISNUMBER(SVB!$O$2:$O$740))*(SVB!$O$2:$O$740))</f>
        <v>0</v>
      </c>
      <c r="U30" s="435" cm="1">
        <f t="array" ref="U30">SUMPRODUCT((SVB!$S$2:$S$740&gt;=U80)*(SVB!$S$2:$S$740&lt;=U81)*(ISNUMBER(SVB!$O$2:$O$740))*(SVB!$O$2:$O$740))</f>
        <v>0</v>
      </c>
      <c r="V30" s="433">
        <f>SUM(B30:U30)</f>
        <v>459</v>
      </c>
    </row>
    <row r="31" spans="1:22" ht="19.5" customHeight="1">
      <c r="A31" s="440" t="s">
        <v>312</v>
      </c>
      <c r="B31" s="441">
        <f>MAX(B30-B29,0)</f>
        <v>26</v>
      </c>
      <c r="C31" s="441">
        <f t="shared" ref="C31:Q31" si="9">MAX(C30-C29,0)</f>
        <v>0</v>
      </c>
      <c r="D31" s="441">
        <f t="shared" si="9"/>
        <v>0</v>
      </c>
      <c r="E31" s="441">
        <f t="shared" si="9"/>
        <v>0</v>
      </c>
      <c r="F31" s="441">
        <f t="shared" si="9"/>
        <v>19</v>
      </c>
      <c r="G31" s="441">
        <f t="shared" si="9"/>
        <v>0</v>
      </c>
      <c r="H31" s="441">
        <f t="shared" si="9"/>
        <v>0</v>
      </c>
      <c r="I31" s="441">
        <f t="shared" si="9"/>
        <v>0</v>
      </c>
      <c r="J31" s="441">
        <f t="shared" si="9"/>
        <v>0</v>
      </c>
      <c r="K31" s="441">
        <f t="shared" si="9"/>
        <v>0</v>
      </c>
      <c r="L31" s="441">
        <f t="shared" si="9"/>
        <v>0</v>
      </c>
      <c r="M31" s="441">
        <f t="shared" si="9"/>
        <v>0</v>
      </c>
      <c r="N31" s="441">
        <f t="shared" si="9"/>
        <v>0</v>
      </c>
      <c r="O31" s="441">
        <f t="shared" si="9"/>
        <v>0</v>
      </c>
      <c r="P31" s="441">
        <f t="shared" si="9"/>
        <v>0</v>
      </c>
      <c r="Q31" s="441">
        <f t="shared" si="9"/>
        <v>0</v>
      </c>
      <c r="R31" s="441">
        <f t="shared" ref="R31:U31" si="10">MAX(R30-R29,0)</f>
        <v>0</v>
      </c>
      <c r="S31" s="441">
        <f t="shared" si="10"/>
        <v>0</v>
      </c>
      <c r="T31" s="441">
        <f t="shared" si="10"/>
        <v>0</v>
      </c>
      <c r="U31" s="441">
        <f t="shared" si="10"/>
        <v>0</v>
      </c>
      <c r="V31" s="433">
        <f>MAX(V30-V29,0)</f>
        <v>0</v>
      </c>
    </row>
    <row r="32" spans="1:22" ht="19.5" customHeight="1">
      <c r="A32" s="440" t="s">
        <v>313</v>
      </c>
      <c r="B32" s="441">
        <f>MAX(B29-B30,0)</f>
        <v>0</v>
      </c>
      <c r="C32" s="441">
        <f t="shared" ref="C32:Q32" si="11">MAX(C29-C30,0)</f>
        <v>24</v>
      </c>
      <c r="D32" s="441">
        <f t="shared" si="11"/>
        <v>2</v>
      </c>
      <c r="E32" s="441">
        <f t="shared" si="11"/>
        <v>2</v>
      </c>
      <c r="F32" s="441">
        <f t="shared" si="11"/>
        <v>0</v>
      </c>
      <c r="G32" s="441">
        <f t="shared" si="11"/>
        <v>241</v>
      </c>
      <c r="H32" s="441">
        <f t="shared" si="11"/>
        <v>49</v>
      </c>
      <c r="I32" s="441">
        <f t="shared" si="11"/>
        <v>50</v>
      </c>
      <c r="J32" s="441">
        <f t="shared" si="11"/>
        <v>31</v>
      </c>
      <c r="K32" s="441">
        <f t="shared" si="11"/>
        <v>86</v>
      </c>
      <c r="L32" s="441">
        <f t="shared" si="11"/>
        <v>93</v>
      </c>
      <c r="M32" s="441">
        <f t="shared" si="11"/>
        <v>97</v>
      </c>
      <c r="N32" s="441">
        <f t="shared" si="11"/>
        <v>50</v>
      </c>
      <c r="O32" s="441">
        <f t="shared" si="11"/>
        <v>58</v>
      </c>
      <c r="P32" s="441">
        <f t="shared" si="11"/>
        <v>77</v>
      </c>
      <c r="Q32" s="441">
        <f t="shared" si="11"/>
        <v>99</v>
      </c>
      <c r="R32" s="441">
        <f t="shared" ref="R32:U32" si="12">MAX(R29-R30,0)</f>
        <v>99</v>
      </c>
      <c r="S32" s="441">
        <f t="shared" si="12"/>
        <v>97</v>
      </c>
      <c r="T32" s="441">
        <f t="shared" si="12"/>
        <v>23</v>
      </c>
      <c r="U32" s="441">
        <f t="shared" si="12"/>
        <v>0</v>
      </c>
      <c r="V32" s="433">
        <f>MAX(V29-V30,0)</f>
        <v>1133</v>
      </c>
    </row>
    <row r="33" spans="1:22" ht="19.5" customHeight="1">
      <c r="A33" s="436" t="s">
        <v>314</v>
      </c>
      <c r="B33" s="437">
        <f>IF(B29=0,IF(B30=0,"-","100%"),B30/B29)</f>
        <v>1.1699346405228759</v>
      </c>
      <c r="C33" s="437">
        <f t="shared" ref="C33:Q33" si="13">IF(C29=0,IF(C30=0,"-","100%"),C30/C29)</f>
        <v>0.65217391304347827</v>
      </c>
      <c r="D33" s="437">
        <f t="shared" si="13"/>
        <v>0.96969696969696972</v>
      </c>
      <c r="E33" s="437">
        <f t="shared" si="13"/>
        <v>0.96226415094339623</v>
      </c>
      <c r="F33" s="437">
        <f t="shared" si="13"/>
        <v>1.1881188118811881</v>
      </c>
      <c r="G33" s="437">
        <f t="shared" si="13"/>
        <v>0</v>
      </c>
      <c r="H33" s="437">
        <f t="shared" si="13"/>
        <v>0</v>
      </c>
      <c r="I33" s="437">
        <f t="shared" si="13"/>
        <v>0</v>
      </c>
      <c r="J33" s="437">
        <f t="shared" si="13"/>
        <v>0</v>
      </c>
      <c r="K33" s="437">
        <f t="shared" si="13"/>
        <v>0</v>
      </c>
      <c r="L33" s="437">
        <f t="shared" si="13"/>
        <v>0</v>
      </c>
      <c r="M33" s="437">
        <f t="shared" si="13"/>
        <v>0</v>
      </c>
      <c r="N33" s="437">
        <f t="shared" si="13"/>
        <v>0</v>
      </c>
      <c r="O33" s="437">
        <f t="shared" si="13"/>
        <v>0</v>
      </c>
      <c r="P33" s="437">
        <f t="shared" si="13"/>
        <v>0</v>
      </c>
      <c r="Q33" s="437">
        <f t="shared" si="13"/>
        <v>0</v>
      </c>
      <c r="R33" s="437">
        <f t="shared" ref="R33:U33" si="14">IF(R29=0,IF(R30=0,"-","100%"),R30/R29)</f>
        <v>0</v>
      </c>
      <c r="S33" s="437">
        <f t="shared" si="14"/>
        <v>0</v>
      </c>
      <c r="T33" s="437">
        <f t="shared" si="14"/>
        <v>0</v>
      </c>
      <c r="U33" s="437" t="str">
        <f t="shared" si="14"/>
        <v>-</v>
      </c>
      <c r="V33" s="430">
        <f>IF(V29=0,"-",V30/V29)</f>
        <v>0.28831658291457285</v>
      </c>
    </row>
    <row r="34" spans="1:22" ht="3.6" customHeight="1"/>
    <row r="35" spans="1:22" ht="21.75" customHeight="1">
      <c r="A35" s="942" t="s">
        <v>879</v>
      </c>
      <c r="B35" s="943"/>
      <c r="C35" s="943"/>
      <c r="D35" s="943"/>
      <c r="E35" s="943"/>
      <c r="F35" s="943"/>
      <c r="G35" s="943"/>
      <c r="H35" s="943"/>
      <c r="I35" s="943"/>
      <c r="J35" s="943"/>
      <c r="K35" s="943"/>
      <c r="L35" s="943"/>
      <c r="M35" s="943"/>
      <c r="N35" s="943"/>
      <c r="O35" s="943"/>
      <c r="P35" s="943"/>
      <c r="Q35" s="943"/>
      <c r="R35" s="943"/>
      <c r="S35" s="943"/>
      <c r="T35" s="943"/>
      <c r="U35" s="943"/>
      <c r="V35" s="943"/>
    </row>
    <row r="36" spans="1:22" ht="19.5" customHeight="1">
      <c r="A36" s="431" t="s">
        <v>880</v>
      </c>
      <c r="B36" s="432">
        <f>B11</f>
        <v>88</v>
      </c>
      <c r="C36" s="432">
        <f t="shared" ref="C36:Q36" si="15">C11</f>
        <v>45</v>
      </c>
      <c r="D36" s="432">
        <f t="shared" si="15"/>
        <v>64</v>
      </c>
      <c r="E36" s="432">
        <f t="shared" si="15"/>
        <v>53</v>
      </c>
      <c r="F36" s="432">
        <f t="shared" si="15"/>
        <v>101</v>
      </c>
      <c r="G36" s="432">
        <f t="shared" si="15"/>
        <v>62</v>
      </c>
      <c r="H36" s="432">
        <f t="shared" si="15"/>
        <v>30</v>
      </c>
      <c r="I36" s="432">
        <f t="shared" si="15"/>
        <v>35</v>
      </c>
      <c r="J36" s="432">
        <f t="shared" si="15"/>
        <v>31</v>
      </c>
      <c r="K36" s="432">
        <f t="shared" si="15"/>
        <v>49</v>
      </c>
      <c r="L36" s="432">
        <f t="shared" si="15"/>
        <v>49</v>
      </c>
      <c r="M36" s="432">
        <f t="shared" si="15"/>
        <v>97</v>
      </c>
      <c r="N36" s="432">
        <f t="shared" si="15"/>
        <v>50</v>
      </c>
      <c r="O36" s="432">
        <f t="shared" si="15"/>
        <v>58</v>
      </c>
      <c r="P36" s="432">
        <f t="shared" si="15"/>
        <v>77</v>
      </c>
      <c r="Q36" s="432">
        <f t="shared" si="15"/>
        <v>88</v>
      </c>
      <c r="R36" s="432">
        <f t="shared" ref="R36:U36" si="16">R11</f>
        <v>67</v>
      </c>
      <c r="S36" s="432">
        <f t="shared" si="16"/>
        <v>55</v>
      </c>
      <c r="T36" s="432">
        <f t="shared" si="16"/>
        <v>22</v>
      </c>
      <c r="U36" s="432">
        <f t="shared" si="16"/>
        <v>0</v>
      </c>
      <c r="V36" s="433">
        <f>V11</f>
        <v>1121</v>
      </c>
    </row>
    <row r="37" spans="1:22" ht="19.5" customHeight="1">
      <c r="A37" s="434" t="s">
        <v>881</v>
      </c>
      <c r="B37" s="435" cm="1">
        <f t="array" ref="B37">SUMPRODUCT((SVB!$S$2:$S$740&gt;=B80)*(SVB!$S$2:$S$740&lt;=B81)*(SVB!$K$2:$K$740="Switch")*(ISNUMBER(SVB!$O$2:$O$740))*(SVB!$O$2:$O$740))</f>
        <v>88</v>
      </c>
      <c r="C37" s="435" cm="1">
        <f t="array" ref="C37">SUMPRODUCT((SVB!$S$2:$S$740&gt;=C80)*(SVB!$S$2:$S$740&lt;=C81)*(SVB!$K$2:$K$740="Switch")*(ISNUMBER(SVB!$O$2:$O$740))*(SVB!$O$2:$O$740))</f>
        <v>45</v>
      </c>
      <c r="D37" s="435" cm="1">
        <f t="array" ref="D37">SUMPRODUCT((SVB!$S$2:$S$740&gt;=D80)*(SVB!$S$2:$S$740&lt;=D81)*(SVB!$K$2:$K$740="Switch")*(ISNUMBER(SVB!$O$2:$O$740))*(SVB!$O$2:$O$740))</f>
        <v>64</v>
      </c>
      <c r="E37" s="435" cm="1">
        <f t="array" ref="E37">SUMPRODUCT((SVB!$S$2:$S$740&gt;=E80)*(SVB!$S$2:$S$740&lt;=E81)*(SVB!$K$2:$K$740="Switch")*(ISNUMBER(SVB!$O$2:$O$740))*(SVB!$O$2:$O$740))</f>
        <v>51</v>
      </c>
      <c r="F37" s="435" cm="1">
        <f t="array" ref="F37">SUMPRODUCT((SVB!$S$2:$S$740&gt;=F80)*(SVB!$S$2:$S$740&lt;=F81)*(SVB!$K$2:$K$740="Switch")*(ISNUMBER(SVB!$O$2:$O$740))*(SVB!$O$2:$O$740))</f>
        <v>120</v>
      </c>
      <c r="G37" s="435" cm="1">
        <f t="array" ref="G37">SUMPRODUCT((SVB!$S$2:$S$740&gt;=G80)*(SVB!$S$2:$S$740&lt;=G81)*(SVB!$K$2:$K$740="Switch")*(ISNUMBER(SVB!$O$2:$O$740))*(SVB!$O$2:$O$740))</f>
        <v>0</v>
      </c>
      <c r="H37" s="435" cm="1">
        <f t="array" ref="H37">SUMPRODUCT((SVB!$S$2:$S$740&gt;=H80)*(SVB!$S$2:$S$740&lt;=H81)*(SVB!$K$2:$K$740="Switch")*(ISNUMBER(SVB!$O$2:$O$740))*(SVB!$O$2:$O$740))</f>
        <v>0</v>
      </c>
      <c r="I37" s="435" cm="1">
        <f t="array" ref="I37">SUMPRODUCT((SVB!$S$2:$S$740&gt;=I80)*(SVB!$S$2:$S$740&lt;=I81)*(SVB!$K$2:$K$740="Switch")*(ISNUMBER(SVB!$O$2:$O$740))*(SVB!$O$2:$O$740))</f>
        <v>0</v>
      </c>
      <c r="J37" s="435" cm="1">
        <f t="array" ref="J37">SUMPRODUCT((SVB!$S$2:$S$740&gt;=J80)*(SVB!$S$2:$S$740&lt;=J81)*(SVB!$K$2:$K$740="Switch")*(ISNUMBER(SVB!$O$2:$O$740))*(SVB!$O$2:$O$740))</f>
        <v>0</v>
      </c>
      <c r="K37" s="435" cm="1">
        <f t="array" ref="K37">SUMPRODUCT((SVB!$S$2:$S$740&gt;=K80)*(SVB!$S$2:$S$740&lt;=K81)*(SVB!$K$2:$K$740="Switch")*(ISNUMBER(SVB!$O$2:$O$740))*(SVB!$O$2:$O$740))</f>
        <v>0</v>
      </c>
      <c r="L37" s="435" cm="1">
        <f t="array" ref="L37">SUMPRODUCT((SVB!$S$2:$S$740&gt;=L80)*(SVB!$S$2:$S$740&lt;=L81)*(SVB!$K$2:$K$740="Switch")*(ISNUMBER(SVB!$O$2:$O$740))*(SVB!$O$2:$O$740))</f>
        <v>0</v>
      </c>
      <c r="M37" s="435" cm="1">
        <f t="array" ref="M37">SUMPRODUCT((SVB!$S$2:$S$740&gt;=M80)*(SVB!$S$2:$S$740&lt;=M81)*(SVB!$K$2:$K$740="Switch")*(ISNUMBER(SVB!$O$2:$O$740))*(SVB!$O$2:$O$740))</f>
        <v>0</v>
      </c>
      <c r="N37" s="435" cm="1">
        <f t="array" ref="N37">SUMPRODUCT((SVB!$S$2:$S$740&gt;=N80)*(SVB!$S$2:$S$740&lt;=N81)*(SVB!$K$2:$K$740="Switch")*(ISNUMBER(SVB!$O$2:$O$740))*(SVB!$O$2:$O$740))</f>
        <v>0</v>
      </c>
      <c r="O37" s="435" cm="1">
        <f t="array" ref="O37">SUMPRODUCT((SVB!$S$2:$S$740&gt;=O80)*(SVB!$S$2:$S$740&lt;=O81)*(SVB!$K$2:$K$740="Switch")*(ISNUMBER(SVB!$O$2:$O$740))*(SVB!$O$2:$O$740))</f>
        <v>0</v>
      </c>
      <c r="P37" s="435" cm="1">
        <f t="array" ref="P37">SUMPRODUCT((SVB!$S$2:$S$740&gt;=P80)*(SVB!$S$2:$S$740&lt;=P81)*(SVB!$K$2:$K$740="Switch")*(ISNUMBER(SVB!$O$2:$O$740))*(SVB!$O$2:$O$740))</f>
        <v>0</v>
      </c>
      <c r="Q37" s="435" cm="1">
        <f t="array" ref="Q37">SUMPRODUCT((SVB!$S$2:$S$740&gt;=Q80)*(SVB!$S$2:$S$740&lt;=Q81)*(SVB!$K$2:$K$740="Switch")*(ISNUMBER(SVB!$O$2:$O$740))*(SVB!$O$2:$O$740))</f>
        <v>0</v>
      </c>
      <c r="R37" s="435" cm="1">
        <f t="array" ref="R37">SUMPRODUCT((SVB!$S$2:$S$740&gt;=R80)*(SVB!$S$2:$S$740&lt;=R81)*(SVB!$K$2:$K$740="Switch")*(ISNUMBER(SVB!$O$2:$O$740))*(SVB!$O$2:$O$740))</f>
        <v>0</v>
      </c>
      <c r="S37" s="435" cm="1">
        <f t="array" ref="S37">SUMPRODUCT((SVB!$S$2:$S$740&gt;=S80)*(SVB!$S$2:$S$740&lt;=S81)*(SVB!$K$2:$K$740="Switch")*(ISNUMBER(SVB!$O$2:$O$740))*(SVB!$O$2:$O$740))</f>
        <v>0</v>
      </c>
      <c r="T37" s="435" cm="1">
        <f t="array" ref="T37">SUMPRODUCT((SVB!$S$2:$S$740&gt;=T80)*(SVB!$S$2:$S$740&lt;=T81)*(SVB!$K$2:$K$740="Switch")*(ISNUMBER(SVB!$O$2:$O$740))*(SVB!$O$2:$O$740))</f>
        <v>0</v>
      </c>
      <c r="U37" s="435" cm="1">
        <f t="array" ref="U37">SUMPRODUCT((SVB!$S$2:$S$740&gt;=U80)*(SVB!$S$2:$S$740&lt;=U81)*(SVB!$K$2:$K$740="Switch")*(ISNUMBER(SVB!$O$2:$O$740))*(SVB!$O$2:$O$740))</f>
        <v>0</v>
      </c>
      <c r="V37" s="433">
        <f>SUM(B37:U37)</f>
        <v>368</v>
      </c>
    </row>
    <row r="38" spans="1:22" ht="19.5" customHeight="1">
      <c r="A38" s="440" t="s">
        <v>882</v>
      </c>
      <c r="B38" s="441">
        <f>MAX(B37-B36,0)</f>
        <v>0</v>
      </c>
      <c r="C38" s="441">
        <f t="shared" ref="C38:Q38" si="17">MAX(C37-C36,0)</f>
        <v>0</v>
      </c>
      <c r="D38" s="441">
        <f t="shared" si="17"/>
        <v>0</v>
      </c>
      <c r="E38" s="441">
        <f t="shared" si="17"/>
        <v>0</v>
      </c>
      <c r="F38" s="441">
        <f t="shared" si="17"/>
        <v>19</v>
      </c>
      <c r="G38" s="441">
        <f t="shared" si="17"/>
        <v>0</v>
      </c>
      <c r="H38" s="441">
        <f t="shared" si="17"/>
        <v>0</v>
      </c>
      <c r="I38" s="441">
        <f t="shared" si="17"/>
        <v>0</v>
      </c>
      <c r="J38" s="441">
        <f t="shared" si="17"/>
        <v>0</v>
      </c>
      <c r="K38" s="441">
        <f t="shared" si="17"/>
        <v>0</v>
      </c>
      <c r="L38" s="441">
        <f t="shared" si="17"/>
        <v>0</v>
      </c>
      <c r="M38" s="441">
        <f t="shared" si="17"/>
        <v>0</v>
      </c>
      <c r="N38" s="441">
        <f t="shared" si="17"/>
        <v>0</v>
      </c>
      <c r="O38" s="441">
        <f t="shared" si="17"/>
        <v>0</v>
      </c>
      <c r="P38" s="441">
        <f t="shared" si="17"/>
        <v>0</v>
      </c>
      <c r="Q38" s="441">
        <f t="shared" si="17"/>
        <v>0</v>
      </c>
      <c r="R38" s="441">
        <f t="shared" ref="R38:U38" si="18">MAX(R37-R36,0)</f>
        <v>0</v>
      </c>
      <c r="S38" s="441">
        <f t="shared" si="18"/>
        <v>0</v>
      </c>
      <c r="T38" s="441">
        <f t="shared" si="18"/>
        <v>0</v>
      </c>
      <c r="U38" s="441">
        <f t="shared" si="18"/>
        <v>0</v>
      </c>
      <c r="V38" s="433">
        <f>MAX(V37-V36,0)</f>
        <v>0</v>
      </c>
    </row>
    <row r="39" spans="1:22" ht="19.5" customHeight="1">
      <c r="A39" s="440" t="s">
        <v>883</v>
      </c>
      <c r="B39" s="441">
        <f>MAX(B36-B37,0)</f>
        <v>0</v>
      </c>
      <c r="C39" s="441">
        <f t="shared" ref="C39:Q39" si="19">MAX(C36-C37,0)</f>
        <v>0</v>
      </c>
      <c r="D39" s="441">
        <f t="shared" si="19"/>
        <v>0</v>
      </c>
      <c r="E39" s="441">
        <f t="shared" si="19"/>
        <v>2</v>
      </c>
      <c r="F39" s="441">
        <f t="shared" si="19"/>
        <v>0</v>
      </c>
      <c r="G39" s="441">
        <f t="shared" si="19"/>
        <v>62</v>
      </c>
      <c r="H39" s="441">
        <f t="shared" si="19"/>
        <v>30</v>
      </c>
      <c r="I39" s="441">
        <f t="shared" si="19"/>
        <v>35</v>
      </c>
      <c r="J39" s="441">
        <f t="shared" si="19"/>
        <v>31</v>
      </c>
      <c r="K39" s="441">
        <f t="shared" si="19"/>
        <v>49</v>
      </c>
      <c r="L39" s="441">
        <f t="shared" si="19"/>
        <v>49</v>
      </c>
      <c r="M39" s="441">
        <f t="shared" si="19"/>
        <v>97</v>
      </c>
      <c r="N39" s="441">
        <f t="shared" si="19"/>
        <v>50</v>
      </c>
      <c r="O39" s="441">
        <f t="shared" si="19"/>
        <v>58</v>
      </c>
      <c r="P39" s="441">
        <f t="shared" si="19"/>
        <v>77</v>
      </c>
      <c r="Q39" s="441">
        <f t="shared" si="19"/>
        <v>88</v>
      </c>
      <c r="R39" s="441">
        <f t="shared" ref="R39:U39" si="20">MAX(R36-R37,0)</f>
        <v>67</v>
      </c>
      <c r="S39" s="441">
        <f t="shared" si="20"/>
        <v>55</v>
      </c>
      <c r="T39" s="441">
        <f t="shared" si="20"/>
        <v>22</v>
      </c>
      <c r="U39" s="441">
        <f t="shared" si="20"/>
        <v>0</v>
      </c>
      <c r="V39" s="433">
        <f>MAX(V36-V37,0)</f>
        <v>753</v>
      </c>
    </row>
    <row r="40" spans="1:22" ht="19.5" customHeight="1">
      <c r="A40" s="436" t="s">
        <v>884</v>
      </c>
      <c r="B40" s="437">
        <f>IF(B36=0,IF(B37=0,"-","100%"),B37/B36)</f>
        <v>1</v>
      </c>
      <c r="C40" s="437">
        <f t="shared" ref="C40:Q40" si="21">IF(C36=0,IF(C37=0,"-","100%"),C37/C36)</f>
        <v>1</v>
      </c>
      <c r="D40" s="437">
        <f t="shared" si="21"/>
        <v>1</v>
      </c>
      <c r="E40" s="437">
        <f t="shared" si="21"/>
        <v>0.96226415094339623</v>
      </c>
      <c r="F40" s="437">
        <f t="shared" si="21"/>
        <v>1.1881188118811881</v>
      </c>
      <c r="G40" s="437">
        <f t="shared" si="21"/>
        <v>0</v>
      </c>
      <c r="H40" s="437">
        <f t="shared" si="21"/>
        <v>0</v>
      </c>
      <c r="I40" s="437">
        <f t="shared" si="21"/>
        <v>0</v>
      </c>
      <c r="J40" s="437">
        <f t="shared" si="21"/>
        <v>0</v>
      </c>
      <c r="K40" s="437">
        <f t="shared" si="21"/>
        <v>0</v>
      </c>
      <c r="L40" s="437">
        <f t="shared" si="21"/>
        <v>0</v>
      </c>
      <c r="M40" s="437">
        <f t="shared" si="21"/>
        <v>0</v>
      </c>
      <c r="N40" s="437">
        <f t="shared" si="21"/>
        <v>0</v>
      </c>
      <c r="O40" s="437">
        <f t="shared" si="21"/>
        <v>0</v>
      </c>
      <c r="P40" s="437">
        <f t="shared" si="21"/>
        <v>0</v>
      </c>
      <c r="Q40" s="437">
        <f t="shared" si="21"/>
        <v>0</v>
      </c>
      <c r="R40" s="437">
        <f t="shared" ref="R40:U40" si="22">IF(R36=0,IF(R37=0,"-","100%"),R37/R36)</f>
        <v>0</v>
      </c>
      <c r="S40" s="437">
        <f t="shared" si="22"/>
        <v>0</v>
      </c>
      <c r="T40" s="437">
        <f t="shared" si="22"/>
        <v>0</v>
      </c>
      <c r="U40" s="437" t="str">
        <f t="shared" si="22"/>
        <v>-</v>
      </c>
      <c r="V40" s="430">
        <f>IF(V36=0,"-",V37/V36)</f>
        <v>0.32827832292595899</v>
      </c>
    </row>
    <row r="41" spans="1:22" ht="3.6" customHeight="1"/>
    <row r="42" spans="1:22" ht="21.75" customHeight="1">
      <c r="A42" s="942" t="s">
        <v>885</v>
      </c>
      <c r="B42" s="943"/>
      <c r="C42" s="943"/>
      <c r="D42" s="943"/>
      <c r="E42" s="943"/>
      <c r="F42" s="943"/>
      <c r="G42" s="943"/>
      <c r="H42" s="943"/>
      <c r="I42" s="943"/>
      <c r="J42" s="943"/>
      <c r="K42" s="943"/>
      <c r="L42" s="943"/>
      <c r="M42" s="943"/>
      <c r="N42" s="943"/>
      <c r="O42" s="943"/>
      <c r="P42" s="943"/>
      <c r="Q42" s="943"/>
      <c r="R42" s="943"/>
      <c r="S42" s="943"/>
      <c r="T42" s="943"/>
      <c r="U42" s="943"/>
      <c r="V42" s="943"/>
    </row>
    <row r="43" spans="1:22" ht="19.5" customHeight="1">
      <c r="A43" s="431" t="s">
        <v>886</v>
      </c>
      <c r="B43" s="432">
        <f>B15</f>
        <v>43</v>
      </c>
      <c r="C43" s="432">
        <f t="shared" ref="C43:U43" si="23">C15</f>
        <v>24</v>
      </c>
      <c r="D43" s="432">
        <f t="shared" si="23"/>
        <v>0</v>
      </c>
      <c r="E43" s="432">
        <f t="shared" si="23"/>
        <v>0</v>
      </c>
      <c r="F43" s="432">
        <f t="shared" si="23"/>
        <v>0</v>
      </c>
      <c r="G43" s="432">
        <f t="shared" si="23"/>
        <v>177</v>
      </c>
      <c r="H43" s="432">
        <f t="shared" si="23"/>
        <v>19</v>
      </c>
      <c r="I43" s="432">
        <f t="shared" si="23"/>
        <v>15</v>
      </c>
      <c r="J43" s="432">
        <f t="shared" si="23"/>
        <v>0</v>
      </c>
      <c r="K43" s="432">
        <f t="shared" si="23"/>
        <v>37</v>
      </c>
      <c r="L43" s="432">
        <f t="shared" si="23"/>
        <v>44</v>
      </c>
      <c r="M43" s="432">
        <f t="shared" si="23"/>
        <v>0</v>
      </c>
      <c r="N43" s="432">
        <f t="shared" si="23"/>
        <v>0</v>
      </c>
      <c r="O43" s="432">
        <f t="shared" si="23"/>
        <v>0</v>
      </c>
      <c r="P43" s="432">
        <f t="shared" si="23"/>
        <v>0</v>
      </c>
      <c r="Q43" s="432">
        <f t="shared" si="23"/>
        <v>11</v>
      </c>
      <c r="R43" s="432">
        <f t="shared" si="23"/>
        <v>32</v>
      </c>
      <c r="S43" s="432">
        <f t="shared" si="23"/>
        <v>42</v>
      </c>
      <c r="T43" s="432">
        <f t="shared" si="23"/>
        <v>1</v>
      </c>
      <c r="U43" s="432">
        <f t="shared" si="23"/>
        <v>0</v>
      </c>
      <c r="V43" s="433">
        <f>V15</f>
        <v>445</v>
      </c>
    </row>
    <row r="44" spans="1:22" ht="19.5" customHeight="1">
      <c r="A44" s="434" t="s">
        <v>887</v>
      </c>
      <c r="B44" s="435" cm="1">
        <f t="array" ref="B44">SUMPRODUCT((SVB!$S$2:$S$740&gt;=B80)*(SVB!$S$2:$S$740&lt;=B81)*(SVB!$K$2:$K$740="AP")*(ISNUMBER(SVB!$O$2:$O$740))*(SVB!$O$2:$O$740))</f>
        <v>67</v>
      </c>
      <c r="C44" s="435" cm="1">
        <f t="array" ref="C44">SUMPRODUCT((SVB!$S$2:$S$740&gt;=C80)*(SVB!$S$2:$S$740&lt;=C81)*(SVB!$K$2:$K$740="AP")*(ISNUMBER(SVB!$O$2:$O$740))*(SVB!$O$2:$O$740))</f>
        <v>0</v>
      </c>
      <c r="D44" s="435" cm="1">
        <f t="array" ref="D44">SUMPRODUCT((SVB!$S$2:$S$740&gt;=D80)*(SVB!$S$2:$S$740&lt;=D81)*(SVB!$K$2:$K$740="AP")*(ISNUMBER(SVB!$O$2:$O$740))*(SVB!$O$2:$O$740))</f>
        <v>0</v>
      </c>
      <c r="E44" s="435" cm="1">
        <f t="array" ref="E44">SUMPRODUCT((SVB!$S$2:$S$740&gt;=E80)*(SVB!$S$2:$S$740&lt;=E81)*(SVB!$K$2:$K$740="AP")*(ISNUMBER(SVB!$O$2:$O$740))*(SVB!$O$2:$O$740))</f>
        <v>0</v>
      </c>
      <c r="F44" s="435" cm="1">
        <f t="array" ref="F44">SUMPRODUCT((SVB!$S$2:$S$740&gt;=F80)*(SVB!$S$2:$S$740&lt;=F81)*(SVB!$K$2:$K$740="AP")*(ISNUMBER(SVB!$O$2:$O$740))*(SVB!$O$2:$O$740))</f>
        <v>0</v>
      </c>
      <c r="G44" s="435" cm="1">
        <f t="array" ref="G44">SUMPRODUCT((SVB!$S$2:$S$740&gt;=G80)*(SVB!$S$2:$S$740&lt;=G81)*(SVB!$K$2:$K$740="AP")*(ISNUMBER(SVB!$O$2:$O$740))*(SVB!$O$2:$O$740))</f>
        <v>0</v>
      </c>
      <c r="H44" s="435" cm="1">
        <f t="array" ref="H44">SUMPRODUCT((SVB!$S$2:$S$740&gt;=H80)*(SVB!$S$2:$S$740&lt;=H81)*(SVB!$K$2:$K$740="AP")*(ISNUMBER(SVB!$O$2:$O$740))*(SVB!$O$2:$O$740))</f>
        <v>0</v>
      </c>
      <c r="I44" s="435" cm="1">
        <f t="array" ref="I44">SUMPRODUCT((SVB!$S$2:$S$740&gt;=I80)*(SVB!$S$2:$S$740&lt;=I81)*(SVB!$K$2:$K$740="AP")*(ISNUMBER(SVB!$O$2:$O$740))*(SVB!$O$2:$O$740))</f>
        <v>0</v>
      </c>
      <c r="J44" s="435" cm="1">
        <f t="array" ref="J44">SUMPRODUCT((SVB!$S$2:$S$740&gt;=J80)*(SVB!$S$2:$S$740&lt;=J81)*(SVB!$K$2:$K$740="AP")*(ISNUMBER(SVB!$O$2:$O$740))*(SVB!$O$2:$O$740))</f>
        <v>0</v>
      </c>
      <c r="K44" s="435" cm="1">
        <f t="array" ref="K44">SUMPRODUCT((SVB!$S$2:$S$740&gt;=K80)*(SVB!$S$2:$S$740&lt;=K81)*(SVB!$K$2:$K$740="AP")*(ISNUMBER(SVB!$O$2:$O$740))*(SVB!$O$2:$O$740))</f>
        <v>0</v>
      </c>
      <c r="L44" s="435" cm="1">
        <f t="array" ref="L44">SUMPRODUCT((SVB!$S$2:$S$740&gt;=L80)*(SVB!$S$2:$S$740&lt;=L81)*(SVB!$K$2:$K$740="AP")*(ISNUMBER(SVB!$O$2:$O$740))*(SVB!$O$2:$O$740))</f>
        <v>0</v>
      </c>
      <c r="M44" s="435" cm="1">
        <f t="array" ref="M44">SUMPRODUCT((SVB!$S$2:$S$740&gt;=M80)*(SVB!$S$2:$S$740&lt;=M81)*(SVB!$K$2:$K$740="AP")*(ISNUMBER(SVB!$O$2:$O$740))*(SVB!$O$2:$O$740))</f>
        <v>0</v>
      </c>
      <c r="N44" s="435" cm="1">
        <f t="array" ref="N44">SUMPRODUCT((SVB!$S$2:$S$740&gt;=N80)*(SVB!$S$2:$S$740&lt;=N81)*(SVB!$K$2:$K$740="AP")*(ISNUMBER(SVB!$O$2:$O$740))*(SVB!$O$2:$O$740))</f>
        <v>0</v>
      </c>
      <c r="O44" s="435" cm="1">
        <f t="array" ref="O44">SUMPRODUCT((SVB!$S$2:$S$740&gt;=O80)*(SVB!$S$2:$S$740&lt;=O81)*(SVB!$K$2:$K$740="AP")*(ISNUMBER(SVB!$O$2:$O$740))*(SVB!$O$2:$O$740))</f>
        <v>0</v>
      </c>
      <c r="P44" s="435" cm="1">
        <f t="array" ref="P44">SUMPRODUCT((SVB!$S$2:$S$740&gt;=P80)*(SVB!$S$2:$S$740&lt;=P81)*(SVB!$K$2:$K$740="AP")*(ISNUMBER(SVB!$O$2:$O$740))*(SVB!$O$2:$O$740))</f>
        <v>0</v>
      </c>
      <c r="Q44" s="435" cm="1">
        <f t="array" ref="Q44">SUMPRODUCT((SVB!$S$2:$S$740&gt;=Q80)*(SVB!$S$2:$S$740&lt;=Q81)*(SVB!$K$2:$K$740="AP")*(ISNUMBER(SVB!$O$2:$O$740))*(SVB!$O$2:$O$740))</f>
        <v>0</v>
      </c>
      <c r="R44" s="435" cm="1">
        <f t="array" ref="R44">SUMPRODUCT((SVB!$S$2:$S$740&gt;=R80)*(SVB!$S$2:$S$740&lt;=R81)*(SVB!$K$2:$K$740="AP")*(ISNUMBER(SVB!$O$2:$O$740))*(SVB!$O$2:$O$740))</f>
        <v>0</v>
      </c>
      <c r="S44" s="435" cm="1">
        <f t="array" ref="S44">SUMPRODUCT((SVB!$S$2:$S$740&gt;=S80)*(SVB!$S$2:$S$740&lt;=S81)*(SVB!$K$2:$K$740="AP")*(ISNUMBER(SVB!$O$2:$O$740))*(SVB!$O$2:$O$740))</f>
        <v>0</v>
      </c>
      <c r="T44" s="435" cm="1">
        <f t="array" ref="T44">SUMPRODUCT((SVB!$S$2:$S$740&gt;=T80)*(SVB!$S$2:$S$740&lt;=T81)*(SVB!$K$2:$K$740="AP")*(ISNUMBER(SVB!$O$2:$O$740))*(SVB!$O$2:$O$740))</f>
        <v>0</v>
      </c>
      <c r="U44" s="435" cm="1">
        <f t="array" ref="U44">SUMPRODUCT((SVB!$S$2:$S$740&gt;=U80)*(SVB!$S$2:$S$740&lt;=U81)*(SVB!$K$2:$K$740="AP")*(ISNUMBER(SVB!$O$2:$O$740))*(SVB!$O$2:$O$740))</f>
        <v>0</v>
      </c>
      <c r="V44" s="433">
        <f>SUM(B44:U44)</f>
        <v>67</v>
      </c>
    </row>
    <row r="45" spans="1:22" ht="19.5" customHeight="1">
      <c r="A45" s="440" t="s">
        <v>888</v>
      </c>
      <c r="B45" s="441">
        <f>MAX(B44-B43,0)</f>
        <v>24</v>
      </c>
      <c r="C45" s="441">
        <f t="shared" ref="C45:Q45" si="24">MAX(C44-C43,0)</f>
        <v>0</v>
      </c>
      <c r="D45" s="441">
        <f t="shared" si="24"/>
        <v>0</v>
      </c>
      <c r="E45" s="441">
        <f t="shared" si="24"/>
        <v>0</v>
      </c>
      <c r="F45" s="441">
        <f t="shared" si="24"/>
        <v>0</v>
      </c>
      <c r="G45" s="441">
        <f t="shared" si="24"/>
        <v>0</v>
      </c>
      <c r="H45" s="441">
        <f t="shared" si="24"/>
        <v>0</v>
      </c>
      <c r="I45" s="441">
        <f t="shared" si="24"/>
        <v>0</v>
      </c>
      <c r="J45" s="441">
        <f t="shared" si="24"/>
        <v>0</v>
      </c>
      <c r="K45" s="441">
        <f t="shared" si="24"/>
        <v>0</v>
      </c>
      <c r="L45" s="441">
        <f t="shared" si="24"/>
        <v>0</v>
      </c>
      <c r="M45" s="441">
        <f t="shared" si="24"/>
        <v>0</v>
      </c>
      <c r="N45" s="441">
        <f t="shared" si="24"/>
        <v>0</v>
      </c>
      <c r="O45" s="441">
        <f t="shared" si="24"/>
        <v>0</v>
      </c>
      <c r="P45" s="441">
        <f t="shared" si="24"/>
        <v>0</v>
      </c>
      <c r="Q45" s="441">
        <f t="shared" si="24"/>
        <v>0</v>
      </c>
      <c r="R45" s="441">
        <f t="shared" ref="R45:U45" si="25">MAX(R44-R43,0)</f>
        <v>0</v>
      </c>
      <c r="S45" s="441">
        <f t="shared" si="25"/>
        <v>0</v>
      </c>
      <c r="T45" s="441">
        <f t="shared" si="25"/>
        <v>0</v>
      </c>
      <c r="U45" s="441">
        <f t="shared" si="25"/>
        <v>0</v>
      </c>
      <c r="V45" s="433">
        <f>MAX(V44-V43,0)</f>
        <v>0</v>
      </c>
    </row>
    <row r="46" spans="1:22" ht="19.5" customHeight="1">
      <c r="A46" s="440" t="s">
        <v>889</v>
      </c>
      <c r="B46" s="441">
        <f>MAX(B43-B44,0)</f>
        <v>0</v>
      </c>
      <c r="C46" s="441">
        <f t="shared" ref="C46:Q46" si="26">MAX(C43-C44,0)</f>
        <v>24</v>
      </c>
      <c r="D46" s="441">
        <f t="shared" si="26"/>
        <v>0</v>
      </c>
      <c r="E46" s="441">
        <f t="shared" si="26"/>
        <v>0</v>
      </c>
      <c r="F46" s="441">
        <f t="shared" si="26"/>
        <v>0</v>
      </c>
      <c r="G46" s="441">
        <f t="shared" si="26"/>
        <v>177</v>
      </c>
      <c r="H46" s="441">
        <f t="shared" si="26"/>
        <v>19</v>
      </c>
      <c r="I46" s="441">
        <f t="shared" si="26"/>
        <v>15</v>
      </c>
      <c r="J46" s="441">
        <f t="shared" si="26"/>
        <v>0</v>
      </c>
      <c r="K46" s="441">
        <f t="shared" si="26"/>
        <v>37</v>
      </c>
      <c r="L46" s="441">
        <f t="shared" si="26"/>
        <v>44</v>
      </c>
      <c r="M46" s="441">
        <f t="shared" si="26"/>
        <v>0</v>
      </c>
      <c r="N46" s="441">
        <f t="shared" si="26"/>
        <v>0</v>
      </c>
      <c r="O46" s="441">
        <f t="shared" si="26"/>
        <v>0</v>
      </c>
      <c r="P46" s="441">
        <f t="shared" si="26"/>
        <v>0</v>
      </c>
      <c r="Q46" s="441">
        <f t="shared" si="26"/>
        <v>11</v>
      </c>
      <c r="R46" s="441">
        <f t="shared" ref="R46:U46" si="27">MAX(R43-R44,0)</f>
        <v>32</v>
      </c>
      <c r="S46" s="441">
        <f t="shared" si="27"/>
        <v>42</v>
      </c>
      <c r="T46" s="441">
        <f t="shared" si="27"/>
        <v>1</v>
      </c>
      <c r="U46" s="441">
        <f t="shared" si="27"/>
        <v>0</v>
      </c>
      <c r="V46" s="433">
        <f>MAX(V43-V44,0)</f>
        <v>378</v>
      </c>
    </row>
    <row r="47" spans="1:22" ht="19.2" customHeight="1">
      <c r="A47" s="436" t="s">
        <v>890</v>
      </c>
      <c r="B47" s="437">
        <f>IF(B43=0,IF(B44=0,"-","100%"),B44/B43)</f>
        <v>1.558139534883721</v>
      </c>
      <c r="C47" s="437">
        <f t="shared" ref="C47:Q47" si="28">IF(C43=0,IF(C44=0,"-","100%"),C44/C43)</f>
        <v>0</v>
      </c>
      <c r="D47" s="437" t="str">
        <f t="shared" si="28"/>
        <v>-</v>
      </c>
      <c r="E47" s="437" t="str">
        <f t="shared" si="28"/>
        <v>-</v>
      </c>
      <c r="F47" s="437" t="str">
        <f t="shared" si="28"/>
        <v>-</v>
      </c>
      <c r="G47" s="437">
        <f t="shared" si="28"/>
        <v>0</v>
      </c>
      <c r="H47" s="437">
        <f t="shared" si="28"/>
        <v>0</v>
      </c>
      <c r="I47" s="437">
        <f t="shared" si="28"/>
        <v>0</v>
      </c>
      <c r="J47" s="437" t="str">
        <f t="shared" si="28"/>
        <v>-</v>
      </c>
      <c r="K47" s="437">
        <f t="shared" si="28"/>
        <v>0</v>
      </c>
      <c r="L47" s="437">
        <f t="shared" si="28"/>
        <v>0</v>
      </c>
      <c r="M47" s="437" t="str">
        <f t="shared" si="28"/>
        <v>-</v>
      </c>
      <c r="N47" s="437" t="str">
        <f t="shared" si="28"/>
        <v>-</v>
      </c>
      <c r="O47" s="437" t="str">
        <f t="shared" si="28"/>
        <v>-</v>
      </c>
      <c r="P47" s="437" t="str">
        <f t="shared" si="28"/>
        <v>-</v>
      </c>
      <c r="Q47" s="437">
        <f t="shared" si="28"/>
        <v>0</v>
      </c>
      <c r="R47" s="437">
        <f t="shared" ref="R47:U47" si="29">IF(R43=0,IF(R44=0,"-","100%"),R44/R43)</f>
        <v>0</v>
      </c>
      <c r="S47" s="437">
        <f t="shared" si="29"/>
        <v>0</v>
      </c>
      <c r="T47" s="437">
        <f t="shared" si="29"/>
        <v>0</v>
      </c>
      <c r="U47" s="437" t="str">
        <f t="shared" si="29"/>
        <v>-</v>
      </c>
      <c r="V47" s="430">
        <f>IF(V43=0,"-",V44/V43)</f>
        <v>0.15056179775280898</v>
      </c>
    </row>
    <row r="48" spans="1:22" ht="3.6" customHeight="1"/>
    <row r="49" spans="1:22" ht="21.75" customHeight="1">
      <c r="A49" s="956" t="s">
        <v>315</v>
      </c>
      <c r="B49" s="957"/>
      <c r="C49" s="957"/>
      <c r="D49" s="957"/>
      <c r="E49" s="957"/>
      <c r="F49" s="957"/>
      <c r="G49" s="957"/>
      <c r="H49" s="957"/>
      <c r="I49" s="957"/>
      <c r="J49" s="957"/>
      <c r="K49" s="957"/>
      <c r="L49" s="957"/>
      <c r="M49" s="957"/>
      <c r="N49" s="957"/>
      <c r="O49" s="957"/>
      <c r="P49" s="957"/>
      <c r="Q49" s="957"/>
      <c r="R49" s="957"/>
      <c r="S49" s="957"/>
      <c r="T49" s="957"/>
      <c r="U49" s="957"/>
      <c r="V49" s="957"/>
    </row>
    <row r="50" spans="1:22" ht="19.5" customHeight="1">
      <c r="A50" s="438" t="s">
        <v>316</v>
      </c>
      <c r="B50" s="439">
        <f>IF(B7=0,"-",(B20+B25+B30)/(B7*3))</f>
        <v>1.1699346405228759</v>
      </c>
      <c r="C50" s="439">
        <f t="shared" ref="C50:U50" si="30">IF(C7=0,"-",(C20+C25+C30)/(C7*3))</f>
        <v>0.65217391304347827</v>
      </c>
      <c r="D50" s="439">
        <f t="shared" si="30"/>
        <v>0.96969696969696972</v>
      </c>
      <c r="E50" s="439">
        <f t="shared" si="30"/>
        <v>0.96226415094339623</v>
      </c>
      <c r="F50" s="439">
        <f t="shared" si="30"/>
        <v>1.1881188118811881</v>
      </c>
      <c r="G50" s="439">
        <f t="shared" si="30"/>
        <v>0</v>
      </c>
      <c r="H50" s="439">
        <f t="shared" si="30"/>
        <v>0</v>
      </c>
      <c r="I50" s="439">
        <f t="shared" si="30"/>
        <v>0</v>
      </c>
      <c r="J50" s="439">
        <f t="shared" si="30"/>
        <v>0</v>
      </c>
      <c r="K50" s="439">
        <f t="shared" si="30"/>
        <v>0</v>
      </c>
      <c r="L50" s="439">
        <f t="shared" si="30"/>
        <v>0</v>
      </c>
      <c r="M50" s="439">
        <f t="shared" si="30"/>
        <v>0</v>
      </c>
      <c r="N50" s="439">
        <f t="shared" si="30"/>
        <v>0</v>
      </c>
      <c r="O50" s="439">
        <f t="shared" si="30"/>
        <v>0</v>
      </c>
      <c r="P50" s="439">
        <f t="shared" si="30"/>
        <v>0</v>
      </c>
      <c r="Q50" s="439">
        <f t="shared" si="30"/>
        <v>0</v>
      </c>
      <c r="R50" s="439">
        <f t="shared" si="30"/>
        <v>0</v>
      </c>
      <c r="S50" s="439">
        <f t="shared" si="30"/>
        <v>0</v>
      </c>
      <c r="T50" s="439">
        <f t="shared" si="30"/>
        <v>0</v>
      </c>
      <c r="U50" s="439" t="str">
        <f t="shared" si="30"/>
        <v>-</v>
      </c>
      <c r="V50" s="430">
        <f t="shared" ref="V50" si="31">IF(V7=0,"-",(V20+V25+V30)/(V7*3))</f>
        <v>0.28831658291457285</v>
      </c>
    </row>
    <row r="51" spans="1:22" ht="4.5" customHeight="1"/>
    <row r="52" spans="1:22" ht="19.5" customHeight="1">
      <c r="A52" s="440" t="s">
        <v>317</v>
      </c>
      <c r="B52" s="441">
        <f>SUM($B7:B7)</f>
        <v>153</v>
      </c>
      <c r="C52" s="441">
        <f>SUM($B7:C7)</f>
        <v>222</v>
      </c>
      <c r="D52" s="441">
        <f>SUM($B7:D7)</f>
        <v>288</v>
      </c>
      <c r="E52" s="441">
        <f>SUM($B7:E7)</f>
        <v>341</v>
      </c>
      <c r="F52" s="441">
        <f>SUM($B7:F7)</f>
        <v>442</v>
      </c>
      <c r="G52" s="441">
        <f>SUM($B7:G7)</f>
        <v>683</v>
      </c>
      <c r="H52" s="441">
        <f>SUM($B7:H7)</f>
        <v>732</v>
      </c>
      <c r="I52" s="441">
        <f>SUM($B7:I7)</f>
        <v>782</v>
      </c>
      <c r="J52" s="441">
        <f>SUM($B7:J7)</f>
        <v>813</v>
      </c>
      <c r="K52" s="441">
        <f>SUM($B7:K7)</f>
        <v>899</v>
      </c>
      <c r="L52" s="441">
        <f>SUM($B7:L7)</f>
        <v>992</v>
      </c>
      <c r="M52" s="441">
        <f>SUM($B7:M7)</f>
        <v>1089</v>
      </c>
      <c r="N52" s="441">
        <f>SUM($B7:N7)</f>
        <v>1139</v>
      </c>
      <c r="O52" s="441">
        <f>SUM($B7:O7)</f>
        <v>1197</v>
      </c>
      <c r="P52" s="441">
        <f>SUM($B7:P7)</f>
        <v>1274</v>
      </c>
      <c r="Q52" s="441">
        <f>SUM($B7:Q7)</f>
        <v>1373</v>
      </c>
      <c r="R52" s="441">
        <f>SUM($B7:R7)</f>
        <v>1472</v>
      </c>
      <c r="S52" s="441">
        <f>SUM($B7:S7)</f>
        <v>1569</v>
      </c>
      <c r="T52" s="441">
        <f>SUM($B7:T7)</f>
        <v>1592</v>
      </c>
      <c r="U52" s="441">
        <f>SUM($B7:U7)</f>
        <v>1592</v>
      </c>
      <c r="V52" s="433">
        <f>V7</f>
        <v>1592</v>
      </c>
    </row>
    <row r="53" spans="1:22" ht="19.5" customHeight="1">
      <c r="A53" s="440" t="s">
        <v>318</v>
      </c>
      <c r="B53" s="441">
        <f>SUM($B30:B30)</f>
        <v>179</v>
      </c>
      <c r="C53" s="441">
        <f>SUM($B30:C30)</f>
        <v>224</v>
      </c>
      <c r="D53" s="441">
        <f>SUM($B30:D30)</f>
        <v>288</v>
      </c>
      <c r="E53" s="441">
        <f>SUM($B30:E30)</f>
        <v>339</v>
      </c>
      <c r="F53" s="441">
        <f>SUM($B30:F30)</f>
        <v>459</v>
      </c>
      <c r="G53" s="441">
        <f>SUM($B30:G30)</f>
        <v>459</v>
      </c>
      <c r="H53" s="441">
        <f>SUM($B30:H30)</f>
        <v>459</v>
      </c>
      <c r="I53" s="441">
        <f>SUM($B30:I30)</f>
        <v>459</v>
      </c>
      <c r="J53" s="441">
        <f>SUM($B30:J30)</f>
        <v>459</v>
      </c>
      <c r="K53" s="441">
        <f>SUM($B30:K30)</f>
        <v>459</v>
      </c>
      <c r="L53" s="441">
        <f>SUM($B30:L30)</f>
        <v>459</v>
      </c>
      <c r="M53" s="441">
        <f>SUM($B30:M30)</f>
        <v>459</v>
      </c>
      <c r="N53" s="441">
        <f>SUM($B30:N30)</f>
        <v>459</v>
      </c>
      <c r="O53" s="441">
        <f>SUM($B30:O30)</f>
        <v>459</v>
      </c>
      <c r="P53" s="441">
        <f>SUM($B30:P30)</f>
        <v>459</v>
      </c>
      <c r="Q53" s="441">
        <f>SUM($B30:Q30)</f>
        <v>459</v>
      </c>
      <c r="R53" s="441">
        <f>SUM($B30:R30)</f>
        <v>459</v>
      </c>
      <c r="S53" s="441">
        <f>SUM($B30:S30)</f>
        <v>459</v>
      </c>
      <c r="T53" s="441">
        <f>SUM($B30:T30)</f>
        <v>459</v>
      </c>
      <c r="U53" s="441">
        <f>SUM($B30:U30)</f>
        <v>459</v>
      </c>
      <c r="V53" s="433">
        <f>V30</f>
        <v>459</v>
      </c>
    </row>
    <row r="54" spans="1:22" ht="19.5" customHeight="1">
      <c r="A54" s="442" t="s">
        <v>319</v>
      </c>
      <c r="B54" s="443">
        <f>IF($V$52=0,"-",B53/$V$52)</f>
        <v>0.11243718592964824</v>
      </c>
      <c r="C54" s="443">
        <f t="shared" ref="C54:U54" si="32">IF($V$52=0,"-",C53/$V$52)</f>
        <v>0.1407035175879397</v>
      </c>
      <c r="D54" s="443">
        <f t="shared" si="32"/>
        <v>0.18090452261306533</v>
      </c>
      <c r="E54" s="443">
        <f t="shared" si="32"/>
        <v>0.2129396984924623</v>
      </c>
      <c r="F54" s="443">
        <f t="shared" si="32"/>
        <v>0.28831658291457285</v>
      </c>
      <c r="G54" s="443">
        <f t="shared" si="32"/>
        <v>0.28831658291457285</v>
      </c>
      <c r="H54" s="443">
        <f t="shared" si="32"/>
        <v>0.28831658291457285</v>
      </c>
      <c r="I54" s="443">
        <f t="shared" si="32"/>
        <v>0.28831658291457285</v>
      </c>
      <c r="J54" s="443">
        <f t="shared" si="32"/>
        <v>0.28831658291457285</v>
      </c>
      <c r="K54" s="443">
        <f t="shared" si="32"/>
        <v>0.28831658291457285</v>
      </c>
      <c r="L54" s="443">
        <f t="shared" si="32"/>
        <v>0.28831658291457285</v>
      </c>
      <c r="M54" s="443">
        <f t="shared" si="32"/>
        <v>0.28831658291457285</v>
      </c>
      <c r="N54" s="443">
        <f t="shared" si="32"/>
        <v>0.28831658291457285</v>
      </c>
      <c r="O54" s="443">
        <f t="shared" si="32"/>
        <v>0.28831658291457285</v>
      </c>
      <c r="P54" s="443">
        <f t="shared" si="32"/>
        <v>0.28831658291457285</v>
      </c>
      <c r="Q54" s="443">
        <f t="shared" si="32"/>
        <v>0.28831658291457285</v>
      </c>
      <c r="R54" s="443">
        <f t="shared" si="32"/>
        <v>0.28831658291457285</v>
      </c>
      <c r="S54" s="443">
        <f t="shared" si="32"/>
        <v>0.28831658291457285</v>
      </c>
      <c r="T54" s="443">
        <f t="shared" si="32"/>
        <v>0.28831658291457285</v>
      </c>
      <c r="U54" s="443">
        <f t="shared" si="32"/>
        <v>0.28831658291457285</v>
      </c>
      <c r="V54" s="430">
        <f>IF(V7=0,"-",V53/V7)</f>
        <v>0.28831658291457285</v>
      </c>
    </row>
    <row r="55" spans="1:22" ht="19.2" customHeight="1">
      <c r="A55" s="444" t="s">
        <v>320</v>
      </c>
      <c r="B55" s="445">
        <f>IF($V$52=0,"-",B52/$V$52)</f>
        <v>9.6105527638190955E-2</v>
      </c>
      <c r="C55" s="445">
        <f t="shared" ref="C55:U55" si="33">IF($V$52=0,"-",C52/$V$52)</f>
        <v>0.13944723618090452</v>
      </c>
      <c r="D55" s="445">
        <f t="shared" si="33"/>
        <v>0.18090452261306533</v>
      </c>
      <c r="E55" s="445">
        <f t="shared" si="33"/>
        <v>0.21419597989949749</v>
      </c>
      <c r="F55" s="445">
        <f t="shared" si="33"/>
        <v>0.27763819095477388</v>
      </c>
      <c r="G55" s="445">
        <f t="shared" si="33"/>
        <v>0.42902010050251255</v>
      </c>
      <c r="H55" s="445">
        <f t="shared" si="33"/>
        <v>0.45979899497487436</v>
      </c>
      <c r="I55" s="445">
        <f t="shared" si="33"/>
        <v>0.49120603015075376</v>
      </c>
      <c r="J55" s="445">
        <f t="shared" si="33"/>
        <v>0.51067839195979903</v>
      </c>
      <c r="K55" s="445">
        <f t="shared" si="33"/>
        <v>0.56469849246231152</v>
      </c>
      <c r="L55" s="445">
        <f t="shared" si="33"/>
        <v>0.62311557788944727</v>
      </c>
      <c r="M55" s="445">
        <f t="shared" si="33"/>
        <v>0.68404522613065322</v>
      </c>
      <c r="N55" s="445">
        <f t="shared" si="33"/>
        <v>0.71545226130653261</v>
      </c>
      <c r="O55" s="445">
        <f t="shared" si="33"/>
        <v>0.75188442211055273</v>
      </c>
      <c r="P55" s="445">
        <f t="shared" si="33"/>
        <v>0.80025125628140703</v>
      </c>
      <c r="Q55" s="445">
        <f t="shared" si="33"/>
        <v>0.86243718592964824</v>
      </c>
      <c r="R55" s="445">
        <f t="shared" si="33"/>
        <v>0.92462311557788945</v>
      </c>
      <c r="S55" s="445">
        <f t="shared" si="33"/>
        <v>0.98555276381909551</v>
      </c>
      <c r="T55" s="445">
        <f t="shared" si="33"/>
        <v>1</v>
      </c>
      <c r="U55" s="445">
        <f t="shared" si="33"/>
        <v>1</v>
      </c>
      <c r="V55" s="430">
        <f>IF(V7=0,"-",V52/V7)</f>
        <v>1</v>
      </c>
    </row>
    <row r="56" spans="1:22" ht="3.6" customHeight="1"/>
    <row r="57" spans="1:22" ht="21.75" customHeight="1">
      <c r="A57" s="956" t="s">
        <v>891</v>
      </c>
      <c r="B57" s="957"/>
      <c r="C57" s="957"/>
      <c r="D57" s="957"/>
      <c r="E57" s="957"/>
      <c r="F57" s="957"/>
      <c r="G57" s="957"/>
      <c r="H57" s="957"/>
      <c r="I57" s="957"/>
      <c r="J57" s="957"/>
      <c r="K57" s="957"/>
      <c r="L57" s="957"/>
      <c r="M57" s="957"/>
      <c r="N57" s="957"/>
      <c r="O57" s="957"/>
      <c r="P57" s="957"/>
      <c r="Q57" s="957"/>
      <c r="R57" s="957"/>
      <c r="S57" s="957"/>
      <c r="T57" s="957"/>
      <c r="U57" s="957"/>
      <c r="V57" s="957"/>
    </row>
    <row r="58" spans="1:22" ht="19.5" customHeight="1">
      <c r="A58" s="438" t="s">
        <v>892</v>
      </c>
      <c r="B58" s="439">
        <f>IF(B11=0,"-",(B37)/(B11))</f>
        <v>1</v>
      </c>
      <c r="C58" s="439">
        <f t="shared" ref="C58:U58" si="34">IF(C11=0,"-",(C37)/(C11))</f>
        <v>1</v>
      </c>
      <c r="D58" s="439">
        <f t="shared" si="34"/>
        <v>1</v>
      </c>
      <c r="E58" s="439">
        <f t="shared" si="34"/>
        <v>0.96226415094339623</v>
      </c>
      <c r="F58" s="439">
        <f t="shared" si="34"/>
        <v>1.1881188118811881</v>
      </c>
      <c r="G58" s="439">
        <f t="shared" si="34"/>
        <v>0</v>
      </c>
      <c r="H58" s="439">
        <f t="shared" si="34"/>
        <v>0</v>
      </c>
      <c r="I58" s="439">
        <f t="shared" si="34"/>
        <v>0</v>
      </c>
      <c r="J58" s="439">
        <f t="shared" si="34"/>
        <v>0</v>
      </c>
      <c r="K58" s="439">
        <f t="shared" si="34"/>
        <v>0</v>
      </c>
      <c r="L58" s="439">
        <f t="shared" si="34"/>
        <v>0</v>
      </c>
      <c r="M58" s="439">
        <f t="shared" si="34"/>
        <v>0</v>
      </c>
      <c r="N58" s="439">
        <f t="shared" si="34"/>
        <v>0</v>
      </c>
      <c r="O58" s="439">
        <f t="shared" si="34"/>
        <v>0</v>
      </c>
      <c r="P58" s="439">
        <f t="shared" si="34"/>
        <v>0</v>
      </c>
      <c r="Q58" s="439">
        <f t="shared" si="34"/>
        <v>0</v>
      </c>
      <c r="R58" s="439">
        <f t="shared" si="34"/>
        <v>0</v>
      </c>
      <c r="S58" s="439">
        <f t="shared" si="34"/>
        <v>0</v>
      </c>
      <c r="T58" s="439">
        <f t="shared" si="34"/>
        <v>0</v>
      </c>
      <c r="U58" s="439" t="str">
        <f t="shared" si="34"/>
        <v>-</v>
      </c>
      <c r="V58" s="430">
        <f>IF(V11=0,"-",(V37)/(V11))</f>
        <v>0.32827832292595899</v>
      </c>
    </row>
    <row r="59" spans="1:22" ht="4.5" customHeight="1"/>
    <row r="60" spans="1:22" ht="19.5" customHeight="1">
      <c r="A60" s="440" t="s">
        <v>893</v>
      </c>
      <c r="B60" s="441">
        <f>SUM($B11:B11)</f>
        <v>88</v>
      </c>
      <c r="C60" s="441">
        <f>SUM($B11:C11)</f>
        <v>133</v>
      </c>
      <c r="D60" s="441">
        <f>SUM($B11:D11)</f>
        <v>197</v>
      </c>
      <c r="E60" s="441">
        <f>SUM($B11:E11)</f>
        <v>250</v>
      </c>
      <c r="F60" s="441">
        <f>SUM($B11:F11)</f>
        <v>351</v>
      </c>
      <c r="G60" s="441">
        <f>SUM($B11:G11)</f>
        <v>413</v>
      </c>
      <c r="H60" s="441">
        <f>SUM($B11:H11)</f>
        <v>443</v>
      </c>
      <c r="I60" s="441">
        <f>SUM($B11:I11)</f>
        <v>478</v>
      </c>
      <c r="J60" s="441">
        <f>SUM($B11:J11)</f>
        <v>509</v>
      </c>
      <c r="K60" s="441">
        <f>SUM($B11:K11)</f>
        <v>558</v>
      </c>
      <c r="L60" s="441">
        <f>SUM($B11:L11)</f>
        <v>607</v>
      </c>
      <c r="M60" s="441">
        <f>SUM($B11:M11)</f>
        <v>704</v>
      </c>
      <c r="N60" s="441">
        <f>SUM($B11:N11)</f>
        <v>754</v>
      </c>
      <c r="O60" s="441">
        <f>SUM($B11:O11)</f>
        <v>812</v>
      </c>
      <c r="P60" s="441">
        <f>SUM($B11:P11)</f>
        <v>889</v>
      </c>
      <c r="Q60" s="441">
        <f>SUM($B11:Q11)</f>
        <v>977</v>
      </c>
      <c r="R60" s="441">
        <f>SUM($B11:R11)</f>
        <v>1044</v>
      </c>
      <c r="S60" s="441">
        <f>SUM($B11:S11)</f>
        <v>1099</v>
      </c>
      <c r="T60" s="441">
        <f>SUM($B11:T11)</f>
        <v>1121</v>
      </c>
      <c r="U60" s="441">
        <f>SUM($B11:U11)</f>
        <v>1121</v>
      </c>
      <c r="V60" s="433">
        <f>V36</f>
        <v>1121</v>
      </c>
    </row>
    <row r="61" spans="1:22" ht="19.5" customHeight="1">
      <c r="A61" s="440" t="s">
        <v>894</v>
      </c>
      <c r="B61" s="441">
        <f>SUM($B37:B37)</f>
        <v>88</v>
      </c>
      <c r="C61" s="441">
        <f>SUM($B37:C37)</f>
        <v>133</v>
      </c>
      <c r="D61" s="441">
        <f>SUM($B37:D37)</f>
        <v>197</v>
      </c>
      <c r="E61" s="441">
        <f>SUM($B37:E37)</f>
        <v>248</v>
      </c>
      <c r="F61" s="441">
        <f>SUM($B37:F37)</f>
        <v>368</v>
      </c>
      <c r="G61" s="441">
        <f>SUM($B37:G37)</f>
        <v>368</v>
      </c>
      <c r="H61" s="441">
        <f>SUM($B37:H37)</f>
        <v>368</v>
      </c>
      <c r="I61" s="441">
        <f>SUM($B37:I37)</f>
        <v>368</v>
      </c>
      <c r="J61" s="441">
        <f>SUM($B37:J37)</f>
        <v>368</v>
      </c>
      <c r="K61" s="441">
        <f>SUM($B37:K37)</f>
        <v>368</v>
      </c>
      <c r="L61" s="441">
        <f>SUM($B37:L37)</f>
        <v>368</v>
      </c>
      <c r="M61" s="441">
        <f>SUM($B37:M37)</f>
        <v>368</v>
      </c>
      <c r="N61" s="441">
        <f>SUM($B37:N37)</f>
        <v>368</v>
      </c>
      <c r="O61" s="441">
        <f>SUM($B37:O37)</f>
        <v>368</v>
      </c>
      <c r="P61" s="441">
        <f>SUM($B37:P37)</f>
        <v>368</v>
      </c>
      <c r="Q61" s="441">
        <f>SUM($B37:Q37)</f>
        <v>368</v>
      </c>
      <c r="R61" s="441">
        <f>SUM($B37:R37)</f>
        <v>368</v>
      </c>
      <c r="S61" s="441">
        <f>SUM($B37:S37)</f>
        <v>368</v>
      </c>
      <c r="T61" s="441">
        <f>SUM($B37:T37)</f>
        <v>368</v>
      </c>
      <c r="U61" s="441">
        <f>SUM($B37:U37)</f>
        <v>368</v>
      </c>
      <c r="V61" s="433">
        <f>V37</f>
        <v>368</v>
      </c>
    </row>
    <row r="62" spans="1:22" ht="19.5" customHeight="1">
      <c r="A62" s="442" t="s">
        <v>895</v>
      </c>
      <c r="B62" s="443">
        <f>IF($V$60=0,"-",B61/$V$60)</f>
        <v>7.8501338090990191E-2</v>
      </c>
      <c r="C62" s="443">
        <f t="shared" ref="C62:U62" si="35">IF($V$60=0,"-",C61/$V$60)</f>
        <v>0.11864406779661017</v>
      </c>
      <c r="D62" s="443">
        <f t="shared" si="35"/>
        <v>0.17573595004460305</v>
      </c>
      <c r="E62" s="443">
        <f t="shared" si="35"/>
        <v>0.22123104371097235</v>
      </c>
      <c r="F62" s="443">
        <f t="shared" si="35"/>
        <v>0.32827832292595899</v>
      </c>
      <c r="G62" s="443">
        <f t="shared" si="35"/>
        <v>0.32827832292595899</v>
      </c>
      <c r="H62" s="443">
        <f t="shared" si="35"/>
        <v>0.32827832292595899</v>
      </c>
      <c r="I62" s="443">
        <f t="shared" si="35"/>
        <v>0.32827832292595899</v>
      </c>
      <c r="J62" s="443">
        <f t="shared" si="35"/>
        <v>0.32827832292595899</v>
      </c>
      <c r="K62" s="443">
        <f t="shared" si="35"/>
        <v>0.32827832292595899</v>
      </c>
      <c r="L62" s="443">
        <f t="shared" si="35"/>
        <v>0.32827832292595899</v>
      </c>
      <c r="M62" s="443">
        <f t="shared" si="35"/>
        <v>0.32827832292595899</v>
      </c>
      <c r="N62" s="443">
        <f t="shared" si="35"/>
        <v>0.32827832292595899</v>
      </c>
      <c r="O62" s="443">
        <f t="shared" si="35"/>
        <v>0.32827832292595899</v>
      </c>
      <c r="P62" s="443">
        <f t="shared" si="35"/>
        <v>0.32827832292595899</v>
      </c>
      <c r="Q62" s="443">
        <f t="shared" si="35"/>
        <v>0.32827832292595899</v>
      </c>
      <c r="R62" s="443">
        <f t="shared" si="35"/>
        <v>0.32827832292595899</v>
      </c>
      <c r="S62" s="443">
        <f t="shared" si="35"/>
        <v>0.32827832292595899</v>
      </c>
      <c r="T62" s="443">
        <f t="shared" si="35"/>
        <v>0.32827832292595899</v>
      </c>
      <c r="U62" s="443">
        <f t="shared" si="35"/>
        <v>0.32827832292595899</v>
      </c>
      <c r="V62" s="430">
        <f>IF(V11=0,"-",V61/V11)</f>
        <v>0.32827832292595899</v>
      </c>
    </row>
    <row r="63" spans="1:22" ht="19.5" customHeight="1">
      <c r="A63" s="444" t="s">
        <v>896</v>
      </c>
      <c r="B63" s="445">
        <f>IF($V$60=0,"-",B60/$V$60)</f>
        <v>7.8501338090990191E-2</v>
      </c>
      <c r="C63" s="445">
        <f t="shared" ref="C63:U63" si="36">IF($V$60=0,"-",C60/$V$60)</f>
        <v>0.11864406779661017</v>
      </c>
      <c r="D63" s="445">
        <f t="shared" si="36"/>
        <v>0.17573595004460305</v>
      </c>
      <c r="E63" s="445">
        <f t="shared" si="36"/>
        <v>0.22301516503122212</v>
      </c>
      <c r="F63" s="445">
        <f t="shared" si="36"/>
        <v>0.31311329170383584</v>
      </c>
      <c r="G63" s="445">
        <f t="shared" si="36"/>
        <v>0.36842105263157893</v>
      </c>
      <c r="H63" s="445">
        <f t="shared" si="36"/>
        <v>0.39518287243532563</v>
      </c>
      <c r="I63" s="445">
        <f t="shared" si="36"/>
        <v>0.42640499553969669</v>
      </c>
      <c r="J63" s="445">
        <f t="shared" si="36"/>
        <v>0.45405887600356826</v>
      </c>
      <c r="K63" s="445">
        <f t="shared" si="36"/>
        <v>0.49776984834968779</v>
      </c>
      <c r="L63" s="445">
        <f t="shared" si="36"/>
        <v>0.54148082069580727</v>
      </c>
      <c r="M63" s="445">
        <f t="shared" si="36"/>
        <v>0.62801070472792153</v>
      </c>
      <c r="N63" s="445">
        <f t="shared" si="36"/>
        <v>0.67261373773416588</v>
      </c>
      <c r="O63" s="445">
        <f t="shared" si="36"/>
        <v>0.72435325602140943</v>
      </c>
      <c r="P63" s="445">
        <f t="shared" si="36"/>
        <v>0.79304192685102592</v>
      </c>
      <c r="Q63" s="445">
        <f t="shared" si="36"/>
        <v>0.87154326494201606</v>
      </c>
      <c r="R63" s="445">
        <f t="shared" si="36"/>
        <v>0.93131132917038362</v>
      </c>
      <c r="S63" s="445">
        <f t="shared" si="36"/>
        <v>0.98037466547725249</v>
      </c>
      <c r="T63" s="445">
        <f t="shared" si="36"/>
        <v>1</v>
      </c>
      <c r="U63" s="445">
        <f t="shared" si="36"/>
        <v>1</v>
      </c>
      <c r="V63" s="430">
        <f>IF(V60=0,"-",V60/V60)</f>
        <v>1</v>
      </c>
    </row>
    <row r="64" spans="1:22" ht="3.6" customHeight="1"/>
    <row r="65" spans="1:22" ht="21.75" customHeight="1">
      <c r="A65" s="956" t="s">
        <v>897</v>
      </c>
      <c r="B65" s="957"/>
      <c r="C65" s="957"/>
      <c r="D65" s="957"/>
      <c r="E65" s="957"/>
      <c r="F65" s="957"/>
      <c r="G65" s="957"/>
      <c r="H65" s="957"/>
      <c r="I65" s="957"/>
      <c r="J65" s="957"/>
      <c r="K65" s="957"/>
      <c r="L65" s="957"/>
      <c r="M65" s="957"/>
      <c r="N65" s="957"/>
      <c r="O65" s="957"/>
      <c r="P65" s="957"/>
      <c r="Q65" s="957"/>
      <c r="R65" s="957"/>
      <c r="S65" s="957"/>
      <c r="T65" s="957"/>
      <c r="U65" s="957"/>
      <c r="V65" s="957"/>
    </row>
    <row r="66" spans="1:22" ht="19.5" customHeight="1">
      <c r="A66" s="438" t="s">
        <v>898</v>
      </c>
      <c r="B66" s="439">
        <f>IF(B15=0,"-",(B44)/(B15))</f>
        <v>1.558139534883721</v>
      </c>
      <c r="C66" s="439">
        <f t="shared" ref="C66:U66" si="37">IF(C15=0,"-",(C44)/(C15))</f>
        <v>0</v>
      </c>
      <c r="D66" s="439" t="str">
        <f t="shared" si="37"/>
        <v>-</v>
      </c>
      <c r="E66" s="439" t="str">
        <f t="shared" si="37"/>
        <v>-</v>
      </c>
      <c r="F66" s="439" t="str">
        <f t="shared" si="37"/>
        <v>-</v>
      </c>
      <c r="G66" s="439">
        <f t="shared" si="37"/>
        <v>0</v>
      </c>
      <c r="H66" s="439">
        <f t="shared" si="37"/>
        <v>0</v>
      </c>
      <c r="I66" s="439">
        <f t="shared" si="37"/>
        <v>0</v>
      </c>
      <c r="J66" s="439" t="str">
        <f t="shared" si="37"/>
        <v>-</v>
      </c>
      <c r="K66" s="439">
        <f t="shared" si="37"/>
        <v>0</v>
      </c>
      <c r="L66" s="439">
        <f t="shared" si="37"/>
        <v>0</v>
      </c>
      <c r="M66" s="439" t="str">
        <f t="shared" si="37"/>
        <v>-</v>
      </c>
      <c r="N66" s="439" t="str">
        <f t="shared" si="37"/>
        <v>-</v>
      </c>
      <c r="O66" s="439" t="str">
        <f t="shared" si="37"/>
        <v>-</v>
      </c>
      <c r="P66" s="439" t="str">
        <f t="shared" si="37"/>
        <v>-</v>
      </c>
      <c r="Q66" s="439">
        <f t="shared" si="37"/>
        <v>0</v>
      </c>
      <c r="R66" s="439">
        <f t="shared" si="37"/>
        <v>0</v>
      </c>
      <c r="S66" s="439">
        <f t="shared" si="37"/>
        <v>0</v>
      </c>
      <c r="T66" s="439">
        <f t="shared" si="37"/>
        <v>0</v>
      </c>
      <c r="U66" s="439" t="str">
        <f t="shared" si="37"/>
        <v>-</v>
      </c>
      <c r="V66" s="430">
        <f t="shared" ref="V66" si="38">IF(V15=0,"-",(V44)/(V15))</f>
        <v>0.15056179775280898</v>
      </c>
    </row>
    <row r="67" spans="1:22" ht="4.5" customHeight="1"/>
    <row r="68" spans="1:22" ht="19.5" customHeight="1">
      <c r="A68" s="440" t="s">
        <v>899</v>
      </c>
      <c r="B68" s="441">
        <f>SUM($B15:B15)</f>
        <v>43</v>
      </c>
      <c r="C68" s="441">
        <f>SUM($B15:C15)</f>
        <v>67</v>
      </c>
      <c r="D68" s="441">
        <f>SUM($B15:D15)</f>
        <v>67</v>
      </c>
      <c r="E68" s="441">
        <f>SUM($B15:E15)</f>
        <v>67</v>
      </c>
      <c r="F68" s="441">
        <f>SUM($B15:F15)</f>
        <v>67</v>
      </c>
      <c r="G68" s="441">
        <f>SUM($B15:G15)</f>
        <v>244</v>
      </c>
      <c r="H68" s="441">
        <f>SUM($B15:H15)</f>
        <v>263</v>
      </c>
      <c r="I68" s="441">
        <f>SUM($B15:I15)</f>
        <v>278</v>
      </c>
      <c r="J68" s="441">
        <f>SUM($B15:J15)</f>
        <v>278</v>
      </c>
      <c r="K68" s="441">
        <f>SUM($B15:K15)</f>
        <v>315</v>
      </c>
      <c r="L68" s="441">
        <f>SUM($B15:L15)</f>
        <v>359</v>
      </c>
      <c r="M68" s="441">
        <f>SUM($B15:M15)</f>
        <v>359</v>
      </c>
      <c r="N68" s="441">
        <f>SUM($B15:N15)</f>
        <v>359</v>
      </c>
      <c r="O68" s="441">
        <f>SUM($B15:O15)</f>
        <v>359</v>
      </c>
      <c r="P68" s="441">
        <f>SUM($B15:P15)</f>
        <v>359</v>
      </c>
      <c r="Q68" s="441">
        <f>SUM($B15:Q15)</f>
        <v>370</v>
      </c>
      <c r="R68" s="441">
        <f>SUM($B15:R15)</f>
        <v>402</v>
      </c>
      <c r="S68" s="441">
        <f>SUM($B15:S15)</f>
        <v>444</v>
      </c>
      <c r="T68" s="441">
        <f>SUM($B15:T15)</f>
        <v>445</v>
      </c>
      <c r="U68" s="441">
        <f>SUM($B15:U15)</f>
        <v>445</v>
      </c>
      <c r="V68" s="433">
        <f>V43</f>
        <v>445</v>
      </c>
    </row>
    <row r="69" spans="1:22" ht="19.5" customHeight="1">
      <c r="A69" s="440" t="s">
        <v>900</v>
      </c>
      <c r="B69" s="441">
        <f>SUM($B44:B44)</f>
        <v>67</v>
      </c>
      <c r="C69" s="441">
        <f>SUM($B44:C44)</f>
        <v>67</v>
      </c>
      <c r="D69" s="441">
        <f>SUM($B44:D44)</f>
        <v>67</v>
      </c>
      <c r="E69" s="441">
        <f>SUM($B44:E44)</f>
        <v>67</v>
      </c>
      <c r="F69" s="441">
        <f>SUM($B44:F44)</f>
        <v>67</v>
      </c>
      <c r="G69" s="441">
        <f>SUM($B44:G44)</f>
        <v>67</v>
      </c>
      <c r="H69" s="441">
        <f>SUM($B44:H44)</f>
        <v>67</v>
      </c>
      <c r="I69" s="441">
        <f>SUM($B44:I44)</f>
        <v>67</v>
      </c>
      <c r="J69" s="441">
        <f>SUM($B44:J44)</f>
        <v>67</v>
      </c>
      <c r="K69" s="441">
        <f>SUM($B44:K44)</f>
        <v>67</v>
      </c>
      <c r="L69" s="441">
        <f>SUM($B44:L44)</f>
        <v>67</v>
      </c>
      <c r="M69" s="441">
        <f>SUM($B44:M44)</f>
        <v>67</v>
      </c>
      <c r="N69" s="441">
        <f>SUM($B44:N44)</f>
        <v>67</v>
      </c>
      <c r="O69" s="441">
        <f>SUM($B44:O44)</f>
        <v>67</v>
      </c>
      <c r="P69" s="441">
        <f>SUM($B44:P44)</f>
        <v>67</v>
      </c>
      <c r="Q69" s="441">
        <f>SUM($B44:Q44)</f>
        <v>67</v>
      </c>
      <c r="R69" s="441">
        <f>SUM($B44:R44)</f>
        <v>67</v>
      </c>
      <c r="S69" s="441">
        <f>SUM($B44:S44)</f>
        <v>67</v>
      </c>
      <c r="T69" s="441">
        <f>SUM($B44:T44)</f>
        <v>67</v>
      </c>
      <c r="U69" s="441">
        <f>SUM($B44:U44)</f>
        <v>67</v>
      </c>
      <c r="V69" s="433">
        <f>V44</f>
        <v>67</v>
      </c>
    </row>
    <row r="70" spans="1:22" ht="19.5" customHeight="1">
      <c r="A70" s="442" t="s">
        <v>901</v>
      </c>
      <c r="B70" s="443">
        <f>IF($V$68=0,"-",B69/$V$68)</f>
        <v>0.15056179775280898</v>
      </c>
      <c r="C70" s="443">
        <f t="shared" ref="C70:U70" si="39">IF($V$68=0,"-",C69/$V$68)</f>
        <v>0.15056179775280898</v>
      </c>
      <c r="D70" s="443">
        <f t="shared" si="39"/>
        <v>0.15056179775280898</v>
      </c>
      <c r="E70" s="443">
        <f t="shared" si="39"/>
        <v>0.15056179775280898</v>
      </c>
      <c r="F70" s="443">
        <f t="shared" si="39"/>
        <v>0.15056179775280898</v>
      </c>
      <c r="G70" s="443">
        <f t="shared" si="39"/>
        <v>0.15056179775280898</v>
      </c>
      <c r="H70" s="443">
        <f t="shared" si="39"/>
        <v>0.15056179775280898</v>
      </c>
      <c r="I70" s="443">
        <f t="shared" si="39"/>
        <v>0.15056179775280898</v>
      </c>
      <c r="J70" s="443">
        <f t="shared" si="39"/>
        <v>0.15056179775280898</v>
      </c>
      <c r="K70" s="443">
        <f t="shared" si="39"/>
        <v>0.15056179775280898</v>
      </c>
      <c r="L70" s="443">
        <f t="shared" si="39"/>
        <v>0.15056179775280898</v>
      </c>
      <c r="M70" s="443">
        <f t="shared" si="39"/>
        <v>0.15056179775280898</v>
      </c>
      <c r="N70" s="443">
        <f t="shared" si="39"/>
        <v>0.15056179775280898</v>
      </c>
      <c r="O70" s="443">
        <f t="shared" si="39"/>
        <v>0.15056179775280898</v>
      </c>
      <c r="P70" s="443">
        <f t="shared" si="39"/>
        <v>0.15056179775280898</v>
      </c>
      <c r="Q70" s="443">
        <f t="shared" si="39"/>
        <v>0.15056179775280898</v>
      </c>
      <c r="R70" s="443">
        <f t="shared" si="39"/>
        <v>0.15056179775280898</v>
      </c>
      <c r="S70" s="443">
        <f t="shared" si="39"/>
        <v>0.15056179775280898</v>
      </c>
      <c r="T70" s="443">
        <f t="shared" si="39"/>
        <v>0.15056179775280898</v>
      </c>
      <c r="U70" s="443">
        <f t="shared" si="39"/>
        <v>0.15056179775280898</v>
      </c>
      <c r="V70" s="430">
        <f>IF(V15=0,"-",V69/V15)</f>
        <v>0.15056179775280898</v>
      </c>
    </row>
    <row r="71" spans="1:22" ht="19.5" customHeight="1">
      <c r="A71" s="444" t="s">
        <v>902</v>
      </c>
      <c r="B71" s="445">
        <f>IF($V$68=0,"-",B68/$V$68)</f>
        <v>9.662921348314607E-2</v>
      </c>
      <c r="C71" s="445">
        <f t="shared" ref="C71:U71" si="40">IF($V$68=0,"-",C68/$V$68)</f>
        <v>0.15056179775280898</v>
      </c>
      <c r="D71" s="445">
        <f t="shared" si="40"/>
        <v>0.15056179775280898</v>
      </c>
      <c r="E71" s="445">
        <f t="shared" si="40"/>
        <v>0.15056179775280898</v>
      </c>
      <c r="F71" s="445">
        <f t="shared" si="40"/>
        <v>0.15056179775280898</v>
      </c>
      <c r="G71" s="445">
        <f t="shared" si="40"/>
        <v>0.54831460674157306</v>
      </c>
      <c r="H71" s="445">
        <f t="shared" si="40"/>
        <v>0.59101123595505622</v>
      </c>
      <c r="I71" s="445">
        <f t="shared" si="40"/>
        <v>0.62471910112359552</v>
      </c>
      <c r="J71" s="445">
        <f t="shared" si="40"/>
        <v>0.62471910112359552</v>
      </c>
      <c r="K71" s="445">
        <f t="shared" si="40"/>
        <v>0.7078651685393258</v>
      </c>
      <c r="L71" s="445">
        <f t="shared" si="40"/>
        <v>0.80674157303370786</v>
      </c>
      <c r="M71" s="445">
        <f t="shared" si="40"/>
        <v>0.80674157303370786</v>
      </c>
      <c r="N71" s="445">
        <f t="shared" si="40"/>
        <v>0.80674157303370786</v>
      </c>
      <c r="O71" s="445">
        <f t="shared" si="40"/>
        <v>0.80674157303370786</v>
      </c>
      <c r="P71" s="445">
        <f t="shared" si="40"/>
        <v>0.80674157303370786</v>
      </c>
      <c r="Q71" s="445">
        <f t="shared" si="40"/>
        <v>0.8314606741573034</v>
      </c>
      <c r="R71" s="445">
        <f t="shared" si="40"/>
        <v>0.90337078651685399</v>
      </c>
      <c r="S71" s="445">
        <f t="shared" si="40"/>
        <v>0.99775280898876406</v>
      </c>
      <c r="T71" s="445">
        <f t="shared" si="40"/>
        <v>1</v>
      </c>
      <c r="U71" s="445">
        <f t="shared" si="40"/>
        <v>1</v>
      </c>
      <c r="V71" s="430">
        <f>IF($V$68=0,"-",V68/$V$68)</f>
        <v>1</v>
      </c>
    </row>
    <row r="73" spans="1:22" ht="19.5" customHeight="1">
      <c r="A73" s="958" t="s">
        <v>903</v>
      </c>
      <c r="B73" s="959"/>
      <c r="C73" s="959"/>
      <c r="D73" s="959"/>
      <c r="E73" s="959"/>
      <c r="F73" s="959"/>
      <c r="G73" s="959"/>
      <c r="H73" s="959"/>
      <c r="I73" s="959"/>
      <c r="J73" s="959"/>
      <c r="K73" s="959"/>
      <c r="L73" s="959"/>
      <c r="M73" s="959"/>
      <c r="N73" s="959"/>
      <c r="O73" s="959"/>
      <c r="P73" s="959"/>
      <c r="Q73" s="959"/>
    </row>
    <row r="80" spans="1:22" ht="15" hidden="1" customHeight="1">
      <c r="B80" s="446">
        <f>DATE(2026,2,1)</f>
        <v>46054</v>
      </c>
      <c r="C80" s="446">
        <f>DATE(2026,2,21)</f>
        <v>46074</v>
      </c>
      <c r="D80" s="446">
        <f>DATE(2026,2,28)</f>
        <v>46081</v>
      </c>
      <c r="E80" s="446">
        <f>DATE(2026,3,7)</f>
        <v>46088</v>
      </c>
      <c r="F80" s="446">
        <f>DATE(2026,3,14)</f>
        <v>46095</v>
      </c>
      <c r="G80" s="446">
        <f>DATE(2026,3,21)</f>
        <v>46102</v>
      </c>
      <c r="H80" s="446">
        <f>DATE(2026,3,28)</f>
        <v>46109</v>
      </c>
      <c r="I80" s="446">
        <f>DATE(2026,4,4)</f>
        <v>46116</v>
      </c>
      <c r="J80" s="446">
        <f>DATE(2026,4,11)</f>
        <v>46123</v>
      </c>
      <c r="K80" s="446">
        <f>DATE(2026,4,18)</f>
        <v>46130</v>
      </c>
      <c r="L80" s="446">
        <f>DATE(2026,4,25)</f>
        <v>46137</v>
      </c>
      <c r="M80" s="446">
        <f>DATE(2026,5,2)</f>
        <v>46144</v>
      </c>
      <c r="N80" s="446">
        <f>DATE(2026,5,9)</f>
        <v>46151</v>
      </c>
      <c r="O80" s="446">
        <f>DATE(2026,5,16)</f>
        <v>46158</v>
      </c>
      <c r="P80" s="446">
        <f>DATE(2026,5,23)</f>
        <v>46165</v>
      </c>
      <c r="Q80" s="446">
        <f>DATE(2026,5,30)</f>
        <v>46172</v>
      </c>
      <c r="R80" s="446">
        <f>Q80+7</f>
        <v>46179</v>
      </c>
      <c r="S80" s="446">
        <f t="shared" ref="S80:U80" si="41">R80+7</f>
        <v>46186</v>
      </c>
      <c r="T80" s="446">
        <f t="shared" si="41"/>
        <v>46193</v>
      </c>
      <c r="U80" s="446">
        <f t="shared" si="41"/>
        <v>46200</v>
      </c>
    </row>
    <row r="81" spans="2:21" ht="15" hidden="1" customHeight="1">
      <c r="B81" s="446">
        <f>DATE(2026,2,20)</f>
        <v>46073</v>
      </c>
      <c r="C81" s="446">
        <f>DATE(2026,2,27)</f>
        <v>46080</v>
      </c>
      <c r="D81" s="446">
        <f>DATE(2026,3,6)</f>
        <v>46087</v>
      </c>
      <c r="E81" s="446">
        <f>DATE(2026,3,13)</f>
        <v>46094</v>
      </c>
      <c r="F81" s="446">
        <f>DATE(2026,3,20)</f>
        <v>46101</v>
      </c>
      <c r="G81" s="446">
        <f>DATE(2026,3,27)</f>
        <v>46108</v>
      </c>
      <c r="H81" s="446">
        <f>DATE(2026,4,3)</f>
        <v>46115</v>
      </c>
      <c r="I81" s="446">
        <f>DATE(2026,4,10)</f>
        <v>46122</v>
      </c>
      <c r="J81" s="446">
        <f>DATE(2026,4,17)</f>
        <v>46129</v>
      </c>
      <c r="K81" s="446">
        <f>DATE(2026,4,24)</f>
        <v>46136</v>
      </c>
      <c r="L81" s="446">
        <f>DATE(2026,5,1)</f>
        <v>46143</v>
      </c>
      <c r="M81" s="446">
        <f>DATE(2026,5,8)</f>
        <v>46150</v>
      </c>
      <c r="N81" s="446">
        <f>DATE(2026,5,15)</f>
        <v>46157</v>
      </c>
      <c r="O81" s="446">
        <f>DATE(2026,5,22)</f>
        <v>46164</v>
      </c>
      <c r="P81" s="446">
        <f>DATE(2026,5,29)</f>
        <v>46171</v>
      </c>
      <c r="Q81" s="446">
        <f>P81+7</f>
        <v>46178</v>
      </c>
      <c r="R81" s="446">
        <f>Q81+7</f>
        <v>46185</v>
      </c>
      <c r="S81" s="446">
        <f t="shared" ref="S81:U81" si="42">R81+7</f>
        <v>46192</v>
      </c>
      <c r="T81" s="446">
        <f t="shared" si="42"/>
        <v>46199</v>
      </c>
      <c r="U81" s="446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3" customWidth="1"/>
    <col min="2" max="17" width="11.6640625" style="423" bestFit="1" customWidth="1"/>
    <col min="18" max="18" width="11.6640625" style="423" customWidth="1"/>
    <col min="19" max="22" width="10.5546875" style="423" bestFit="1" customWidth="1"/>
    <col min="23" max="16384" width="8.6640625" style="423"/>
  </cols>
  <sheetData>
    <row r="1" spans="1:22" ht="30" customHeight="1">
      <c r="A1" s="945" t="s">
        <v>904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</row>
    <row r="2" spans="1:22" ht="18" customHeight="1">
      <c r="A2" s="960" t="s">
        <v>905</v>
      </c>
      <c r="B2" s="961"/>
      <c r="C2" s="961"/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961"/>
      <c r="V2" s="961"/>
    </row>
    <row r="3" spans="1:22" ht="4.2" customHeight="1"/>
    <row r="4" spans="1:22" ht="28.8">
      <c r="A4" s="967" t="s">
        <v>291</v>
      </c>
      <c r="B4" s="611" t="s">
        <v>853</v>
      </c>
      <c r="C4" s="611" t="s">
        <v>854</v>
      </c>
      <c r="D4" s="611" t="s">
        <v>855</v>
      </c>
      <c r="E4" s="611" t="s">
        <v>856</v>
      </c>
      <c r="F4" s="611" t="s">
        <v>857</v>
      </c>
      <c r="G4" s="611" t="s">
        <v>858</v>
      </c>
      <c r="H4" s="611" t="s">
        <v>859</v>
      </c>
      <c r="I4" s="611" t="s">
        <v>860</v>
      </c>
      <c r="J4" s="611" t="s">
        <v>861</v>
      </c>
      <c r="K4" s="611" t="s">
        <v>862</v>
      </c>
      <c r="L4" s="611" t="s">
        <v>863</v>
      </c>
      <c r="M4" s="611" t="s">
        <v>864</v>
      </c>
      <c r="N4" s="611" t="s">
        <v>865</v>
      </c>
      <c r="O4" s="611" t="s">
        <v>866</v>
      </c>
      <c r="P4" s="611" t="s">
        <v>867</v>
      </c>
      <c r="Q4" s="424" t="s">
        <v>868</v>
      </c>
      <c r="R4" s="424" t="s">
        <v>869</v>
      </c>
      <c r="S4" s="424" t="s">
        <v>870</v>
      </c>
      <c r="T4" s="424" t="s">
        <v>871</v>
      </c>
      <c r="U4" s="424" t="s">
        <v>872</v>
      </c>
      <c r="V4" s="967" t="s">
        <v>301</v>
      </c>
    </row>
    <row r="5" spans="1:22" ht="4.5" customHeight="1">
      <c r="A5" s="967"/>
      <c r="V5" s="967"/>
    </row>
    <row r="6" spans="1:22" ht="24" customHeight="1">
      <c r="A6" s="962" t="s">
        <v>906</v>
      </c>
      <c r="B6" s="963"/>
      <c r="C6" s="963"/>
      <c r="D6" s="963"/>
      <c r="E6" s="963"/>
      <c r="F6" s="963"/>
      <c r="G6" s="963"/>
      <c r="H6" s="963"/>
      <c r="I6" s="963"/>
      <c r="J6" s="963"/>
      <c r="K6" s="963"/>
      <c r="L6" s="963"/>
      <c r="M6" s="963"/>
      <c r="N6" s="963"/>
      <c r="O6" s="963"/>
      <c r="P6" s="963"/>
      <c r="Q6" s="963"/>
      <c r="R6" s="963"/>
      <c r="S6" s="963"/>
      <c r="T6" s="963"/>
      <c r="U6" s="963"/>
      <c r="V6" s="963"/>
    </row>
    <row r="7" spans="1:22" ht="18" customHeight="1">
      <c r="A7" s="542" t="s">
        <v>303</v>
      </c>
      <c r="B7" s="543" cm="1">
        <f t="array" ref="B7">SUMPRODUCT((SVB!$R$2:$R$740&gt;=B311)*(SVB!$R$2:$R$740&lt;=B312)*(SVB!$B$2:$B$740="AMF")*(ISNUMBER(SVB!$F$2:$F$740))*(SVB!$F$2:$F$740))</f>
        <v>2</v>
      </c>
      <c r="C7" s="543" cm="1">
        <f t="array" ref="C7">SUMPRODUCT((SVB!$R$2:$R$740&gt;=C311)*(SVB!$R$2:$R$740&lt;=C312)*(SVB!$B$2:$B$740="AMF")*(ISNUMBER(SVB!$F$2:$F$740))*(SVB!$F$2:$F$740))</f>
        <v>0</v>
      </c>
      <c r="D7" s="543" cm="1">
        <f t="array" ref="D7">SUMPRODUCT((SVB!$R$2:$R$740&gt;=D311)*(SVB!$R$2:$R$740&lt;=D312)*(SVB!$B$2:$B$740="AMF")*(ISNUMBER(SVB!$F$2:$F$740))*(SVB!$F$2:$F$740))</f>
        <v>0</v>
      </c>
      <c r="E7" s="543" cm="1">
        <f t="array" ref="E7">SUMPRODUCT((SVB!$R$2:$R$740&gt;=E311)*(SVB!$R$2:$R$740&lt;=E312)*(SVB!$B$2:$B$740="AMF")*(ISNUMBER(SVB!$F$2:$F$740))*(SVB!$F$2:$F$740))</f>
        <v>0</v>
      </c>
      <c r="F7" s="543" cm="1">
        <f t="array" ref="F7">SUMPRODUCT((SVB!$R$2:$R$740&gt;=F311)*(SVB!$R$2:$R$740&lt;=F312)*(SVB!$B$2:$B$740="AMF")*(ISNUMBER(SVB!$F$2:$F$740))*(SVB!$F$2:$F$740))</f>
        <v>0</v>
      </c>
      <c r="G7" s="543" cm="1">
        <f t="array" ref="G7">SUMPRODUCT((SVB!$R$2:$R$740&gt;=G311)*(SVB!$R$2:$R$740&lt;=G312)*(SVB!$B$2:$B$740="AMF")*(ISNUMBER(SVB!$F$2:$F$740))*(SVB!$F$2:$F$740))</f>
        <v>0</v>
      </c>
      <c r="H7" s="543" cm="1">
        <f t="array" ref="H7">SUMPRODUCT((SVB!$R$2:$R$740&gt;=H311)*(SVB!$R$2:$R$740&lt;=H312)*(SVB!$B$2:$B$740="AMF")*(ISNUMBER(SVB!$F$2:$F$740))*(SVB!$F$2:$F$740))</f>
        <v>0</v>
      </c>
      <c r="I7" s="543" cm="1">
        <f t="array" ref="I7">SUMPRODUCT((SVB!$R$2:$R$740&gt;=I311)*(SVB!$R$2:$R$740&lt;=I312)*(SVB!$B$2:$B$740="AMF")*(ISNUMBER(SVB!$F$2:$F$740))*(SVB!$F$2:$F$740))</f>
        <v>0</v>
      </c>
      <c r="J7" s="543" cm="1">
        <f t="array" ref="J7">SUMPRODUCT((SVB!$R$2:$R$740&gt;=J311)*(SVB!$R$2:$R$740&lt;=J312)*(SVB!$B$2:$B$740="AMF")*(ISNUMBER(SVB!$F$2:$F$740))*(SVB!$F$2:$F$740))</f>
        <v>0</v>
      </c>
      <c r="K7" s="543" cm="1">
        <f t="array" ref="K7">SUMPRODUCT((SVB!$R$2:$R$740&gt;=K311)*(SVB!$R$2:$R$740&lt;=K312)*(SVB!$B$2:$B$740="AMF")*(ISNUMBER(SVB!$F$2:$F$740))*(SVB!$F$2:$F$740))</f>
        <v>0</v>
      </c>
      <c r="L7" s="543" cm="1">
        <f t="array" ref="L7">SUMPRODUCT((SVB!$R$2:$R$740&gt;=L311)*(SVB!$R$2:$R$740&lt;=L312)*(SVB!$B$2:$B$740="AMF")*(ISNUMBER(SVB!$F$2:$F$740))*(SVB!$F$2:$F$740))</f>
        <v>0</v>
      </c>
      <c r="M7" s="543" cm="1">
        <f t="array" ref="M7">SUMPRODUCT((SVB!$R$2:$R$740&gt;=M311)*(SVB!$R$2:$R$740&lt;=M312)*(SVB!$B$2:$B$740="AMF")*(ISNUMBER(SVB!$F$2:$F$740))*(SVB!$F$2:$F$740))</f>
        <v>0</v>
      </c>
      <c r="N7" s="543" cm="1">
        <f t="array" ref="N7">SUMPRODUCT((SVB!$R$2:$R$740&gt;=N311)*(SVB!$R$2:$R$740&lt;=N312)*(SVB!$B$2:$B$740="AMF")*(ISNUMBER(SVB!$F$2:$F$740))*(SVB!$F$2:$F$740))</f>
        <v>0</v>
      </c>
      <c r="O7" s="543" cm="1">
        <f t="array" ref="O7">SUMPRODUCT((SVB!$R$2:$R$740&gt;=O311)*(SVB!$R$2:$R$740&lt;=O312)*(SVB!$B$2:$B$740="AMF")*(ISNUMBER(SVB!$F$2:$F$740))*(SVB!$F$2:$F$740))</f>
        <v>0</v>
      </c>
      <c r="P7" s="543" cm="1">
        <f t="array" ref="P7">SUMPRODUCT((SVB!$R$2:$R$740&gt;=P311)*(SVB!$R$2:$R$740&lt;=P312)*(SVB!$B$2:$B$740="AMF")*(ISNUMBER(SVB!$F$2:$F$740))*(SVB!$F$2:$F$740))</f>
        <v>0</v>
      </c>
      <c r="Q7" s="543" cm="1">
        <f t="array" ref="Q7">SUMPRODUCT((SVB!$R$2:$R$740&gt;=Q311)*(SVB!$R$2:$R$740&lt;=Q312)*(SVB!$B$2:$B$740="AMF")*(ISNUMBER(SVB!$F$2:$F$740))*(SVB!$F$2:$F$740))</f>
        <v>0</v>
      </c>
      <c r="R7" s="543" cm="1">
        <f t="array" ref="R7">SUMPRODUCT((SVB!$R$2:$R$740&gt;=R311)*(SVB!$R$2:$R$740&lt;=R312)*(SVB!$B$2:$B$740="AMF")*(ISNUMBER(SVB!$F$2:$F$740))*(SVB!$F$2:$F$740))</f>
        <v>0</v>
      </c>
      <c r="S7" s="543" cm="1">
        <f t="array" ref="S7">SUMPRODUCT((SVB!$R$2:$R$740&gt;=S311)*(SVB!$R$2:$R$740&lt;=S312)*(SVB!$B$2:$B$740="AMF")*(ISNUMBER(SVB!$F$2:$F$740))*(SVB!$F$2:$F$740))</f>
        <v>95</v>
      </c>
      <c r="T7" s="543" cm="1">
        <f t="array" ref="T7">SUMPRODUCT((SVB!$R$2:$R$740&gt;=T311)*(SVB!$R$2:$R$740&lt;=T312)*(SVB!$B$2:$B$740="AMF")*(ISNUMBER(SVB!$F$2:$F$740))*(SVB!$F$2:$F$740))</f>
        <v>17</v>
      </c>
      <c r="U7" s="543" cm="1">
        <f t="array" ref="U7">SUMPRODUCT((SVB!$R$2:$R$740&gt;=U311)*(SVB!$R$2:$R$740&lt;=U312)*(SVB!$B$2:$B$740="AMF")*(ISNUMBER(SVB!$F$2:$F$740))*(SVB!$F$2:$F$740))</f>
        <v>0</v>
      </c>
      <c r="V7" s="544" cm="1">
        <f t="array" ref="V7">SUMPRODUCT((SVB!$B$2:$B$740="AMF")*(ISNUMBER(SVB!$F$2:$F$740))*(SVB!$F$2:$F$740))</f>
        <v>114</v>
      </c>
    </row>
    <row r="8" spans="1:22" ht="18" customHeight="1">
      <c r="A8" s="449" t="s">
        <v>907</v>
      </c>
      <c r="B8" s="450" cm="1">
        <f t="array" ref="B8">SUMPRODUCT((SVB!$S$2:$S$740&gt;=B311)*(SVB!$S$2:$S$740&lt;=B312)*(SVB!$B$2:$B$740="AMF")*(ISNUMBER(SVB!$M$2:$M$740))*(SVB!$M$2:$M$740))</f>
        <v>2</v>
      </c>
      <c r="C8" s="450" cm="1">
        <f t="array" ref="C8">SUMPRODUCT((SVB!$S$2:$S$740&gt;=C311)*(SVB!$S$2:$S$740&lt;=C312)*(SVB!$B$2:$B$740="AMF")*(ISNUMBER(SVB!$M$2:$M$740))*(SVB!$M$2:$M$740))</f>
        <v>0</v>
      </c>
      <c r="D8" s="450" cm="1">
        <f t="array" ref="D8">SUMPRODUCT((SVB!$S$2:$S$740&gt;=D311)*(SVB!$S$2:$S$740&lt;=D312)*(SVB!$B$2:$B$740="AMF")*(ISNUMBER(SVB!$M$2:$M$740))*(SVB!$M$2:$M$740))</f>
        <v>0</v>
      </c>
      <c r="E8" s="450" cm="1">
        <f t="array" ref="E8">SUMPRODUCT((SVB!$S$2:$S$740&gt;=E311)*(SVB!$S$2:$S$740&lt;=E312)*(SVB!$B$2:$B$740="AMF")*(ISNUMBER(SVB!$M$2:$M$740))*(SVB!$M$2:$M$740))</f>
        <v>0</v>
      </c>
      <c r="F8" s="450" cm="1">
        <f t="array" ref="F8">SUMPRODUCT((SVB!$S$2:$S$740&gt;=F311)*(SVB!$S$2:$S$740&lt;=F312)*(SVB!$B$2:$B$740="AMF")*(ISNUMBER(SVB!$M$2:$M$740))*(SVB!$M$2:$M$740))</f>
        <v>0</v>
      </c>
      <c r="G8" s="450" cm="1">
        <f t="array" ref="G8">SUMPRODUCT((SVB!$S$2:$S$740&gt;=G311)*(SVB!$S$2:$S$740&lt;=G312)*(SVB!$B$2:$B$740="AMF")*(ISNUMBER(SVB!$M$2:$M$740))*(SVB!$M$2:$M$740))</f>
        <v>0</v>
      </c>
      <c r="H8" s="450" cm="1">
        <f t="array" ref="H8">SUMPRODUCT((SVB!$S$2:$S$740&gt;=H311)*(SVB!$S$2:$S$740&lt;=H312)*(SVB!$B$2:$B$740="AMF")*(ISNUMBER(SVB!$M$2:$M$740))*(SVB!$M$2:$M$740))</f>
        <v>0</v>
      </c>
      <c r="I8" s="450" cm="1">
        <f t="array" ref="I8">SUMPRODUCT((SVB!$S$2:$S$740&gt;=I311)*(SVB!$S$2:$S$740&lt;=I312)*(SVB!$B$2:$B$740="AMF")*(ISNUMBER(SVB!$M$2:$M$740))*(SVB!$M$2:$M$740))</f>
        <v>0</v>
      </c>
      <c r="J8" s="450" cm="1">
        <f t="array" ref="J8">SUMPRODUCT((SVB!$S$2:$S$740&gt;=J311)*(SVB!$S$2:$S$740&lt;=J312)*(SVB!$B$2:$B$740="AMF")*(ISNUMBER(SVB!$M$2:$M$740))*(SVB!$M$2:$M$740))</f>
        <v>0</v>
      </c>
      <c r="K8" s="450" cm="1">
        <f t="array" ref="K8">SUMPRODUCT((SVB!$S$2:$S$740&gt;=K311)*(SVB!$S$2:$S$740&lt;=K312)*(SVB!$B$2:$B$740="AMF")*(ISNUMBER(SVB!$M$2:$M$740))*(SVB!$M$2:$M$740))</f>
        <v>0</v>
      </c>
      <c r="L8" s="450" cm="1">
        <f t="array" ref="L8">SUMPRODUCT((SVB!$S$2:$S$740&gt;=L311)*(SVB!$S$2:$S$740&lt;=L312)*(SVB!$B$2:$B$740="AMF")*(ISNUMBER(SVB!$M$2:$M$740))*(SVB!$M$2:$M$740))</f>
        <v>0</v>
      </c>
      <c r="M8" s="450" cm="1">
        <f t="array" ref="M8">SUMPRODUCT((SVB!$S$2:$S$740&gt;=M311)*(SVB!$S$2:$S$740&lt;=M312)*(SVB!$B$2:$B$740="AMF")*(ISNUMBER(SVB!$M$2:$M$740))*(SVB!$M$2:$M$740))</f>
        <v>0</v>
      </c>
      <c r="N8" s="450" cm="1">
        <f t="array" ref="N8">SUMPRODUCT((SVB!$S$2:$S$740&gt;=N311)*(SVB!$S$2:$S$740&lt;=N312)*(SVB!$B$2:$B$740="AMF")*(ISNUMBER(SVB!$M$2:$M$740))*(SVB!$M$2:$M$740))</f>
        <v>0</v>
      </c>
      <c r="O8" s="450" cm="1">
        <f t="array" ref="O8">SUMPRODUCT((SVB!$S$2:$S$740&gt;=O311)*(SVB!$S$2:$S$740&lt;=O312)*(SVB!$B$2:$B$740="AMF")*(ISNUMBER(SVB!$M$2:$M$740))*(SVB!$M$2:$M$740))</f>
        <v>0</v>
      </c>
      <c r="P8" s="450" cm="1">
        <f t="array" ref="P8">SUMPRODUCT((SVB!$S$2:$S$740&gt;=P311)*(SVB!$S$2:$S$740&lt;=P312)*(SVB!$B$2:$B$740="AMF")*(ISNUMBER(SVB!$M$2:$M$740))*(SVB!$M$2:$M$740))</f>
        <v>0</v>
      </c>
      <c r="Q8" s="450" cm="1">
        <f t="array" ref="Q8">SUMPRODUCT((SVB!$S$2:$S$740&gt;=Q311)*(SVB!$S$2:$S$740&lt;=Q312)*(SVB!$B$2:$B$740="AMF")*(ISNUMBER(SVB!$M$2:$M$740))*(SVB!$M$2:$M$740))</f>
        <v>0</v>
      </c>
      <c r="R8" s="450" cm="1">
        <f t="array" ref="R8">SUMPRODUCT((SVB!$S$2:$S$740&gt;=R311)*(SVB!$S$2:$S$740&lt;=R312)*(SVB!$B$2:$B$740="AMF")*(ISNUMBER(SVB!$M$2:$M$740))*(SVB!$M$2:$M$740))</f>
        <v>0</v>
      </c>
      <c r="S8" s="450" cm="1">
        <f t="array" ref="S8">SUMPRODUCT((SVB!$S$2:$S$740&gt;=S311)*(SVB!$S$2:$S$740&lt;=S312)*(SVB!$B$2:$B$740="AMF")*(ISNUMBER(SVB!$M$2:$M$740))*(SVB!$M$2:$M$740))</f>
        <v>0</v>
      </c>
      <c r="T8" s="450" cm="1">
        <f t="array" ref="T8">SUMPRODUCT((SVB!$S$2:$S$740&gt;=T311)*(SVB!$S$2:$S$740&lt;=T312)*(SVB!$B$2:$B$740="AMF")*(ISNUMBER(SVB!$M$2:$M$740))*(SVB!$M$2:$M$740))</f>
        <v>0</v>
      </c>
      <c r="U8" s="450" cm="1">
        <f t="array" ref="U8">SUMPRODUCT((SVB!$S$2:$S$740&gt;=U311)*(SVB!$S$2:$S$740&lt;=U312)*(SVB!$B$2:$B$740="AMF")*(ISNUMBER(SVB!$M$2:$M$740))*(SVB!$M$2:$M$740))</f>
        <v>0</v>
      </c>
      <c r="V8" s="544">
        <f>SUM(B8:U8)</f>
        <v>2</v>
      </c>
    </row>
    <row r="9" spans="1:22" ht="18" customHeight="1">
      <c r="A9" s="449" t="s">
        <v>908</v>
      </c>
      <c r="B9" s="450" cm="1">
        <f t="array" ref="B9">SUMPRODUCT((SVB!$S$2:$S$740&gt;=B311)*(SVB!$S$2:$S$740&lt;=B312)*(SVB!$B$2:$B$740="AMF")*(ISNUMBER(SVB!$N$2:$N$740))*(SVB!$N$2:$N$740))</f>
        <v>2</v>
      </c>
      <c r="C9" s="450" cm="1">
        <f t="array" ref="C9">SUMPRODUCT((SVB!$S$2:$S$740&gt;=C311)*(SVB!$S$2:$S$740&lt;=C312)*(SVB!$B$2:$B$740="AMF")*(ISNUMBER(SVB!$N$2:$N$740))*(SVB!$N$2:$N$740))</f>
        <v>0</v>
      </c>
      <c r="D9" s="450" cm="1">
        <f t="array" ref="D9">SUMPRODUCT((SVB!$S$2:$S$740&gt;=D311)*(SVB!$S$2:$S$740&lt;=D312)*(SVB!$B$2:$B$740="AMF")*(ISNUMBER(SVB!$N$2:$N$740))*(SVB!$N$2:$N$740))</f>
        <v>0</v>
      </c>
      <c r="E9" s="450" cm="1">
        <f t="array" ref="E9">SUMPRODUCT((SVB!$S$2:$S$740&gt;=E311)*(SVB!$S$2:$S$740&lt;=E312)*(SVB!$B$2:$B$740="AMF")*(ISNUMBER(SVB!$N$2:$N$740))*(SVB!$N$2:$N$740))</f>
        <v>0</v>
      </c>
      <c r="F9" s="450" cm="1">
        <f t="array" ref="F9">SUMPRODUCT((SVB!$S$2:$S$740&gt;=F311)*(SVB!$S$2:$S$740&lt;=F312)*(SVB!$B$2:$B$740="AMF")*(ISNUMBER(SVB!$N$2:$N$740))*(SVB!$N$2:$N$740))</f>
        <v>0</v>
      </c>
      <c r="G9" s="450" cm="1">
        <f t="array" ref="G9">SUMPRODUCT((SVB!$S$2:$S$740&gt;=G311)*(SVB!$S$2:$S$740&lt;=G312)*(SVB!$B$2:$B$740="AMF")*(ISNUMBER(SVB!$N$2:$N$740))*(SVB!$N$2:$N$740))</f>
        <v>0</v>
      </c>
      <c r="H9" s="450" cm="1">
        <f t="array" ref="H9">SUMPRODUCT((SVB!$S$2:$S$740&gt;=H311)*(SVB!$S$2:$S$740&lt;=H312)*(SVB!$B$2:$B$740="AMF")*(ISNUMBER(SVB!$N$2:$N$740))*(SVB!$N$2:$N$740))</f>
        <v>0</v>
      </c>
      <c r="I9" s="450" cm="1">
        <f t="array" ref="I9">SUMPRODUCT((SVB!$S$2:$S$740&gt;=I311)*(SVB!$S$2:$S$740&lt;=I312)*(SVB!$B$2:$B$740="AMF")*(ISNUMBER(SVB!$N$2:$N$740))*(SVB!$N$2:$N$740))</f>
        <v>0</v>
      </c>
      <c r="J9" s="450" cm="1">
        <f t="array" ref="J9">SUMPRODUCT((SVB!$S$2:$S$740&gt;=J311)*(SVB!$S$2:$S$740&lt;=J312)*(SVB!$B$2:$B$740="AMF")*(ISNUMBER(SVB!$N$2:$N$740))*(SVB!$N$2:$N$740))</f>
        <v>0</v>
      </c>
      <c r="K9" s="450" cm="1">
        <f t="array" ref="K9">SUMPRODUCT((SVB!$S$2:$S$740&gt;=K311)*(SVB!$S$2:$S$740&lt;=K312)*(SVB!$B$2:$B$740="AMF")*(ISNUMBER(SVB!$N$2:$N$740))*(SVB!$N$2:$N$740))</f>
        <v>0</v>
      </c>
      <c r="L9" s="450" cm="1">
        <f t="array" ref="L9">SUMPRODUCT((SVB!$S$2:$S$740&gt;=L311)*(SVB!$S$2:$S$740&lt;=L312)*(SVB!$B$2:$B$740="AMF")*(ISNUMBER(SVB!$N$2:$N$740))*(SVB!$N$2:$N$740))</f>
        <v>0</v>
      </c>
      <c r="M9" s="450" cm="1">
        <f t="array" ref="M9">SUMPRODUCT((SVB!$S$2:$S$740&gt;=M311)*(SVB!$S$2:$S$740&lt;=M312)*(SVB!$B$2:$B$740="AMF")*(ISNUMBER(SVB!$N$2:$N$740))*(SVB!$N$2:$N$740))</f>
        <v>0</v>
      </c>
      <c r="N9" s="450" cm="1">
        <f t="array" ref="N9">SUMPRODUCT((SVB!$S$2:$S$740&gt;=N311)*(SVB!$S$2:$S$740&lt;=N312)*(SVB!$B$2:$B$740="AMF")*(ISNUMBER(SVB!$N$2:$N$740))*(SVB!$N$2:$N$740))</f>
        <v>0</v>
      </c>
      <c r="O9" s="450" cm="1">
        <f t="array" ref="O9">SUMPRODUCT((SVB!$S$2:$S$740&gt;=O311)*(SVB!$S$2:$S$740&lt;=O312)*(SVB!$B$2:$B$740="AMF")*(ISNUMBER(SVB!$N$2:$N$740))*(SVB!$N$2:$N$740))</f>
        <v>0</v>
      </c>
      <c r="P9" s="450" cm="1">
        <f t="array" ref="P9">SUMPRODUCT((SVB!$S$2:$S$740&gt;=P311)*(SVB!$S$2:$S$740&lt;=P312)*(SVB!$B$2:$B$740="AMF")*(ISNUMBER(SVB!$N$2:$N$740))*(SVB!$N$2:$N$740))</f>
        <v>0</v>
      </c>
      <c r="Q9" s="450" cm="1">
        <f t="array" ref="Q9">SUMPRODUCT((SVB!$S$2:$S$740&gt;=Q311)*(SVB!$S$2:$S$740&lt;=Q312)*(SVB!$B$2:$B$740="AMF")*(ISNUMBER(SVB!$N$2:$N$740))*(SVB!$N$2:$N$740))</f>
        <v>0</v>
      </c>
      <c r="R9" s="450" cm="1">
        <f t="array" ref="R9">SUMPRODUCT((SVB!$S$2:$S$740&gt;=R311)*(SVB!$S$2:$S$740&lt;=R312)*(SVB!$B$2:$B$740="AMF")*(ISNUMBER(SVB!$N$2:$N$740))*(SVB!$N$2:$N$740))</f>
        <v>0</v>
      </c>
      <c r="S9" s="450" cm="1">
        <f t="array" ref="S9">SUMPRODUCT((SVB!$S$2:$S$740&gt;=S311)*(SVB!$S$2:$S$740&lt;=S312)*(SVB!$B$2:$B$740="AMF")*(ISNUMBER(SVB!$N$2:$N$740))*(SVB!$N$2:$N$740))</f>
        <v>0</v>
      </c>
      <c r="T9" s="450" cm="1">
        <f t="array" ref="T9">SUMPRODUCT((SVB!$S$2:$S$740&gt;=T311)*(SVB!$S$2:$S$740&lt;=T312)*(SVB!$B$2:$B$740="AMF")*(ISNUMBER(SVB!$N$2:$N$740))*(SVB!$N$2:$N$740))</f>
        <v>0</v>
      </c>
      <c r="U9" s="450" cm="1">
        <f t="array" ref="U9">SUMPRODUCT((SVB!$S$2:$S$740&gt;=U311)*(SVB!$S$2:$S$740&lt;=U312)*(SVB!$B$2:$B$740="AMF")*(ISNUMBER(SVB!$N$2:$N$740))*(SVB!$N$2:$N$740))</f>
        <v>0</v>
      </c>
      <c r="V9" s="544">
        <f t="shared" ref="V9" si="0">SUM(B9:U9)</f>
        <v>2</v>
      </c>
    </row>
    <row r="10" spans="1:22" ht="18" customHeight="1">
      <c r="A10" s="449" t="s">
        <v>909</v>
      </c>
      <c r="B10" s="450" cm="1">
        <f t="array" ref="B10">SUMPRODUCT((SVB!$S$2:$S$740&gt;=B311)*(SVB!$S$2:$S$740&lt;=B312)*(SVB!$B$2:$B$740="AMF")*(ISNUMBER(SVB!$O$2:$O$740))*(SVB!$O$2:$O$740))</f>
        <v>2</v>
      </c>
      <c r="C10" s="450" cm="1">
        <f t="array" ref="C10">SUMPRODUCT((SVB!$S$2:$S$740&gt;=C311)*(SVB!$S$2:$S$740&lt;=C312)*(SVB!$B$2:$B$740="AMF")*(ISNUMBER(SVB!$O$2:$O$740))*(SVB!$O$2:$O$740))</f>
        <v>0</v>
      </c>
      <c r="D10" s="450" cm="1">
        <f t="array" ref="D10">SUMPRODUCT((SVB!$S$2:$S$740&gt;=D311)*(SVB!$S$2:$S$740&lt;=D312)*(SVB!$B$2:$B$740="AMF")*(ISNUMBER(SVB!$O$2:$O$740))*(SVB!$O$2:$O$740))</f>
        <v>0</v>
      </c>
      <c r="E10" s="450" cm="1">
        <f t="array" ref="E10">SUMPRODUCT((SVB!$S$2:$S$740&gt;=E311)*(SVB!$S$2:$S$740&lt;=E312)*(SVB!$B$2:$B$740="AMF")*(ISNUMBER(SVB!$O$2:$O$740))*(SVB!$O$2:$O$740))</f>
        <v>0</v>
      </c>
      <c r="F10" s="450" cm="1">
        <f t="array" ref="F10">SUMPRODUCT((SVB!$S$2:$S$740&gt;=F311)*(SVB!$S$2:$S$740&lt;=F312)*(SVB!$B$2:$B$740="AMF")*(ISNUMBER(SVB!$O$2:$O$740))*(SVB!$O$2:$O$740))</f>
        <v>0</v>
      </c>
      <c r="G10" s="450" cm="1">
        <f t="array" ref="G10">SUMPRODUCT((SVB!$S$2:$S$740&gt;=G311)*(SVB!$S$2:$S$740&lt;=G312)*(SVB!$B$2:$B$740="AMF")*(ISNUMBER(SVB!$O$2:$O$740))*(SVB!$O$2:$O$740))</f>
        <v>0</v>
      </c>
      <c r="H10" s="450" cm="1">
        <f t="array" ref="H10">SUMPRODUCT((SVB!$S$2:$S$740&gt;=H311)*(SVB!$S$2:$S$740&lt;=H312)*(SVB!$B$2:$B$740="AMF")*(ISNUMBER(SVB!$O$2:$O$740))*(SVB!$O$2:$O$740))</f>
        <v>0</v>
      </c>
      <c r="I10" s="450" cm="1">
        <f t="array" ref="I10">SUMPRODUCT((SVB!$S$2:$S$740&gt;=I311)*(SVB!$S$2:$S$740&lt;=I312)*(SVB!$B$2:$B$740="AMF")*(ISNUMBER(SVB!$O$2:$O$740))*(SVB!$O$2:$O$740))</f>
        <v>0</v>
      </c>
      <c r="J10" s="450" cm="1">
        <f t="array" ref="J10">SUMPRODUCT((SVB!$S$2:$S$740&gt;=J311)*(SVB!$S$2:$S$740&lt;=J312)*(SVB!$B$2:$B$740="AMF")*(ISNUMBER(SVB!$O$2:$O$740))*(SVB!$O$2:$O$740))</f>
        <v>0</v>
      </c>
      <c r="K10" s="450" cm="1">
        <f t="array" ref="K10">SUMPRODUCT((SVB!$S$2:$S$740&gt;=K311)*(SVB!$S$2:$S$740&lt;=K312)*(SVB!$B$2:$B$740="AMF")*(ISNUMBER(SVB!$O$2:$O$740))*(SVB!$O$2:$O$740))</f>
        <v>0</v>
      </c>
      <c r="L10" s="450" cm="1">
        <f t="array" ref="L10">SUMPRODUCT((SVB!$S$2:$S$740&gt;=L311)*(SVB!$S$2:$S$740&lt;=L312)*(SVB!$B$2:$B$740="AMF")*(ISNUMBER(SVB!$O$2:$O$740))*(SVB!$O$2:$O$740))</f>
        <v>0</v>
      </c>
      <c r="M10" s="450" cm="1">
        <f t="array" ref="M10">SUMPRODUCT((SVB!$S$2:$S$740&gt;=M311)*(SVB!$S$2:$S$740&lt;=M312)*(SVB!$B$2:$B$740="AMF")*(ISNUMBER(SVB!$O$2:$O$740))*(SVB!$O$2:$O$740))</f>
        <v>0</v>
      </c>
      <c r="N10" s="450" cm="1">
        <f t="array" ref="N10">SUMPRODUCT((SVB!$S$2:$S$740&gt;=N311)*(SVB!$S$2:$S$740&lt;=N312)*(SVB!$B$2:$B$740="AMF")*(ISNUMBER(SVB!$O$2:$O$740))*(SVB!$O$2:$O$740))</f>
        <v>0</v>
      </c>
      <c r="O10" s="450" cm="1">
        <f t="array" ref="O10">SUMPRODUCT((SVB!$S$2:$S$740&gt;=O311)*(SVB!$S$2:$S$740&lt;=O312)*(SVB!$B$2:$B$740="AMF")*(ISNUMBER(SVB!$O$2:$O$740))*(SVB!$O$2:$O$740))</f>
        <v>0</v>
      </c>
      <c r="P10" s="450" cm="1">
        <f t="array" ref="P10">SUMPRODUCT((SVB!$S$2:$S$740&gt;=P311)*(SVB!$S$2:$S$740&lt;=P312)*(SVB!$B$2:$B$740="AMF")*(ISNUMBER(SVB!$O$2:$O$740))*(SVB!$O$2:$O$740))</f>
        <v>0</v>
      </c>
      <c r="Q10" s="450" cm="1">
        <f t="array" ref="Q10">SUMPRODUCT((SVB!$S$2:$S$740&gt;=Q311)*(SVB!$S$2:$S$740&lt;=Q312)*(SVB!$B$2:$B$740="AMF")*(ISNUMBER(SVB!$O$2:$O$740))*(SVB!$O$2:$O$740))</f>
        <v>0</v>
      </c>
      <c r="R10" s="450" cm="1">
        <f t="array" ref="R10">SUMPRODUCT((SVB!$S$2:$S$740&gt;=R311)*(SVB!$S$2:$S$740&lt;=R312)*(SVB!$B$2:$B$740="AMF")*(ISNUMBER(SVB!$O$2:$O$740))*(SVB!$O$2:$O$740))</f>
        <v>0</v>
      </c>
      <c r="S10" s="450" cm="1">
        <f t="array" ref="S10">SUMPRODUCT((SVB!$S$2:$S$740&gt;=S311)*(SVB!$S$2:$S$740&lt;=S312)*(SVB!$B$2:$B$740="AMF")*(ISNUMBER(SVB!$O$2:$O$740))*(SVB!$O$2:$O$740))</f>
        <v>0</v>
      </c>
      <c r="T10" s="450" cm="1">
        <f t="array" ref="T10">SUMPRODUCT((SVB!$S$2:$S$740&gt;=T311)*(SVB!$S$2:$S$740&lt;=T312)*(SVB!$B$2:$B$740="AMF")*(ISNUMBER(SVB!$O$2:$O$740))*(SVB!$O$2:$O$740))</f>
        <v>0</v>
      </c>
      <c r="U10" s="450" cm="1">
        <f t="array" ref="U10">SUMPRODUCT((SVB!$S$2:$S$740&gt;=U311)*(SVB!$S$2:$S$740&lt;=U312)*(SVB!$B$2:$B$740="AMF")*(ISNUMBER(SVB!$O$2:$O$740))*(SVB!$O$2:$O$740))</f>
        <v>0</v>
      </c>
      <c r="V10" s="544">
        <f>SUM(B10:U10)</f>
        <v>2</v>
      </c>
    </row>
    <row r="11" spans="1:22" s="562" customFormat="1" ht="19.5" customHeight="1">
      <c r="A11" s="565" t="s">
        <v>312</v>
      </c>
      <c r="B11" s="566">
        <f>MAX(B10-B7,0)</f>
        <v>0</v>
      </c>
      <c r="C11" s="566">
        <f t="shared" ref="C11:Q11" si="1">MAX(C10-C7,0)</f>
        <v>0</v>
      </c>
      <c r="D11" s="566">
        <f t="shared" si="1"/>
        <v>0</v>
      </c>
      <c r="E11" s="566">
        <f t="shared" si="1"/>
        <v>0</v>
      </c>
      <c r="F11" s="566">
        <f t="shared" si="1"/>
        <v>0</v>
      </c>
      <c r="G11" s="566">
        <f t="shared" si="1"/>
        <v>0</v>
      </c>
      <c r="H11" s="566">
        <f t="shared" si="1"/>
        <v>0</v>
      </c>
      <c r="I11" s="566">
        <f t="shared" si="1"/>
        <v>0</v>
      </c>
      <c r="J11" s="566">
        <f t="shared" si="1"/>
        <v>0</v>
      </c>
      <c r="K11" s="566">
        <f t="shared" si="1"/>
        <v>0</v>
      </c>
      <c r="L11" s="566">
        <f t="shared" si="1"/>
        <v>0</v>
      </c>
      <c r="M11" s="566">
        <f t="shared" si="1"/>
        <v>0</v>
      </c>
      <c r="N11" s="566">
        <f t="shared" si="1"/>
        <v>0</v>
      </c>
      <c r="O11" s="566">
        <f t="shared" si="1"/>
        <v>0</v>
      </c>
      <c r="P11" s="566">
        <f t="shared" si="1"/>
        <v>0</v>
      </c>
      <c r="Q11" s="566">
        <f t="shared" si="1"/>
        <v>0</v>
      </c>
      <c r="R11" s="566">
        <f t="shared" ref="R11:U11" si="2">MAX(R10-R7,0)</f>
        <v>0</v>
      </c>
      <c r="S11" s="566">
        <f t="shared" si="2"/>
        <v>0</v>
      </c>
      <c r="T11" s="566">
        <f t="shared" si="2"/>
        <v>0</v>
      </c>
      <c r="U11" s="566">
        <f t="shared" si="2"/>
        <v>0</v>
      </c>
      <c r="V11" s="567">
        <f>MAX(V10-V7,0)</f>
        <v>0</v>
      </c>
    </row>
    <row r="12" spans="1:22" s="562" customFormat="1" ht="19.5" customHeight="1">
      <c r="A12" s="565" t="s">
        <v>313</v>
      </c>
      <c r="B12" s="566">
        <f>MAX(B7-B10,0)</f>
        <v>0</v>
      </c>
      <c r="C12" s="566">
        <f t="shared" ref="C12:Q12" si="3">MAX(C7-C10,0)</f>
        <v>0</v>
      </c>
      <c r="D12" s="566">
        <f t="shared" si="3"/>
        <v>0</v>
      </c>
      <c r="E12" s="566">
        <f t="shared" si="3"/>
        <v>0</v>
      </c>
      <c r="F12" s="566">
        <f t="shared" si="3"/>
        <v>0</v>
      </c>
      <c r="G12" s="566">
        <f t="shared" si="3"/>
        <v>0</v>
      </c>
      <c r="H12" s="566">
        <f t="shared" si="3"/>
        <v>0</v>
      </c>
      <c r="I12" s="566">
        <f t="shared" si="3"/>
        <v>0</v>
      </c>
      <c r="J12" s="566">
        <f t="shared" si="3"/>
        <v>0</v>
      </c>
      <c r="K12" s="566">
        <f t="shared" si="3"/>
        <v>0</v>
      </c>
      <c r="L12" s="566">
        <f t="shared" si="3"/>
        <v>0</v>
      </c>
      <c r="M12" s="566">
        <f t="shared" si="3"/>
        <v>0</v>
      </c>
      <c r="N12" s="566">
        <f t="shared" si="3"/>
        <v>0</v>
      </c>
      <c r="O12" s="566">
        <f t="shared" si="3"/>
        <v>0</v>
      </c>
      <c r="P12" s="566">
        <f t="shared" si="3"/>
        <v>0</v>
      </c>
      <c r="Q12" s="566">
        <f t="shared" si="3"/>
        <v>0</v>
      </c>
      <c r="R12" s="566">
        <f t="shared" ref="R12:U12" si="4">MAX(R7-R10,0)</f>
        <v>0</v>
      </c>
      <c r="S12" s="566">
        <f t="shared" si="4"/>
        <v>95</v>
      </c>
      <c r="T12" s="566">
        <f t="shared" si="4"/>
        <v>17</v>
      </c>
      <c r="U12" s="566">
        <f t="shared" si="4"/>
        <v>0</v>
      </c>
      <c r="V12" s="567">
        <f>MAX(V7-V10,0)</f>
        <v>112</v>
      </c>
    </row>
    <row r="13" spans="1:22" ht="18" customHeight="1">
      <c r="A13" s="556" t="s">
        <v>316</v>
      </c>
      <c r="B13" s="557">
        <f>IF(B7=0,"-",(B8+B9+B10)/(B7*3))</f>
        <v>1</v>
      </c>
      <c r="C13" s="557" t="str">
        <f t="shared" ref="C13:Q13" si="5">IF(C7=0,"-",(C8+C9+C10)/(C7*3))</f>
        <v>-</v>
      </c>
      <c r="D13" s="557" t="str">
        <f t="shared" si="5"/>
        <v>-</v>
      </c>
      <c r="E13" s="557" t="str">
        <f t="shared" si="5"/>
        <v>-</v>
      </c>
      <c r="F13" s="557" t="str">
        <f t="shared" si="5"/>
        <v>-</v>
      </c>
      <c r="G13" s="557" t="str">
        <f t="shared" si="5"/>
        <v>-</v>
      </c>
      <c r="H13" s="557" t="str">
        <f t="shared" si="5"/>
        <v>-</v>
      </c>
      <c r="I13" s="557" t="str">
        <f t="shared" si="5"/>
        <v>-</v>
      </c>
      <c r="J13" s="557" t="str">
        <f t="shared" si="5"/>
        <v>-</v>
      </c>
      <c r="K13" s="557" t="str">
        <f t="shared" si="5"/>
        <v>-</v>
      </c>
      <c r="L13" s="557" t="str">
        <f t="shared" si="5"/>
        <v>-</v>
      </c>
      <c r="M13" s="557" t="str">
        <f t="shared" si="5"/>
        <v>-</v>
      </c>
      <c r="N13" s="557" t="str">
        <f t="shared" si="5"/>
        <v>-</v>
      </c>
      <c r="O13" s="557" t="str">
        <f t="shared" si="5"/>
        <v>-</v>
      </c>
      <c r="P13" s="557" t="str">
        <f t="shared" si="5"/>
        <v>-</v>
      </c>
      <c r="Q13" s="557" t="str">
        <f t="shared" si="5"/>
        <v>-</v>
      </c>
      <c r="R13" s="557" t="str">
        <f t="shared" ref="R13:U13" si="6">IF(R7=0,"-",(R8+R9+R10)/(R7*3))</f>
        <v>-</v>
      </c>
      <c r="S13" s="557">
        <f t="shared" si="6"/>
        <v>0</v>
      </c>
      <c r="T13" s="557">
        <f t="shared" si="6"/>
        <v>0</v>
      </c>
      <c r="U13" s="557" t="str">
        <f t="shared" si="6"/>
        <v>-</v>
      </c>
      <c r="V13" s="545">
        <f t="shared" ref="V13" si="7">IF(V7=0,"-",(V8+V9+V10)/(V7*3))</f>
        <v>1.7543859649122806E-2</v>
      </c>
    </row>
    <row r="14" spans="1:22" ht="18" customHeight="1">
      <c r="A14" s="612" t="s">
        <v>910</v>
      </c>
      <c r="B14" s="613">
        <f>SUM($B10:B10)</f>
        <v>2</v>
      </c>
      <c r="C14" s="613">
        <f>SUM($B10:C10)</f>
        <v>2</v>
      </c>
      <c r="D14" s="613">
        <f>SUM($B10:D10)</f>
        <v>2</v>
      </c>
      <c r="E14" s="613">
        <f>SUM($B10:E10)</f>
        <v>2</v>
      </c>
      <c r="F14" s="613">
        <f>SUM($B10:F10)</f>
        <v>2</v>
      </c>
      <c r="G14" s="613">
        <f>SUM($B10:G10)</f>
        <v>2</v>
      </c>
      <c r="H14" s="613">
        <f>SUM($B10:H10)</f>
        <v>2</v>
      </c>
      <c r="I14" s="613">
        <f>SUM($B10:I10)</f>
        <v>2</v>
      </c>
      <c r="J14" s="613">
        <f>SUM($B10:J10)</f>
        <v>2</v>
      </c>
      <c r="K14" s="613">
        <f>SUM($B10:K10)</f>
        <v>2</v>
      </c>
      <c r="L14" s="613">
        <f>SUM($B10:L10)</f>
        <v>2</v>
      </c>
      <c r="M14" s="613">
        <f>SUM($B10:M10)</f>
        <v>2</v>
      </c>
      <c r="N14" s="613">
        <f>SUM($B10:N10)</f>
        <v>2</v>
      </c>
      <c r="O14" s="613">
        <f>SUM($B10:O10)</f>
        <v>2</v>
      </c>
      <c r="P14" s="613">
        <f>SUM($B10:P10)</f>
        <v>2</v>
      </c>
      <c r="Q14" s="613">
        <f>SUM($B10:Q10)</f>
        <v>2</v>
      </c>
      <c r="R14" s="613">
        <f>SUM($B10:R10)</f>
        <v>2</v>
      </c>
      <c r="S14" s="613">
        <f>SUM($B10:S10)</f>
        <v>2</v>
      </c>
      <c r="T14" s="613">
        <f>SUM($B10:T10)</f>
        <v>2</v>
      </c>
      <c r="U14" s="613">
        <f>SUM($B10:U10)</f>
        <v>2</v>
      </c>
      <c r="V14" s="544">
        <f>V10</f>
        <v>2</v>
      </c>
    </row>
    <row r="15" spans="1:22" ht="18" customHeight="1">
      <c r="A15" s="614" t="s">
        <v>308</v>
      </c>
      <c r="B15" s="615">
        <f>IF(B7=0,IF(B8=0,"-","100%"),B8/B7)</f>
        <v>1</v>
      </c>
      <c r="C15" s="615" t="str">
        <f t="shared" ref="C15:Q15" si="8">IF(C7=0,IF(C8=0,"-","100%"),C8/C7)</f>
        <v>-</v>
      </c>
      <c r="D15" s="615" t="str">
        <f t="shared" si="8"/>
        <v>-</v>
      </c>
      <c r="E15" s="615" t="str">
        <f t="shared" si="8"/>
        <v>-</v>
      </c>
      <c r="F15" s="615" t="str">
        <f t="shared" si="8"/>
        <v>-</v>
      </c>
      <c r="G15" s="615" t="str">
        <f t="shared" si="8"/>
        <v>-</v>
      </c>
      <c r="H15" s="615" t="str">
        <f t="shared" si="8"/>
        <v>-</v>
      </c>
      <c r="I15" s="615" t="str">
        <f t="shared" si="8"/>
        <v>-</v>
      </c>
      <c r="J15" s="615" t="str">
        <f t="shared" si="8"/>
        <v>-</v>
      </c>
      <c r="K15" s="615" t="str">
        <f t="shared" si="8"/>
        <v>-</v>
      </c>
      <c r="L15" s="615" t="str">
        <f t="shared" si="8"/>
        <v>-</v>
      </c>
      <c r="M15" s="615" t="str">
        <f t="shared" si="8"/>
        <v>-</v>
      </c>
      <c r="N15" s="615" t="str">
        <f t="shared" si="8"/>
        <v>-</v>
      </c>
      <c r="O15" s="615" t="str">
        <f t="shared" si="8"/>
        <v>-</v>
      </c>
      <c r="P15" s="615" t="str">
        <f t="shared" si="8"/>
        <v>-</v>
      </c>
      <c r="Q15" s="615" t="str">
        <f t="shared" si="8"/>
        <v>-</v>
      </c>
      <c r="R15" s="615" t="str">
        <f t="shared" ref="R15:U15" si="9">IF(R7=0,IF(R8=0,"-","100%"),R8/R7)</f>
        <v>-</v>
      </c>
      <c r="S15" s="615">
        <f t="shared" si="9"/>
        <v>0</v>
      </c>
      <c r="T15" s="615">
        <f t="shared" si="9"/>
        <v>0</v>
      </c>
      <c r="U15" s="615" t="str">
        <f t="shared" si="9"/>
        <v>-</v>
      </c>
      <c r="V15" s="616">
        <f>IF(V7=0,"-",V8/V7)</f>
        <v>1.7543859649122806E-2</v>
      </c>
    </row>
    <row r="16" spans="1:22" ht="18" customHeight="1">
      <c r="A16" s="614" t="s">
        <v>310</v>
      </c>
      <c r="B16" s="615">
        <f>IF(B7=0,IF(B9=0,"-","100%"),B9/B7)</f>
        <v>1</v>
      </c>
      <c r="C16" s="615" t="str">
        <f t="shared" ref="C16:Q16" si="10">IF(C7=0,IF(C9=0,"-","100%"),C9/C7)</f>
        <v>-</v>
      </c>
      <c r="D16" s="615" t="str">
        <f t="shared" si="10"/>
        <v>-</v>
      </c>
      <c r="E16" s="615" t="str">
        <f t="shared" si="10"/>
        <v>-</v>
      </c>
      <c r="F16" s="615" t="str">
        <f t="shared" si="10"/>
        <v>-</v>
      </c>
      <c r="G16" s="615" t="str">
        <f t="shared" si="10"/>
        <v>-</v>
      </c>
      <c r="H16" s="615" t="str">
        <f t="shared" si="10"/>
        <v>-</v>
      </c>
      <c r="I16" s="615" t="str">
        <f t="shared" si="10"/>
        <v>-</v>
      </c>
      <c r="J16" s="615" t="str">
        <f t="shared" si="10"/>
        <v>-</v>
      </c>
      <c r="K16" s="615" t="str">
        <f t="shared" si="10"/>
        <v>-</v>
      </c>
      <c r="L16" s="615" t="str">
        <f t="shared" si="10"/>
        <v>-</v>
      </c>
      <c r="M16" s="615" t="str">
        <f t="shared" si="10"/>
        <v>-</v>
      </c>
      <c r="N16" s="615" t="str">
        <f t="shared" si="10"/>
        <v>-</v>
      </c>
      <c r="O16" s="615" t="str">
        <f t="shared" si="10"/>
        <v>-</v>
      </c>
      <c r="P16" s="615" t="str">
        <f t="shared" si="10"/>
        <v>-</v>
      </c>
      <c r="Q16" s="615" t="str">
        <f t="shared" si="10"/>
        <v>-</v>
      </c>
      <c r="R16" s="615" t="str">
        <f t="shared" ref="R16:U16" si="11">IF(R7=0,IF(R9=0,"-","100%"),R9/R7)</f>
        <v>-</v>
      </c>
      <c r="S16" s="615">
        <f t="shared" si="11"/>
        <v>0</v>
      </c>
      <c r="T16" s="615">
        <f t="shared" si="11"/>
        <v>0</v>
      </c>
      <c r="U16" s="615" t="str">
        <f t="shared" si="11"/>
        <v>-</v>
      </c>
      <c r="V16" s="616">
        <f>IF(V7=0,"-",V9/V7)</f>
        <v>1.7543859649122806E-2</v>
      </c>
    </row>
    <row r="17" spans="1:22" ht="18" customHeight="1">
      <c r="A17" s="614" t="s">
        <v>314</v>
      </c>
      <c r="B17" s="615">
        <f>IF(B7=0,IF(B10=0,"-","100%"),B10/B7)</f>
        <v>1</v>
      </c>
      <c r="C17" s="615" t="str">
        <f t="shared" ref="C17:Q17" si="12">IF(C7=0,IF(C10=0,"-","100%"),C10/C7)</f>
        <v>-</v>
      </c>
      <c r="D17" s="615" t="str">
        <f t="shared" si="12"/>
        <v>-</v>
      </c>
      <c r="E17" s="615" t="str">
        <f t="shared" si="12"/>
        <v>-</v>
      </c>
      <c r="F17" s="615" t="str">
        <f t="shared" si="12"/>
        <v>-</v>
      </c>
      <c r="G17" s="615" t="str">
        <f t="shared" si="12"/>
        <v>-</v>
      </c>
      <c r="H17" s="615" t="str">
        <f t="shared" si="12"/>
        <v>-</v>
      </c>
      <c r="I17" s="615" t="str">
        <f t="shared" si="12"/>
        <v>-</v>
      </c>
      <c r="J17" s="615" t="str">
        <f t="shared" si="12"/>
        <v>-</v>
      </c>
      <c r="K17" s="615" t="str">
        <f t="shared" si="12"/>
        <v>-</v>
      </c>
      <c r="L17" s="615" t="str">
        <f t="shared" si="12"/>
        <v>-</v>
      </c>
      <c r="M17" s="615" t="str">
        <f t="shared" si="12"/>
        <v>-</v>
      </c>
      <c r="N17" s="615" t="str">
        <f t="shared" si="12"/>
        <v>-</v>
      </c>
      <c r="O17" s="615" t="str">
        <f t="shared" si="12"/>
        <v>-</v>
      </c>
      <c r="P17" s="615" t="str">
        <f t="shared" si="12"/>
        <v>-</v>
      </c>
      <c r="Q17" s="615" t="str">
        <f t="shared" si="12"/>
        <v>-</v>
      </c>
      <c r="R17" s="615" t="str">
        <f t="shared" ref="R17:U17" si="13">IF(R7=0,IF(R10=0,"-","100%"),R10/R7)</f>
        <v>-</v>
      </c>
      <c r="S17" s="615">
        <f t="shared" si="13"/>
        <v>0</v>
      </c>
      <c r="T17" s="615">
        <f t="shared" si="13"/>
        <v>0</v>
      </c>
      <c r="U17" s="615" t="str">
        <f t="shared" si="13"/>
        <v>-</v>
      </c>
      <c r="V17" s="616">
        <f>IF(V7=0,"-",V10/V7)</f>
        <v>1.7543859649122806E-2</v>
      </c>
    </row>
    <row r="18" spans="1:22" s="562" customFormat="1" ht="19.5" customHeight="1">
      <c r="A18" s="565" t="s">
        <v>317</v>
      </c>
      <c r="B18" s="566">
        <f>SUM($B7:B7)</f>
        <v>2</v>
      </c>
      <c r="C18" s="566">
        <f>SUM($B7:C7)</f>
        <v>2</v>
      </c>
      <c r="D18" s="566">
        <f>SUM($B7:D7)</f>
        <v>2</v>
      </c>
      <c r="E18" s="566">
        <f>SUM($B7:E7)</f>
        <v>2</v>
      </c>
      <c r="F18" s="566">
        <f>SUM($B7:F7)</f>
        <v>2</v>
      </c>
      <c r="G18" s="566">
        <f>SUM($B7:G7)</f>
        <v>2</v>
      </c>
      <c r="H18" s="566">
        <f>SUM($B7:H7)</f>
        <v>2</v>
      </c>
      <c r="I18" s="566">
        <f>SUM($B7:I7)</f>
        <v>2</v>
      </c>
      <c r="J18" s="566">
        <f>SUM($B7:J7)</f>
        <v>2</v>
      </c>
      <c r="K18" s="566">
        <f>SUM($B7:K7)</f>
        <v>2</v>
      </c>
      <c r="L18" s="566">
        <f>SUM($B7:L7)</f>
        <v>2</v>
      </c>
      <c r="M18" s="566">
        <f>SUM($B7:M7)</f>
        <v>2</v>
      </c>
      <c r="N18" s="566">
        <f>SUM($B7:N7)</f>
        <v>2</v>
      </c>
      <c r="O18" s="566">
        <f>SUM($B7:O7)</f>
        <v>2</v>
      </c>
      <c r="P18" s="566">
        <f>SUM($B7:P7)</f>
        <v>2</v>
      </c>
      <c r="Q18" s="566">
        <f>SUM($B7:Q7)</f>
        <v>2</v>
      </c>
      <c r="R18" s="566">
        <f>SUM($B7:R7)</f>
        <v>2</v>
      </c>
      <c r="S18" s="566">
        <f>SUM($B7:S7)</f>
        <v>97</v>
      </c>
      <c r="T18" s="566">
        <f>SUM($B7:T7)</f>
        <v>114</v>
      </c>
      <c r="U18" s="566">
        <f>SUM($B7:U7)</f>
        <v>114</v>
      </c>
      <c r="V18" s="567">
        <f>V7</f>
        <v>114</v>
      </c>
    </row>
    <row r="19" spans="1:22" s="562" customFormat="1" ht="19.5" customHeight="1">
      <c r="A19" s="565" t="s">
        <v>318</v>
      </c>
      <c r="B19" s="566">
        <f>SUM($B10:B10)</f>
        <v>2</v>
      </c>
      <c r="C19" s="566">
        <f>SUM($B10:C10)</f>
        <v>2</v>
      </c>
      <c r="D19" s="566">
        <f>SUM($B10:D10)</f>
        <v>2</v>
      </c>
      <c r="E19" s="566">
        <f>SUM($B10:E10)</f>
        <v>2</v>
      </c>
      <c r="F19" s="566">
        <f>SUM($B10:F10)</f>
        <v>2</v>
      </c>
      <c r="G19" s="566">
        <f>SUM($B10:G10)</f>
        <v>2</v>
      </c>
      <c r="H19" s="566">
        <f>SUM($B10:H10)</f>
        <v>2</v>
      </c>
      <c r="I19" s="566">
        <f>SUM($B10:I10)</f>
        <v>2</v>
      </c>
      <c r="J19" s="566">
        <f>SUM($B10:J10)</f>
        <v>2</v>
      </c>
      <c r="K19" s="566">
        <f>SUM($B10:K10)</f>
        <v>2</v>
      </c>
      <c r="L19" s="566">
        <f>SUM($B10:L10)</f>
        <v>2</v>
      </c>
      <c r="M19" s="566">
        <f>SUM($B10:M10)</f>
        <v>2</v>
      </c>
      <c r="N19" s="566">
        <f>SUM($B10:N10)</f>
        <v>2</v>
      </c>
      <c r="O19" s="566">
        <f>SUM($B10:O10)</f>
        <v>2</v>
      </c>
      <c r="P19" s="566">
        <f>SUM($B10:P10)</f>
        <v>2</v>
      </c>
      <c r="Q19" s="566">
        <f>SUM($B10:Q10)</f>
        <v>2</v>
      </c>
      <c r="R19" s="566">
        <f>SUM($B10:R10)</f>
        <v>2</v>
      </c>
      <c r="S19" s="566">
        <f>SUM($B10:S10)</f>
        <v>2</v>
      </c>
      <c r="T19" s="566">
        <f>SUM($B10:T10)</f>
        <v>2</v>
      </c>
      <c r="U19" s="566">
        <f>SUM($B10:U10)</f>
        <v>2</v>
      </c>
      <c r="V19" s="567">
        <f>V10</f>
        <v>2</v>
      </c>
    </row>
    <row r="20" spans="1:22" s="562" customFormat="1" ht="19.5" customHeight="1">
      <c r="A20" s="559" t="s">
        <v>319</v>
      </c>
      <c r="B20" s="560">
        <f>IF($V$7=0,"-",B19/$V$7)</f>
        <v>1.7543859649122806E-2</v>
      </c>
      <c r="C20" s="560">
        <f t="shared" ref="C20:U20" si="14">IF($V$7=0,"-",C19/$V$7)</f>
        <v>1.7543859649122806E-2</v>
      </c>
      <c r="D20" s="560">
        <f t="shared" si="14"/>
        <v>1.7543859649122806E-2</v>
      </c>
      <c r="E20" s="560">
        <f t="shared" si="14"/>
        <v>1.7543859649122806E-2</v>
      </c>
      <c r="F20" s="560">
        <f t="shared" si="14"/>
        <v>1.7543859649122806E-2</v>
      </c>
      <c r="G20" s="560">
        <f t="shared" si="14"/>
        <v>1.7543859649122806E-2</v>
      </c>
      <c r="H20" s="560">
        <f t="shared" si="14"/>
        <v>1.7543859649122806E-2</v>
      </c>
      <c r="I20" s="560">
        <f t="shared" si="14"/>
        <v>1.7543859649122806E-2</v>
      </c>
      <c r="J20" s="560">
        <f t="shared" si="14"/>
        <v>1.7543859649122806E-2</v>
      </c>
      <c r="K20" s="560">
        <f t="shared" si="14"/>
        <v>1.7543859649122806E-2</v>
      </c>
      <c r="L20" s="560">
        <f t="shared" si="14"/>
        <v>1.7543859649122806E-2</v>
      </c>
      <c r="M20" s="560">
        <f t="shared" si="14"/>
        <v>1.7543859649122806E-2</v>
      </c>
      <c r="N20" s="560">
        <f t="shared" si="14"/>
        <v>1.7543859649122806E-2</v>
      </c>
      <c r="O20" s="560">
        <f t="shared" si="14"/>
        <v>1.7543859649122806E-2</v>
      </c>
      <c r="P20" s="560">
        <f t="shared" si="14"/>
        <v>1.7543859649122806E-2</v>
      </c>
      <c r="Q20" s="560">
        <f t="shared" si="14"/>
        <v>1.7543859649122806E-2</v>
      </c>
      <c r="R20" s="560">
        <f t="shared" si="14"/>
        <v>1.7543859649122806E-2</v>
      </c>
      <c r="S20" s="560">
        <f t="shared" si="14"/>
        <v>1.7543859649122806E-2</v>
      </c>
      <c r="T20" s="560">
        <f t="shared" si="14"/>
        <v>1.7543859649122806E-2</v>
      </c>
      <c r="U20" s="560">
        <f t="shared" si="14"/>
        <v>1.7543859649122806E-2</v>
      </c>
      <c r="V20" s="561">
        <f>IF($V$7=0,"-",V19/$V$7)</f>
        <v>1.7543859649122806E-2</v>
      </c>
    </row>
    <row r="21" spans="1:22" s="562" customFormat="1" ht="19.5" customHeight="1">
      <c r="A21" s="563" t="s">
        <v>320</v>
      </c>
      <c r="B21" s="564">
        <f>IF($V$7=0,"-",B18/$V$7)</f>
        <v>1.7543859649122806E-2</v>
      </c>
      <c r="C21" s="564">
        <f t="shared" ref="C21:U21" si="15">IF($V$7=0,"-",C18/$V$7)</f>
        <v>1.7543859649122806E-2</v>
      </c>
      <c r="D21" s="564">
        <f t="shared" si="15"/>
        <v>1.7543859649122806E-2</v>
      </c>
      <c r="E21" s="564">
        <f t="shared" si="15"/>
        <v>1.7543859649122806E-2</v>
      </c>
      <c r="F21" s="564">
        <f t="shared" si="15"/>
        <v>1.7543859649122806E-2</v>
      </c>
      <c r="G21" s="564">
        <f t="shared" si="15"/>
        <v>1.7543859649122806E-2</v>
      </c>
      <c r="H21" s="564">
        <f t="shared" si="15"/>
        <v>1.7543859649122806E-2</v>
      </c>
      <c r="I21" s="564">
        <f t="shared" si="15"/>
        <v>1.7543859649122806E-2</v>
      </c>
      <c r="J21" s="564">
        <f t="shared" si="15"/>
        <v>1.7543859649122806E-2</v>
      </c>
      <c r="K21" s="564">
        <f t="shared" si="15"/>
        <v>1.7543859649122806E-2</v>
      </c>
      <c r="L21" s="564">
        <f t="shared" si="15"/>
        <v>1.7543859649122806E-2</v>
      </c>
      <c r="M21" s="564">
        <f t="shared" si="15"/>
        <v>1.7543859649122806E-2</v>
      </c>
      <c r="N21" s="564">
        <f t="shared" si="15"/>
        <v>1.7543859649122806E-2</v>
      </c>
      <c r="O21" s="564">
        <f t="shared" si="15"/>
        <v>1.7543859649122806E-2</v>
      </c>
      <c r="P21" s="564">
        <f t="shared" si="15"/>
        <v>1.7543859649122806E-2</v>
      </c>
      <c r="Q21" s="564">
        <f t="shared" si="15"/>
        <v>1.7543859649122806E-2</v>
      </c>
      <c r="R21" s="564">
        <f t="shared" si="15"/>
        <v>1.7543859649122806E-2</v>
      </c>
      <c r="S21" s="564">
        <f t="shared" si="15"/>
        <v>0.85087719298245612</v>
      </c>
      <c r="T21" s="564">
        <f t="shared" si="15"/>
        <v>1</v>
      </c>
      <c r="U21" s="564">
        <f t="shared" si="15"/>
        <v>1</v>
      </c>
      <c r="V21" s="561">
        <f>IF($V$7=0,"-",V18/$V$7)</f>
        <v>1</v>
      </c>
    </row>
    <row r="22" spans="1:22" ht="4.5" customHeight="1"/>
    <row r="23" spans="1:22" ht="24" customHeight="1">
      <c r="A23" s="964" t="s">
        <v>911</v>
      </c>
      <c r="B23" s="965"/>
      <c r="C23" s="965"/>
      <c r="D23" s="965"/>
      <c r="E23" s="965"/>
      <c r="F23" s="965"/>
      <c r="G23" s="965"/>
      <c r="H23" s="965"/>
      <c r="I23" s="965"/>
      <c r="J23" s="965"/>
      <c r="K23" s="965"/>
      <c r="L23" s="965"/>
      <c r="M23" s="965"/>
      <c r="N23" s="965"/>
      <c r="O23" s="965"/>
      <c r="P23" s="965"/>
      <c r="Q23" s="965"/>
      <c r="R23" s="965"/>
      <c r="S23" s="965"/>
      <c r="T23" s="965"/>
      <c r="U23" s="965"/>
      <c r="V23" s="965"/>
    </row>
    <row r="24" spans="1:22" ht="18" customHeight="1">
      <c r="A24" s="542" t="s">
        <v>303</v>
      </c>
      <c r="B24" s="543" cm="1">
        <f t="array" ref="B24">SUMPRODUCT((SVB!$R$2:$R$740&gt;=B311)*(SVB!$R$2:$R$740&lt;=B312)*(SVB!$B$2:$B$740="CFZ")*(ISNUMBER(SVB!$F$2:$F$740))*(SVB!$F$2:$F$740))</f>
        <v>4</v>
      </c>
      <c r="C24" s="543" cm="1">
        <f t="array" ref="C24">SUMPRODUCT((SVB!$R$2:$R$740&gt;=C311)*(SVB!$R$2:$R$740&lt;=C312)*(SVB!$B$2:$B$740="CFZ")*(ISNUMBER(SVB!$F$2:$F$740))*(SVB!$F$2:$F$740))</f>
        <v>69</v>
      </c>
      <c r="D24" s="543" cm="1">
        <f t="array" ref="D24">SUMPRODUCT((SVB!$R$2:$R$740&gt;=D311)*(SVB!$R$2:$R$740&lt;=D312)*(SVB!$B$2:$B$740="CFZ")*(ISNUMBER(SVB!$F$2:$F$740))*(SVB!$F$2:$F$740))</f>
        <v>54</v>
      </c>
      <c r="E24" s="543" cm="1">
        <f t="array" ref="E24">SUMPRODUCT((SVB!$R$2:$R$740&gt;=E311)*(SVB!$R$2:$R$740&lt;=E312)*(SVB!$B$2:$B$740="CFZ")*(ISNUMBER(SVB!$F$2:$F$740))*(SVB!$F$2:$F$740))</f>
        <v>0</v>
      </c>
      <c r="F24" s="543" cm="1">
        <f t="array" ref="F24">SUMPRODUCT((SVB!$R$2:$R$740&gt;=F311)*(SVB!$R$2:$R$740&lt;=F312)*(SVB!$B$2:$B$740="CFZ")*(ISNUMBER(SVB!$F$2:$F$740))*(SVB!$F$2:$F$740))</f>
        <v>41</v>
      </c>
      <c r="G24" s="543" cm="1">
        <f t="array" ref="G24">SUMPRODUCT((SVB!$R$2:$R$740&gt;=G311)*(SVB!$R$2:$R$740&lt;=G312)*(SVB!$B$2:$B$740="CFZ")*(ISNUMBER(SVB!$F$2:$F$740))*(SVB!$F$2:$F$740))</f>
        <v>17</v>
      </c>
      <c r="H24" s="543" cm="1">
        <f t="array" ref="H24">SUMPRODUCT((SVB!$R$2:$R$740&gt;=H311)*(SVB!$R$2:$R$740&lt;=H312)*(SVB!$B$2:$B$740="CFZ")*(ISNUMBER(SVB!$F$2:$F$740))*(SVB!$F$2:$F$740))</f>
        <v>0</v>
      </c>
      <c r="I24" s="543" cm="1">
        <f t="array" ref="I24">SUMPRODUCT((SVB!$R$2:$R$740&gt;=I311)*(SVB!$R$2:$R$740&lt;=I312)*(SVB!$B$2:$B$740="CFZ")*(ISNUMBER(SVB!$F$2:$F$740))*(SVB!$F$2:$F$740))</f>
        <v>0</v>
      </c>
      <c r="J24" s="543" cm="1">
        <f t="array" ref="J24">SUMPRODUCT((SVB!$R$2:$R$740&gt;=J311)*(SVB!$R$2:$R$740&lt;=J312)*(SVB!$B$2:$B$740="CFZ")*(ISNUMBER(SVB!$F$2:$F$740))*(SVB!$F$2:$F$740))</f>
        <v>0</v>
      </c>
      <c r="K24" s="543" cm="1">
        <f t="array" ref="K24">SUMPRODUCT((SVB!$R$2:$R$740&gt;=K311)*(SVB!$R$2:$R$740&lt;=K312)*(SVB!$B$2:$B$740="CFZ")*(ISNUMBER(SVB!$F$2:$F$740))*(SVB!$F$2:$F$740))</f>
        <v>0</v>
      </c>
      <c r="L24" s="543" cm="1">
        <f t="array" ref="L24">SUMPRODUCT((SVB!$R$2:$R$740&gt;=L311)*(SVB!$R$2:$R$740&lt;=L312)*(SVB!$B$2:$B$740="CFZ")*(ISNUMBER(SVB!$F$2:$F$740))*(SVB!$F$2:$F$740))</f>
        <v>0</v>
      </c>
      <c r="M24" s="543" cm="1">
        <f t="array" ref="M24">SUMPRODUCT((SVB!$R$2:$R$740&gt;=M311)*(SVB!$R$2:$R$740&lt;=M312)*(SVB!$B$2:$B$740="CFZ")*(ISNUMBER(SVB!$F$2:$F$740))*(SVB!$F$2:$F$740))</f>
        <v>0</v>
      </c>
      <c r="N24" s="543" cm="1">
        <f t="array" ref="N24">SUMPRODUCT((SVB!$R$2:$R$740&gt;=N311)*(SVB!$R$2:$R$740&lt;=N312)*(SVB!$B$2:$B$740="CFZ")*(ISNUMBER(SVB!$F$2:$F$740))*(SVB!$F$2:$F$740))</f>
        <v>0</v>
      </c>
      <c r="O24" s="543" cm="1">
        <f t="array" ref="O24">SUMPRODUCT((SVB!$R$2:$R$740&gt;=O311)*(SVB!$R$2:$R$740&lt;=O312)*(SVB!$B$2:$B$740="CFZ")*(ISNUMBER(SVB!$F$2:$F$740))*(SVB!$F$2:$F$740))</f>
        <v>0</v>
      </c>
      <c r="P24" s="543" cm="1">
        <f t="array" ref="P24">SUMPRODUCT((SVB!$R$2:$R$740&gt;=P311)*(SVB!$R$2:$R$740&lt;=P312)*(SVB!$B$2:$B$740="CFZ")*(ISNUMBER(SVB!$F$2:$F$740))*(SVB!$F$2:$F$740))</f>
        <v>0</v>
      </c>
      <c r="Q24" s="543" cm="1">
        <f t="array" ref="Q24">SUMPRODUCT((SVB!$R$2:$R$740&gt;=Q311)*(SVB!$R$2:$R$740&lt;=Q312)*(SVB!$B$2:$B$740="CFZ")*(ISNUMBER(SVB!$F$2:$F$740))*(SVB!$F$2:$F$740))</f>
        <v>2</v>
      </c>
      <c r="R24" s="543" cm="1">
        <f t="array" ref="R24">SUMPRODUCT((SVB!$R$2:$R$740&gt;=R311)*(SVB!$R$2:$R$740&lt;=R312)*(SVB!$B$2:$B$740="CFZ")*(ISNUMBER(SVB!$F$2:$F$740))*(SVB!$F$2:$F$740))</f>
        <v>0</v>
      </c>
      <c r="S24" s="543" cm="1">
        <f t="array" ref="S24">SUMPRODUCT((SVB!$R$2:$R$740&gt;=S311)*(SVB!$R$2:$R$740&lt;=S312)*(SVB!$B$2:$B$740="CFZ")*(ISNUMBER(SVB!$F$2:$F$740))*(SVB!$F$2:$F$740))</f>
        <v>0</v>
      </c>
      <c r="T24" s="543" cm="1">
        <f t="array" ref="T24">SUMPRODUCT((SVB!$R$2:$R$740&gt;=T311)*(SVB!$R$2:$R$740&lt;=T312)*(SVB!$B$2:$B$740="CFZ")*(ISNUMBER(SVB!$F$2:$F$740))*(SVB!$F$2:$F$740))</f>
        <v>0</v>
      </c>
      <c r="U24" s="543" cm="1">
        <f t="array" ref="U24">SUMPRODUCT((SVB!$R$2:$R$740&gt;=U311)*(SVB!$R$2:$R$740&lt;=U312)*(SVB!$B$2:$B$740="CFZ")*(ISNUMBER(SVB!$F$2:$F$740))*(SVB!$F$2:$F$740))</f>
        <v>0</v>
      </c>
      <c r="V24" s="544" cm="1">
        <f t="array" ref="V24">SUMPRODUCT((SVB!$B$2:$B$740="CFZ")*(ISNUMBER(SVB!$F$2:$F$740))*(SVB!$F$2:$F$740))</f>
        <v>187</v>
      </c>
    </row>
    <row r="25" spans="1:22" ht="18" customHeight="1">
      <c r="A25" s="542" t="s">
        <v>874</v>
      </c>
      <c r="B25" s="543" cm="1">
        <f t="array" ref="B25">SUMPRODUCT((SVB!$R$2:$R$740&gt;=B311)*(SVB!$R$2:$R$740&lt;=B312)*(SVB!$B$2:$B$740="CFZ")*(SVB!$K$2:$K$740="Switch")*(ISNUMBER(SVB!$F$2:$F$740))*(SVB!$F$2:$F$740))</f>
        <v>2</v>
      </c>
      <c r="C25" s="543" cm="1">
        <f t="array" ref="C25">SUMPRODUCT((SVB!$R$2:$R$740&gt;=C311)*(SVB!$R$2:$R$740&lt;=C312)*(SVB!$B$2:$B$740="CFZ")*(SVB!$K$2:$K$740="Switch")*(ISNUMBER(SVB!$F$2:$F$740))*(SVB!$F$2:$F$740))</f>
        <v>45</v>
      </c>
      <c r="D25" s="543" cm="1">
        <f t="array" ref="D25">SUMPRODUCT((SVB!$R$2:$R$740&gt;=D311)*(SVB!$R$2:$R$740&lt;=D312)*(SVB!$B$2:$B$740="CFZ")*(SVB!$K$2:$K$740="Switch")*(ISNUMBER(SVB!$F$2:$F$740))*(SVB!$F$2:$F$740))</f>
        <v>52</v>
      </c>
      <c r="E25" s="543" cm="1">
        <f t="array" ref="E25">SUMPRODUCT((SVB!$R$2:$R$740&gt;=E311)*(SVB!$R$2:$R$740&lt;=E312)*(SVB!$B$2:$B$740="CFZ")*(SVB!$K$2:$K$740="Switch")*(ISNUMBER(SVB!$F$2:$F$740))*(SVB!$F$2:$F$740))</f>
        <v>0</v>
      </c>
      <c r="F25" s="543" cm="1">
        <f t="array" ref="F25">SUMPRODUCT((SVB!$R$2:$R$740&gt;=F311)*(SVB!$R$2:$R$740&lt;=F312)*(SVB!$B$2:$B$740="CFZ")*(SVB!$K$2:$K$740="Switch")*(ISNUMBER(SVB!$F$2:$F$740))*(SVB!$F$2:$F$740))</f>
        <v>41</v>
      </c>
      <c r="G25" s="543" cm="1">
        <f t="array" ref="G25">SUMPRODUCT((SVB!$R$2:$R$740&gt;=G311)*(SVB!$R$2:$R$740&lt;=G312)*(SVB!$B$2:$B$740="CFZ")*(SVB!$K$2:$K$740="Switch")*(ISNUMBER(SVB!$F$2:$F$740))*(SVB!$F$2:$F$740))</f>
        <v>14</v>
      </c>
      <c r="H25" s="543" cm="1">
        <f t="array" ref="H25">SUMPRODUCT((SVB!$R$2:$R$740&gt;=H311)*(SVB!$R$2:$R$740&lt;=H312)*(SVB!$B$2:$B$740="CFZ")*(SVB!$K$2:$K$740="Switch")*(ISNUMBER(SVB!$F$2:$F$740))*(SVB!$F$2:$F$740))</f>
        <v>0</v>
      </c>
      <c r="I25" s="543" cm="1">
        <f t="array" ref="I25">SUMPRODUCT((SVB!$R$2:$R$740&gt;=I311)*(SVB!$R$2:$R$740&lt;=I312)*(SVB!$B$2:$B$740="CFZ")*(SVB!$K$2:$K$740="Switch")*(ISNUMBER(SVB!$F$2:$F$740))*(SVB!$F$2:$F$740))</f>
        <v>0</v>
      </c>
      <c r="J25" s="543" cm="1">
        <f t="array" ref="J25">SUMPRODUCT((SVB!$R$2:$R$740&gt;=J311)*(SVB!$R$2:$R$740&lt;=J312)*(SVB!$B$2:$B$740="CFZ")*(SVB!$K$2:$K$740="Switch")*(ISNUMBER(SVB!$F$2:$F$740))*(SVB!$F$2:$F$740))</f>
        <v>0</v>
      </c>
      <c r="K25" s="543" cm="1">
        <f t="array" ref="K25">SUMPRODUCT((SVB!$R$2:$R$740&gt;=K311)*(SVB!$R$2:$R$740&lt;=K312)*(SVB!$B$2:$B$740="CFZ")*(SVB!$K$2:$K$740="Switch")*(ISNUMBER(SVB!$F$2:$F$740))*(SVB!$F$2:$F$740))</f>
        <v>0</v>
      </c>
      <c r="L25" s="543" cm="1">
        <f t="array" ref="L25">SUMPRODUCT((SVB!$R$2:$R$740&gt;=L311)*(SVB!$R$2:$R$740&lt;=L312)*(SVB!$B$2:$B$740="CFZ")*(SVB!$K$2:$K$740="Switch")*(ISNUMBER(SVB!$F$2:$F$740))*(SVB!$F$2:$F$740))</f>
        <v>0</v>
      </c>
      <c r="M25" s="543" cm="1">
        <f t="array" ref="M25">SUMPRODUCT((SVB!$R$2:$R$740&gt;=M311)*(SVB!$R$2:$R$740&lt;=M312)*(SVB!$B$2:$B$740="CFZ")*(SVB!$K$2:$K$740="Switch")*(ISNUMBER(SVB!$F$2:$F$740))*(SVB!$F$2:$F$740))</f>
        <v>0</v>
      </c>
      <c r="N25" s="543" cm="1">
        <f t="array" ref="N25">SUMPRODUCT((SVB!$R$2:$R$740&gt;=N311)*(SVB!$R$2:$R$740&lt;=N312)*(SVB!$B$2:$B$740="CFZ")*(SVB!$K$2:$K$740="Switch")*(ISNUMBER(SVB!$F$2:$F$740))*(SVB!$F$2:$F$740))</f>
        <v>0</v>
      </c>
      <c r="O25" s="543" cm="1">
        <f t="array" ref="O25">SUMPRODUCT((SVB!$R$2:$R$740&gt;=O311)*(SVB!$R$2:$R$740&lt;=O312)*(SVB!$B$2:$B$740="CFZ")*(SVB!$K$2:$K$740="Switch")*(ISNUMBER(SVB!$F$2:$F$740))*(SVB!$F$2:$F$740))</f>
        <v>0</v>
      </c>
      <c r="P25" s="543" cm="1">
        <f t="array" ref="P25">SUMPRODUCT((SVB!$R$2:$R$740&gt;=P311)*(SVB!$R$2:$R$740&lt;=P312)*(SVB!$B$2:$B$740="CFZ")*(SVB!$K$2:$K$740="Switch")*(ISNUMBER(SVB!$F$2:$F$740))*(SVB!$F$2:$F$740))</f>
        <v>0</v>
      </c>
      <c r="Q25" s="543" cm="1">
        <f t="array" ref="Q25">SUMPRODUCT((SVB!$R$2:$R$740&gt;=Q311)*(SVB!$R$2:$R$740&lt;=Q312)*(SVB!$B$2:$B$740="CFZ")*(SVB!$K$2:$K$740="Switch")*(ISNUMBER(SVB!$F$2:$F$740))*(SVB!$F$2:$F$740))</f>
        <v>2</v>
      </c>
      <c r="R25" s="543" cm="1">
        <f t="array" ref="R25">SUMPRODUCT((SVB!$R$2:$R$740&gt;=R311)*(SVB!$R$2:$R$740&lt;=R312)*(SVB!$B$2:$B$740="CFZ")*(SVB!$K$2:$K$740="Switch")*(ISNUMBER(SVB!$F$2:$F$740))*(SVB!$F$2:$F$740))</f>
        <v>0</v>
      </c>
      <c r="S25" s="543" cm="1">
        <f t="array" ref="S25">SUMPRODUCT((SVB!$R$2:$R$740&gt;=S311)*(SVB!$R$2:$R$740&lt;=S312)*(SVB!$B$2:$B$740="CFZ")*(SVB!$K$2:$K$740="Switch")*(ISNUMBER(SVB!$F$2:$F$740))*(SVB!$F$2:$F$740))</f>
        <v>0</v>
      </c>
      <c r="T25" s="543" cm="1">
        <f t="array" ref="T25">SUMPRODUCT((SVB!$R$2:$R$740&gt;=T311)*(SVB!$R$2:$R$740&lt;=T312)*(SVB!$B$2:$B$740="CFZ")*(SVB!$K$2:$K$740="Switch")*(ISNUMBER(SVB!$F$2:$F$740))*(SVB!$F$2:$F$740))</f>
        <v>0</v>
      </c>
      <c r="U25" s="543" cm="1">
        <f t="array" ref="U25">SUMPRODUCT((SVB!$R$2:$R$740&gt;=U311)*(SVB!$R$2:$R$740&lt;=U312)*(SVB!$B$2:$B$740="CFZ")*(SVB!$K$2:$K$740="Switch")*(ISNUMBER(SVB!$F$2:$F$740))*(SVB!$F$2:$F$740))</f>
        <v>0</v>
      </c>
      <c r="V25" s="544" cm="1">
        <f t="array" ref="V25">SUMPRODUCT((SVB!$B$2:$B$740="CFZ")*(SVB!$K$2:$K$740="Switch")*(ISNUMBER(SVB!$F$2:$F$740))*(SVB!$F$2:$F$740))</f>
        <v>156</v>
      </c>
    </row>
    <row r="26" spans="1:22" ht="18" customHeight="1">
      <c r="A26" s="542" t="s">
        <v>877</v>
      </c>
      <c r="B26" s="543" cm="1">
        <f t="array" ref="B26">SUMPRODUCT((SVB!$R$2:$R$740&gt;=B311)*(SVB!$R$2:$R$740&lt;=B312)*(SVB!$B$2:$B$740="CFZ")*(SVB!$K$2:$K$740="AP")*(ISNUMBER(SVB!$F$2:$F$740))*(SVB!$F$2:$F$740))</f>
        <v>0</v>
      </c>
      <c r="C26" s="543" cm="1">
        <f t="array" ref="C26">SUMPRODUCT((SVB!$R$2:$R$740&gt;=C311)*(SVB!$R$2:$R$740&lt;=C312)*(SVB!$B$2:$B$740="CFZ")*(SVB!$K$2:$K$740="AP")*(ISNUMBER(SVB!$F$2:$F$740))*(SVB!$F$2:$F$740))</f>
        <v>24</v>
      </c>
      <c r="D26" s="543" cm="1">
        <f t="array" ref="D26">SUMPRODUCT((SVB!$R$2:$R$740&gt;=D311)*(SVB!$R$2:$R$740&lt;=D312)*(SVB!$B$2:$B$740="CFZ")*(SVB!$K$2:$K$740="AP")*(ISNUMBER(SVB!$F$2:$F$740))*(SVB!$F$2:$F$740))</f>
        <v>0</v>
      </c>
      <c r="E26" s="543" cm="1">
        <f t="array" ref="E26">SUMPRODUCT((SVB!$R$2:$R$740&gt;=E311)*(SVB!$R$2:$R$740&lt;=E312)*(SVB!$B$2:$B$740="CFZ")*(SVB!$K$2:$K$740="AP")*(ISNUMBER(SVB!$F$2:$F$740))*(SVB!$F$2:$F$740))</f>
        <v>0</v>
      </c>
      <c r="F26" s="543" cm="1">
        <f t="array" ref="F26">SUMPRODUCT((SVB!$R$2:$R$740&gt;=F311)*(SVB!$R$2:$R$740&lt;=F312)*(SVB!$B$2:$B$740="CFZ")*(SVB!$K$2:$K$740="AP")*(ISNUMBER(SVB!$F$2:$F$740))*(SVB!$F$2:$F$740))</f>
        <v>0</v>
      </c>
      <c r="G26" s="543" cm="1">
        <f t="array" ref="G26">SUMPRODUCT((SVB!$R$2:$R$740&gt;=G311)*(SVB!$R$2:$R$740&lt;=G312)*(SVB!$B$2:$B$740="CFZ")*(SVB!$K$2:$K$740="AP")*(ISNUMBER(SVB!$F$2:$F$740))*(SVB!$F$2:$F$740))</f>
        <v>1</v>
      </c>
      <c r="H26" s="543" cm="1">
        <f t="array" ref="H26">SUMPRODUCT((SVB!$R$2:$R$740&gt;=H311)*(SVB!$R$2:$R$740&lt;=H312)*(SVB!$B$2:$B$740="CFZ")*(SVB!$K$2:$K$740="AP")*(ISNUMBER(SVB!$F$2:$F$740))*(SVB!$F$2:$F$740))</f>
        <v>0</v>
      </c>
      <c r="I26" s="543" cm="1">
        <f t="array" ref="I26">SUMPRODUCT((SVB!$R$2:$R$740&gt;=I311)*(SVB!$R$2:$R$740&lt;=I312)*(SVB!$B$2:$B$740="CFZ")*(SVB!$K$2:$K$740="AP")*(ISNUMBER(SVB!$F$2:$F$740))*(SVB!$F$2:$F$740))</f>
        <v>0</v>
      </c>
      <c r="J26" s="543" cm="1">
        <f t="array" ref="J26">SUMPRODUCT((SVB!$R$2:$R$740&gt;=J311)*(SVB!$R$2:$R$740&lt;=J312)*(SVB!$B$2:$B$740="CFZ")*(SVB!$K$2:$K$740="AP")*(ISNUMBER(SVB!$F$2:$F$740))*(SVB!$F$2:$F$740))</f>
        <v>0</v>
      </c>
      <c r="K26" s="543" cm="1">
        <f t="array" ref="K26">SUMPRODUCT((SVB!$R$2:$R$740&gt;=K311)*(SVB!$R$2:$R$740&lt;=K312)*(SVB!$B$2:$B$740="CFZ")*(SVB!$K$2:$K$740="AP")*(ISNUMBER(SVB!$F$2:$F$740))*(SVB!$F$2:$F$740))</f>
        <v>0</v>
      </c>
      <c r="L26" s="543" cm="1">
        <f t="array" ref="L26">SUMPRODUCT((SVB!$R$2:$R$740&gt;=L311)*(SVB!$R$2:$R$740&lt;=L312)*(SVB!$B$2:$B$740="CFZ")*(SVB!$K$2:$K$740="AP")*(ISNUMBER(SVB!$F$2:$F$740))*(SVB!$F$2:$F$740))</f>
        <v>0</v>
      </c>
      <c r="M26" s="543" cm="1">
        <f t="array" ref="M26">SUMPRODUCT((SVB!$R$2:$R$740&gt;=M311)*(SVB!$R$2:$R$740&lt;=M312)*(SVB!$B$2:$B$740="CFZ")*(SVB!$K$2:$K$740="AP")*(ISNUMBER(SVB!$F$2:$F$740))*(SVB!$F$2:$F$740))</f>
        <v>0</v>
      </c>
      <c r="N26" s="543" cm="1">
        <f t="array" ref="N26">SUMPRODUCT((SVB!$R$2:$R$740&gt;=N311)*(SVB!$R$2:$R$740&lt;=N312)*(SVB!$B$2:$B$740="CFZ")*(SVB!$K$2:$K$740="AP")*(ISNUMBER(SVB!$F$2:$F$740))*(SVB!$F$2:$F$740))</f>
        <v>0</v>
      </c>
      <c r="O26" s="543" cm="1">
        <f t="array" ref="O26">SUMPRODUCT((SVB!$R$2:$R$740&gt;=O311)*(SVB!$R$2:$R$740&lt;=O312)*(SVB!$B$2:$B$740="CFZ")*(SVB!$K$2:$K$740="AP")*(ISNUMBER(SVB!$F$2:$F$740))*(SVB!$F$2:$F$740))</f>
        <v>0</v>
      </c>
      <c r="P26" s="543" cm="1">
        <f t="array" ref="P26">SUMPRODUCT((SVB!$R$2:$R$740&gt;=P311)*(SVB!$R$2:$R$740&lt;=P312)*(SVB!$B$2:$B$740="CFZ")*(SVB!$K$2:$K$740="AP")*(ISNUMBER(SVB!$F$2:$F$740))*(SVB!$F$2:$F$740))</f>
        <v>0</v>
      </c>
      <c r="Q26" s="543" cm="1">
        <f t="array" ref="Q26">SUMPRODUCT((SVB!$R$2:$R$740&gt;=Q311)*(SVB!$R$2:$R$740&lt;=Q312)*(SVB!$B$2:$B$740="CFZ")*(SVB!$K$2:$K$740="AP")*(ISNUMBER(SVB!$F$2:$F$740))*(SVB!$F$2:$F$740))</f>
        <v>0</v>
      </c>
      <c r="R26" s="543" cm="1">
        <f t="array" ref="R26">SUMPRODUCT((SVB!$R$2:$R$740&gt;=R311)*(SVB!$R$2:$R$740&lt;=R312)*(SVB!$B$2:$B$740="CFZ")*(SVB!$K$2:$K$740="AP")*(ISNUMBER(SVB!$F$2:$F$740))*(SVB!$F$2:$F$740))</f>
        <v>0</v>
      </c>
      <c r="S26" s="543" cm="1">
        <f t="array" ref="S26">SUMPRODUCT((SVB!$R$2:$R$740&gt;=S311)*(SVB!$R$2:$R$740&lt;=S312)*(SVB!$B$2:$B$740="CFZ")*(SVB!$K$2:$K$740="AP")*(ISNUMBER(SVB!$F$2:$F$740))*(SVB!$F$2:$F$740))</f>
        <v>0</v>
      </c>
      <c r="T26" s="543" cm="1">
        <f t="array" ref="T26">SUMPRODUCT((SVB!$R$2:$R$740&gt;=T311)*(SVB!$R$2:$R$740&lt;=T312)*(SVB!$B$2:$B$740="CFZ")*(SVB!$K$2:$K$740="AP")*(ISNUMBER(SVB!$F$2:$F$740))*(SVB!$F$2:$F$740))</f>
        <v>0</v>
      </c>
      <c r="U26" s="543" cm="1">
        <f t="array" ref="U26">SUMPRODUCT((SVB!$R$2:$R$740&gt;=U311)*(SVB!$R$2:$R$740&lt;=U312)*(SVB!$B$2:$B$740="CFZ")*(SVB!$K$2:$K$740="AP")*(ISNUMBER(SVB!$F$2:$F$740))*(SVB!$F$2:$F$740))</f>
        <v>0</v>
      </c>
      <c r="V26" s="544" cm="1">
        <f t="array" ref="V26">SUMPRODUCT((SVB!$B$2:$B$740="CFZ")*(SVB!$K$2:$K$740="AP")*(ISNUMBER(SVB!$F$2:$F$740))*(SVB!$F$2:$F$740))</f>
        <v>25</v>
      </c>
    </row>
    <row r="27" spans="1:22" ht="18" customHeight="1">
      <c r="A27" s="542" t="s">
        <v>912</v>
      </c>
      <c r="B27" s="543" cm="1">
        <f t="array" ref="B27">SUMPRODUCT((SVB!$R$2:$R$740&gt;=B311)*(SVB!$R$2:$R$740&lt;=B312)*(SVB!$B$2:$B$740="CFZ")*(SVB!$K$2:$K$740="Infra")*(ISNUMBER(SVB!$F$2:$F$740))*(SVB!$F$2:$F$740))</f>
        <v>2</v>
      </c>
      <c r="C27" s="543" cm="1">
        <f t="array" ref="C27">SUMPRODUCT((SVB!$R$2:$R$740&gt;=C311)*(SVB!$R$2:$R$740&lt;=C312)*(SVB!$B$2:$B$740="CFZ")*(SVB!$K$2:$K$740="Infra")*(ISNUMBER(SVB!$F$2:$F$740))*(SVB!$F$2:$F$740))</f>
        <v>0</v>
      </c>
      <c r="D27" s="543" cm="1">
        <f t="array" ref="D27">SUMPRODUCT((SVB!$R$2:$R$740&gt;=D311)*(SVB!$R$2:$R$740&lt;=D312)*(SVB!$B$2:$B$740="CFZ")*(SVB!$K$2:$K$740="Infra")*(ISNUMBER(SVB!$F$2:$F$740))*(SVB!$F$2:$F$740))</f>
        <v>2</v>
      </c>
      <c r="E27" s="543" cm="1">
        <f t="array" ref="E27">SUMPRODUCT((SVB!$R$2:$R$740&gt;=E311)*(SVB!$R$2:$R$740&lt;=E312)*(SVB!$B$2:$B$740="CFZ")*(SVB!$K$2:$K$740="Infra")*(ISNUMBER(SVB!$F$2:$F$740))*(SVB!$F$2:$F$740))</f>
        <v>0</v>
      </c>
      <c r="F27" s="543" cm="1">
        <f t="array" ref="F27">SUMPRODUCT((SVB!$R$2:$R$740&gt;=F311)*(SVB!$R$2:$R$740&lt;=F312)*(SVB!$B$2:$B$740="CFZ")*(SVB!$K$2:$K$740="Infra")*(ISNUMBER(SVB!$F$2:$F$740))*(SVB!$F$2:$F$740))</f>
        <v>0</v>
      </c>
      <c r="G27" s="543" cm="1">
        <f t="array" ref="G27">SUMPRODUCT((SVB!$R$2:$R$740&gt;=G311)*(SVB!$R$2:$R$740&lt;=G312)*(SVB!$B$2:$B$740="CFZ")*(SVB!$K$2:$K$740="Infra")*(ISNUMBER(SVB!$F$2:$F$740))*(SVB!$F$2:$F$740))</f>
        <v>2</v>
      </c>
      <c r="H27" s="543" cm="1">
        <f t="array" ref="H27">SUMPRODUCT((SVB!$R$2:$R$740&gt;=H311)*(SVB!$R$2:$R$740&lt;=H312)*(SVB!$B$2:$B$740="CFZ")*(SVB!$K$2:$K$740="Infra")*(ISNUMBER(SVB!$F$2:$F$740))*(SVB!$F$2:$F$740))</f>
        <v>0</v>
      </c>
      <c r="I27" s="543" cm="1">
        <f t="array" ref="I27">SUMPRODUCT((SVB!$R$2:$R$740&gt;=I311)*(SVB!$R$2:$R$740&lt;=I312)*(SVB!$B$2:$B$740="CFZ")*(SVB!$K$2:$K$740="Infra")*(ISNUMBER(SVB!$F$2:$F$740))*(SVB!$F$2:$F$740))</f>
        <v>0</v>
      </c>
      <c r="J27" s="543" cm="1">
        <f t="array" ref="J27">SUMPRODUCT((SVB!$R$2:$R$740&gt;=J311)*(SVB!$R$2:$R$740&lt;=J312)*(SVB!$B$2:$B$740="CFZ")*(SVB!$K$2:$K$740="Infra")*(ISNUMBER(SVB!$F$2:$F$740))*(SVB!$F$2:$F$740))</f>
        <v>0</v>
      </c>
      <c r="K27" s="543" cm="1">
        <f t="array" ref="K27">SUMPRODUCT((SVB!$R$2:$R$740&gt;=K311)*(SVB!$R$2:$R$740&lt;=K312)*(SVB!$B$2:$B$740="CFZ")*(SVB!$K$2:$K$740="Infra")*(ISNUMBER(SVB!$F$2:$F$740))*(SVB!$F$2:$F$740))</f>
        <v>0</v>
      </c>
      <c r="L27" s="543" cm="1">
        <f t="array" ref="L27">SUMPRODUCT((SVB!$R$2:$R$740&gt;=L311)*(SVB!$R$2:$R$740&lt;=L312)*(SVB!$B$2:$B$740="CFZ")*(SVB!$K$2:$K$740="Infra")*(ISNUMBER(SVB!$F$2:$F$740))*(SVB!$F$2:$F$740))</f>
        <v>0</v>
      </c>
      <c r="M27" s="543" cm="1">
        <f t="array" ref="M27">SUMPRODUCT((SVB!$R$2:$R$740&gt;=M311)*(SVB!$R$2:$R$740&lt;=M312)*(SVB!$B$2:$B$740="CFZ")*(SVB!$K$2:$K$740="Infra")*(ISNUMBER(SVB!$F$2:$F$740))*(SVB!$F$2:$F$740))</f>
        <v>0</v>
      </c>
      <c r="N27" s="543" cm="1">
        <f t="array" ref="N27">SUMPRODUCT((SVB!$R$2:$R$740&gt;=N311)*(SVB!$R$2:$R$740&lt;=N312)*(SVB!$B$2:$B$740="CFZ")*(SVB!$K$2:$K$740="Infra")*(ISNUMBER(SVB!$F$2:$F$740))*(SVB!$F$2:$F$740))</f>
        <v>0</v>
      </c>
      <c r="O27" s="543" cm="1">
        <f t="array" ref="O27">SUMPRODUCT((SVB!$R$2:$R$740&gt;=O311)*(SVB!$R$2:$R$740&lt;=O312)*(SVB!$B$2:$B$740="CFZ")*(SVB!$K$2:$K$740="Infra")*(ISNUMBER(SVB!$F$2:$F$740))*(SVB!$F$2:$F$740))</f>
        <v>0</v>
      </c>
      <c r="P27" s="543" cm="1">
        <f t="array" ref="P27">SUMPRODUCT((SVB!$R$2:$R$740&gt;=P311)*(SVB!$R$2:$R$740&lt;=P312)*(SVB!$B$2:$B$740="CFZ")*(SVB!$K$2:$K$740="Infra")*(ISNUMBER(SVB!$F$2:$F$740))*(SVB!$F$2:$F$740))</f>
        <v>0</v>
      </c>
      <c r="Q27" s="543" cm="1">
        <f t="array" ref="Q27">SUMPRODUCT((SVB!$R$2:$R$740&gt;=Q311)*(SVB!$R$2:$R$740&lt;=Q312)*(SVB!$B$2:$B$740="CFZ")*(SVB!$K$2:$K$740="Infra")*(ISNUMBER(SVB!$F$2:$F$740))*(SVB!$F$2:$F$740))</f>
        <v>0</v>
      </c>
      <c r="R27" s="543" cm="1">
        <f t="array" ref="R27">SUMPRODUCT((SVB!$R$2:$R$740&gt;=R311)*(SVB!$R$2:$R$740&lt;=R312)*(SVB!$B$2:$B$740="CFZ")*(SVB!$K$2:$K$740="Infra")*(ISNUMBER(SVB!$F$2:$F$740))*(SVB!$F$2:$F$740))</f>
        <v>0</v>
      </c>
      <c r="S27" s="543" cm="1">
        <f t="array" ref="S27">SUMPRODUCT((SVB!$R$2:$R$740&gt;=S311)*(SVB!$R$2:$R$740&lt;=S312)*(SVB!$B$2:$B$740="CFZ")*(SVB!$K$2:$K$740="Infra")*(ISNUMBER(SVB!$F$2:$F$740))*(SVB!$F$2:$F$740))</f>
        <v>0</v>
      </c>
      <c r="T27" s="543" cm="1">
        <f t="array" ref="T27">SUMPRODUCT((SVB!$R$2:$R$740&gt;=T311)*(SVB!$R$2:$R$740&lt;=T312)*(SVB!$B$2:$B$740="CFZ")*(SVB!$K$2:$K$740="Infra")*(ISNUMBER(SVB!$F$2:$F$740))*(SVB!$F$2:$F$740))</f>
        <v>0</v>
      </c>
      <c r="U27" s="543" cm="1">
        <f t="array" ref="U27">SUMPRODUCT((SVB!$R$2:$R$740&gt;=U311)*(SVB!$R$2:$R$740&lt;=U312)*(SVB!$B$2:$B$740="CFZ")*(SVB!$K$2:$K$740="Infra")*(ISNUMBER(SVB!$F$2:$F$740))*(SVB!$F$2:$F$740))</f>
        <v>0</v>
      </c>
      <c r="V27" s="544" cm="1">
        <f t="array" ref="V27">SUMPRODUCT((SVB!$B$2:$B$740="CFZ")*(SVB!$K$2:$K$740="Infra")*(ISNUMBER(SVB!$F$2:$F$740))*(SVB!$F$2:$F$740))</f>
        <v>6</v>
      </c>
    </row>
    <row r="28" spans="1:22" ht="18" customHeight="1">
      <c r="A28" s="449" t="s">
        <v>907</v>
      </c>
      <c r="B28" s="450" cm="1">
        <f t="array" ref="B28">SUMPRODUCT((SVB!$S$2:$S$740&gt;=B311)*(SVB!$S$2:$S$740&lt;=B312)*(SVB!$B$2:$B$740="CFZ")*(ISNUMBER(SVB!$M$2:$M$740))*(SVB!$M$2:$M$740))</f>
        <v>30</v>
      </c>
      <c r="C28" s="450" cm="1">
        <f t="array" ref="C28">SUMPRODUCT((SVB!$S$2:$S$740&gt;=C311)*(SVB!$S$2:$S$740&lt;=C312)*(SVB!$B$2:$B$740="CFZ")*(ISNUMBER(SVB!$M$2:$M$740))*(SVB!$M$2:$M$740))</f>
        <v>45</v>
      </c>
      <c r="D28" s="450" cm="1">
        <f t="array" ref="D28">SUMPRODUCT((SVB!$S$2:$S$740&gt;=D311)*(SVB!$S$2:$S$740&lt;=D312)*(SVB!$B$2:$B$740="CFZ")*(ISNUMBER(SVB!$M$2:$M$740))*(SVB!$M$2:$M$740))</f>
        <v>52</v>
      </c>
      <c r="E28" s="450" cm="1">
        <f t="array" ref="E28">SUMPRODUCT((SVB!$S$2:$S$740&gt;=E311)*(SVB!$S$2:$S$740&lt;=E312)*(SVB!$B$2:$B$740="CFZ")*(ISNUMBER(SVB!$M$2:$M$740))*(SVB!$M$2:$M$740))</f>
        <v>0</v>
      </c>
      <c r="F28" s="450" cm="1">
        <f t="array" ref="F28">SUMPRODUCT((SVB!$S$2:$S$740&gt;=F311)*(SVB!$S$2:$S$740&lt;=F312)*(SVB!$B$2:$B$740="CFZ")*(ISNUMBER(SVB!$M$2:$M$740))*(SVB!$M$2:$M$740))</f>
        <v>42</v>
      </c>
      <c r="G28" s="450" cm="1">
        <f t="array" ref="G28">SUMPRODUCT((SVB!$S$2:$S$740&gt;=G311)*(SVB!$S$2:$S$740&lt;=G312)*(SVB!$B$2:$B$740="CFZ")*(ISNUMBER(SVB!$M$2:$M$740))*(SVB!$M$2:$M$740))</f>
        <v>0</v>
      </c>
      <c r="H28" s="450" cm="1">
        <f t="array" ref="H28">SUMPRODUCT((SVB!$S$2:$S$740&gt;=H311)*(SVB!$S$2:$S$740&lt;=H312)*(SVB!$B$2:$B$740="CFZ")*(ISNUMBER(SVB!$M$2:$M$740))*(SVB!$M$2:$M$740))</f>
        <v>0</v>
      </c>
      <c r="I28" s="450" cm="1">
        <f t="array" ref="I28">SUMPRODUCT((SVB!$S$2:$S$740&gt;=I311)*(SVB!$S$2:$S$740&lt;=I312)*(SVB!$B$2:$B$740="CFZ")*(ISNUMBER(SVB!$M$2:$M$740))*(SVB!$M$2:$M$740))</f>
        <v>0</v>
      </c>
      <c r="J28" s="450" cm="1">
        <f t="array" ref="J28">SUMPRODUCT((SVB!$S$2:$S$740&gt;=J311)*(SVB!$S$2:$S$740&lt;=J312)*(SVB!$B$2:$B$740="CFZ")*(ISNUMBER(SVB!$M$2:$M$740))*(SVB!$M$2:$M$740))</f>
        <v>0</v>
      </c>
      <c r="K28" s="450" cm="1">
        <f t="array" ref="K28">SUMPRODUCT((SVB!$S$2:$S$740&gt;=K311)*(SVB!$S$2:$S$740&lt;=K312)*(SVB!$B$2:$B$740="CFZ")*(ISNUMBER(SVB!$M$2:$M$740))*(SVB!$M$2:$M$740))</f>
        <v>0</v>
      </c>
      <c r="L28" s="450" cm="1">
        <f t="array" ref="L28">SUMPRODUCT((SVB!$S$2:$S$740&gt;=L311)*(SVB!$S$2:$S$740&lt;=L312)*(SVB!$B$2:$B$740="CFZ")*(ISNUMBER(SVB!$M$2:$M$740))*(SVB!$M$2:$M$740))</f>
        <v>0</v>
      </c>
      <c r="M28" s="450" cm="1">
        <f t="array" ref="M28">SUMPRODUCT((SVB!$S$2:$S$740&gt;=M311)*(SVB!$S$2:$S$740&lt;=M312)*(SVB!$B$2:$B$740="CFZ")*(ISNUMBER(SVB!$M$2:$M$740))*(SVB!$M$2:$M$740))</f>
        <v>0</v>
      </c>
      <c r="N28" s="450" cm="1">
        <f t="array" ref="N28">SUMPRODUCT((SVB!$S$2:$S$740&gt;=N311)*(SVB!$S$2:$S$740&lt;=N312)*(SVB!$B$2:$B$740="CFZ")*(ISNUMBER(SVB!$M$2:$M$740))*(SVB!$M$2:$M$740))</f>
        <v>0</v>
      </c>
      <c r="O28" s="450" cm="1">
        <f t="array" ref="O28">SUMPRODUCT((SVB!$S$2:$S$740&gt;=O311)*(SVB!$S$2:$S$740&lt;=O312)*(SVB!$B$2:$B$740="CFZ")*(ISNUMBER(SVB!$M$2:$M$740))*(SVB!$M$2:$M$740))</f>
        <v>0</v>
      </c>
      <c r="P28" s="450" cm="1">
        <f t="array" ref="P28">SUMPRODUCT((SVB!$S$2:$S$740&gt;=P311)*(SVB!$S$2:$S$740&lt;=P312)*(SVB!$B$2:$B$740="CFZ")*(ISNUMBER(SVB!$M$2:$M$740))*(SVB!$M$2:$M$740))</f>
        <v>0</v>
      </c>
      <c r="Q28" s="450" cm="1">
        <f t="array" ref="Q28">SUMPRODUCT((SVB!$S$2:$S$740&gt;=Q311)*(SVB!$S$2:$S$740&lt;=Q312)*(SVB!$B$2:$B$740="CFZ")*(ISNUMBER(SVB!$M$2:$M$740))*(SVB!$M$2:$M$740))</f>
        <v>0</v>
      </c>
      <c r="R28" s="450" cm="1">
        <f t="array" ref="R28">SUMPRODUCT((SVB!$S$2:$S$740&gt;=R311)*(SVB!$S$2:$S$740&lt;=R312)*(SVB!$B$2:$B$740="CFZ")*(ISNUMBER(SVB!$M$2:$M$740))*(SVB!$M$2:$M$740))</f>
        <v>0</v>
      </c>
      <c r="S28" s="450" cm="1">
        <f t="array" ref="S28">SUMPRODUCT((SVB!$S$2:$S$740&gt;=S311)*(SVB!$S$2:$S$740&lt;=S312)*(SVB!$B$2:$B$740="CFZ")*(ISNUMBER(SVB!$M$2:$M$740))*(SVB!$M$2:$M$740))</f>
        <v>0</v>
      </c>
      <c r="T28" s="450" cm="1">
        <f t="array" ref="T28">SUMPRODUCT((SVB!$S$2:$S$740&gt;=T311)*(SVB!$S$2:$S$740&lt;=T312)*(SVB!$B$2:$B$740="CFZ")*(ISNUMBER(SVB!$M$2:$M$740))*(SVB!$M$2:$M$740))</f>
        <v>0</v>
      </c>
      <c r="U28" s="450" cm="1">
        <f t="array" ref="U28">SUMPRODUCT((SVB!$S$2:$S$740&gt;=U311)*(SVB!$S$2:$S$740&lt;=U312)*(SVB!$B$2:$B$740="CFZ")*(ISNUMBER(SVB!$M$2:$M$740))*(SVB!$M$2:$M$740))</f>
        <v>0</v>
      </c>
      <c r="V28" s="544">
        <f>SUM(B28:U28)</f>
        <v>169</v>
      </c>
    </row>
    <row r="29" spans="1:22" ht="18" customHeight="1">
      <c r="A29" s="449" t="s">
        <v>908</v>
      </c>
      <c r="B29" s="450" cm="1">
        <f t="array" ref="B29">SUMPRODUCT((SVB!$S$2:$S$740&gt;=B311)*(SVB!$S$2:$S$740&lt;=B312)*(SVB!$B$2:$B$740="CFZ")*(ISNUMBER(SVB!$N$2:$N$740))*(SVB!$N$2:$N$740))</f>
        <v>30</v>
      </c>
      <c r="C29" s="450" cm="1">
        <f t="array" ref="C29">SUMPRODUCT((SVB!$S$2:$S$740&gt;=C311)*(SVB!$S$2:$S$740&lt;=C312)*(SVB!$B$2:$B$740="CFZ")*(ISNUMBER(SVB!$N$2:$N$740))*(SVB!$N$2:$N$740))</f>
        <v>45</v>
      </c>
      <c r="D29" s="450" cm="1">
        <f t="array" ref="D29">SUMPRODUCT((SVB!$S$2:$S$740&gt;=D311)*(SVB!$S$2:$S$740&lt;=D312)*(SVB!$B$2:$B$740="CFZ")*(ISNUMBER(SVB!$N$2:$N$740))*(SVB!$N$2:$N$740))</f>
        <v>52</v>
      </c>
      <c r="E29" s="450" cm="1">
        <f t="array" ref="E29">SUMPRODUCT((SVB!$S$2:$S$740&gt;=E311)*(SVB!$S$2:$S$740&lt;=E312)*(SVB!$B$2:$B$740="CFZ")*(ISNUMBER(SVB!$N$2:$N$740))*(SVB!$N$2:$N$740))</f>
        <v>0</v>
      </c>
      <c r="F29" s="450" cm="1">
        <f t="array" ref="F29">SUMPRODUCT((SVB!$S$2:$S$740&gt;=F311)*(SVB!$S$2:$S$740&lt;=F312)*(SVB!$B$2:$B$740="CFZ")*(ISNUMBER(SVB!$N$2:$N$740))*(SVB!$N$2:$N$740))</f>
        <v>42</v>
      </c>
      <c r="G29" s="450" cm="1">
        <f t="array" ref="G29">SUMPRODUCT((SVB!$S$2:$S$740&gt;=G311)*(SVB!$S$2:$S$740&lt;=G312)*(SVB!$B$2:$B$740="CFZ")*(ISNUMBER(SVB!$N$2:$N$740))*(SVB!$N$2:$N$740))</f>
        <v>0</v>
      </c>
      <c r="H29" s="450" cm="1">
        <f t="array" ref="H29">SUMPRODUCT((SVB!$S$2:$S$740&gt;=H311)*(SVB!$S$2:$S$740&lt;=H312)*(SVB!$B$2:$B$740="CFZ")*(ISNUMBER(SVB!$N$2:$N$740))*(SVB!$N$2:$N$740))</f>
        <v>0</v>
      </c>
      <c r="I29" s="450" cm="1">
        <f t="array" ref="I29">SUMPRODUCT((SVB!$S$2:$S$740&gt;=I311)*(SVB!$S$2:$S$740&lt;=I312)*(SVB!$B$2:$B$740="CFZ")*(ISNUMBER(SVB!$N$2:$N$740))*(SVB!$N$2:$N$740))</f>
        <v>0</v>
      </c>
      <c r="J29" s="450" cm="1">
        <f t="array" ref="J29">SUMPRODUCT((SVB!$S$2:$S$740&gt;=J311)*(SVB!$S$2:$S$740&lt;=J312)*(SVB!$B$2:$B$740="CFZ")*(ISNUMBER(SVB!$N$2:$N$740))*(SVB!$N$2:$N$740))</f>
        <v>0</v>
      </c>
      <c r="K29" s="450" cm="1">
        <f t="array" ref="K29">SUMPRODUCT((SVB!$S$2:$S$740&gt;=K311)*(SVB!$S$2:$S$740&lt;=K312)*(SVB!$B$2:$B$740="CFZ")*(ISNUMBER(SVB!$N$2:$N$740))*(SVB!$N$2:$N$740))</f>
        <v>0</v>
      </c>
      <c r="L29" s="450" cm="1">
        <f t="array" ref="L29">SUMPRODUCT((SVB!$S$2:$S$740&gt;=L311)*(SVB!$S$2:$S$740&lt;=L312)*(SVB!$B$2:$B$740="CFZ")*(ISNUMBER(SVB!$N$2:$N$740))*(SVB!$N$2:$N$740))</f>
        <v>0</v>
      </c>
      <c r="M29" s="450" cm="1">
        <f t="array" ref="M29">SUMPRODUCT((SVB!$S$2:$S$740&gt;=M311)*(SVB!$S$2:$S$740&lt;=M312)*(SVB!$B$2:$B$740="CFZ")*(ISNUMBER(SVB!$N$2:$N$740))*(SVB!$N$2:$N$740))</f>
        <v>0</v>
      </c>
      <c r="N29" s="450" cm="1">
        <f t="array" ref="N29">SUMPRODUCT((SVB!$S$2:$S$740&gt;=N311)*(SVB!$S$2:$S$740&lt;=N312)*(SVB!$B$2:$B$740="CFZ")*(ISNUMBER(SVB!$N$2:$N$740))*(SVB!$N$2:$N$740))</f>
        <v>0</v>
      </c>
      <c r="O29" s="450" cm="1">
        <f t="array" ref="O29">SUMPRODUCT((SVB!$S$2:$S$740&gt;=O311)*(SVB!$S$2:$S$740&lt;=O312)*(SVB!$B$2:$B$740="CFZ")*(ISNUMBER(SVB!$N$2:$N$740))*(SVB!$N$2:$N$740))</f>
        <v>0</v>
      </c>
      <c r="P29" s="450" cm="1">
        <f t="array" ref="P29">SUMPRODUCT((SVB!$S$2:$S$740&gt;=P311)*(SVB!$S$2:$S$740&lt;=P312)*(SVB!$B$2:$B$740="CFZ")*(ISNUMBER(SVB!$N$2:$N$740))*(SVB!$N$2:$N$740))</f>
        <v>0</v>
      </c>
      <c r="Q29" s="450" cm="1">
        <f t="array" ref="Q29">SUMPRODUCT((SVB!$S$2:$S$740&gt;=Q311)*(SVB!$S$2:$S$740&lt;=Q312)*(SVB!$B$2:$B$740="CFZ")*(ISNUMBER(SVB!$N$2:$N$740))*(SVB!$N$2:$N$740))</f>
        <v>0</v>
      </c>
      <c r="R29" s="450" cm="1">
        <f t="array" ref="R29">SUMPRODUCT((SVB!$S$2:$S$740&gt;=R311)*(SVB!$S$2:$S$740&lt;=R312)*(SVB!$B$2:$B$740="CFZ")*(ISNUMBER(SVB!$N$2:$N$740))*(SVB!$N$2:$N$740))</f>
        <v>0</v>
      </c>
      <c r="S29" s="450" cm="1">
        <f t="array" ref="S29">SUMPRODUCT((SVB!$S$2:$S$740&gt;=S311)*(SVB!$S$2:$S$740&lt;=S312)*(SVB!$B$2:$B$740="CFZ")*(ISNUMBER(SVB!$N$2:$N$740))*(SVB!$N$2:$N$740))</f>
        <v>0</v>
      </c>
      <c r="T29" s="450" cm="1">
        <f t="array" ref="T29">SUMPRODUCT((SVB!$S$2:$S$740&gt;=T311)*(SVB!$S$2:$S$740&lt;=T312)*(SVB!$B$2:$B$740="CFZ")*(ISNUMBER(SVB!$N$2:$N$740))*(SVB!$N$2:$N$740))</f>
        <v>0</v>
      </c>
      <c r="U29" s="450" cm="1">
        <f t="array" ref="U29">SUMPRODUCT((SVB!$S$2:$S$740&gt;=U311)*(SVB!$S$2:$S$740&lt;=U312)*(SVB!$B$2:$B$740="CFZ")*(ISNUMBER(SVB!$N$2:$N$740))*(SVB!$N$2:$N$740))</f>
        <v>0</v>
      </c>
      <c r="V29" s="544">
        <f t="shared" ref="V29:V33" si="16">SUM(B29:U29)</f>
        <v>169</v>
      </c>
    </row>
    <row r="30" spans="1:22" ht="18" customHeight="1">
      <c r="A30" s="449" t="s">
        <v>909</v>
      </c>
      <c r="B30" s="450" cm="1">
        <f t="array" ref="B30">SUMPRODUCT((SVB!$S$2:$S$740&gt;=B311)*(SVB!$S$2:$S$740&lt;=B312)*(SVB!$B$2:$B$740="CFZ")*(ISNUMBER(SVB!$O$2:$O$740))*(SVB!$O$2:$O$740))</f>
        <v>30</v>
      </c>
      <c r="C30" s="450" cm="1">
        <f t="array" ref="C30">SUMPRODUCT((SVB!$S$2:$S$740&gt;=C311)*(SVB!$S$2:$S$740&lt;=C312)*(SVB!$B$2:$B$740="CFZ")*(ISNUMBER(SVB!$O$2:$O$740))*(SVB!$O$2:$O$740))</f>
        <v>45</v>
      </c>
      <c r="D30" s="450" cm="1">
        <f t="array" ref="D30">SUMPRODUCT((SVB!$S$2:$S$740&gt;=D311)*(SVB!$S$2:$S$740&lt;=D312)*(SVB!$B$2:$B$740="CFZ")*(ISNUMBER(SVB!$O$2:$O$740))*(SVB!$O$2:$O$740))</f>
        <v>52</v>
      </c>
      <c r="E30" s="450" cm="1">
        <f t="array" ref="E30">SUMPRODUCT((SVB!$S$2:$S$740&gt;=E311)*(SVB!$S$2:$S$740&lt;=E312)*(SVB!$B$2:$B$740="CFZ")*(ISNUMBER(SVB!$O$2:$O$740))*(SVB!$O$2:$O$740))</f>
        <v>0</v>
      </c>
      <c r="F30" s="450" cm="1">
        <f t="array" ref="F30">SUMPRODUCT((SVB!$S$2:$S$740&gt;=F311)*(SVB!$S$2:$S$740&lt;=F312)*(SVB!$B$2:$B$740="CFZ")*(ISNUMBER(SVB!$O$2:$O$740))*(SVB!$O$2:$O$740))</f>
        <v>42</v>
      </c>
      <c r="G30" s="450" cm="1">
        <f t="array" ref="G30">SUMPRODUCT((SVB!$S$2:$S$740&gt;=G311)*(SVB!$S$2:$S$740&lt;=G312)*(SVB!$B$2:$B$740="CFZ")*(ISNUMBER(SVB!$O$2:$O$740))*(SVB!$O$2:$O$740))</f>
        <v>0</v>
      </c>
      <c r="H30" s="450" cm="1">
        <f t="array" ref="H30">SUMPRODUCT((SVB!$S$2:$S$740&gt;=H311)*(SVB!$S$2:$S$740&lt;=H312)*(SVB!$B$2:$B$740="CFZ")*(ISNUMBER(SVB!$O$2:$O$740))*(SVB!$O$2:$O$740))</f>
        <v>0</v>
      </c>
      <c r="I30" s="450" cm="1">
        <f t="array" ref="I30">SUMPRODUCT((SVB!$S$2:$S$740&gt;=I311)*(SVB!$S$2:$S$740&lt;=I312)*(SVB!$B$2:$B$740="CFZ")*(ISNUMBER(SVB!$O$2:$O$740))*(SVB!$O$2:$O$740))</f>
        <v>0</v>
      </c>
      <c r="J30" s="450" cm="1">
        <f t="array" ref="J30">SUMPRODUCT((SVB!$S$2:$S$740&gt;=J311)*(SVB!$S$2:$S$740&lt;=J312)*(SVB!$B$2:$B$740="CFZ")*(ISNUMBER(SVB!$O$2:$O$740))*(SVB!$O$2:$O$740))</f>
        <v>0</v>
      </c>
      <c r="K30" s="450" cm="1">
        <f t="array" ref="K30">SUMPRODUCT((SVB!$S$2:$S$740&gt;=K311)*(SVB!$S$2:$S$740&lt;=K312)*(SVB!$B$2:$B$740="CFZ")*(ISNUMBER(SVB!$O$2:$O$740))*(SVB!$O$2:$O$740))</f>
        <v>0</v>
      </c>
      <c r="L30" s="450" cm="1">
        <f t="array" ref="L30">SUMPRODUCT((SVB!$S$2:$S$740&gt;=L311)*(SVB!$S$2:$S$740&lt;=L312)*(SVB!$B$2:$B$740="CFZ")*(ISNUMBER(SVB!$O$2:$O$740))*(SVB!$O$2:$O$740))</f>
        <v>0</v>
      </c>
      <c r="M30" s="450" cm="1">
        <f t="array" ref="M30">SUMPRODUCT((SVB!$S$2:$S$740&gt;=M311)*(SVB!$S$2:$S$740&lt;=M312)*(SVB!$B$2:$B$740="CFZ")*(ISNUMBER(SVB!$O$2:$O$740))*(SVB!$O$2:$O$740))</f>
        <v>0</v>
      </c>
      <c r="N30" s="450" cm="1">
        <f t="array" ref="N30">SUMPRODUCT((SVB!$S$2:$S$740&gt;=N311)*(SVB!$S$2:$S$740&lt;=N312)*(SVB!$B$2:$B$740="CFZ")*(ISNUMBER(SVB!$O$2:$O$740))*(SVB!$O$2:$O$740))</f>
        <v>0</v>
      </c>
      <c r="O30" s="450" cm="1">
        <f t="array" ref="O30">SUMPRODUCT((SVB!$S$2:$S$740&gt;=O311)*(SVB!$S$2:$S$740&lt;=O312)*(SVB!$B$2:$B$740="CFZ")*(ISNUMBER(SVB!$O$2:$O$740))*(SVB!$O$2:$O$740))</f>
        <v>0</v>
      </c>
      <c r="P30" s="450" cm="1">
        <f t="array" ref="P30">SUMPRODUCT((SVB!$S$2:$S$740&gt;=P311)*(SVB!$S$2:$S$740&lt;=P312)*(SVB!$B$2:$B$740="CFZ")*(ISNUMBER(SVB!$O$2:$O$740))*(SVB!$O$2:$O$740))</f>
        <v>0</v>
      </c>
      <c r="Q30" s="450" cm="1">
        <f t="array" ref="Q30">SUMPRODUCT((SVB!$S$2:$S$740&gt;=Q311)*(SVB!$S$2:$S$740&lt;=Q312)*(SVB!$B$2:$B$740="CFZ")*(ISNUMBER(SVB!$O$2:$O$740))*(SVB!$O$2:$O$740))</f>
        <v>0</v>
      </c>
      <c r="R30" s="450" cm="1">
        <f t="array" ref="R30">SUMPRODUCT((SVB!$S$2:$S$740&gt;=R311)*(SVB!$S$2:$S$740&lt;=R312)*(SVB!$B$2:$B$740="CFZ")*(ISNUMBER(SVB!$O$2:$O$740))*(SVB!$O$2:$O$740))</f>
        <v>0</v>
      </c>
      <c r="S30" s="450" cm="1">
        <f t="array" ref="S30">SUMPRODUCT((SVB!$S$2:$S$740&gt;=S311)*(SVB!$S$2:$S$740&lt;=S312)*(SVB!$B$2:$B$740="CFZ")*(ISNUMBER(SVB!$O$2:$O$740))*(SVB!$O$2:$O$740))</f>
        <v>0</v>
      </c>
      <c r="T30" s="450" cm="1">
        <f t="array" ref="T30">SUMPRODUCT((SVB!$S$2:$S$740&gt;=T311)*(SVB!$S$2:$S$740&lt;=T312)*(SVB!$B$2:$B$740="CFZ")*(ISNUMBER(SVB!$O$2:$O$740))*(SVB!$O$2:$O$740))</f>
        <v>0</v>
      </c>
      <c r="U30" s="450" cm="1">
        <f t="array" ref="U30">SUMPRODUCT((SVB!$S$2:$S$740&gt;=U311)*(SVB!$S$2:$S$740&lt;=U312)*(SVB!$B$2:$B$740="CFZ")*(ISNUMBER(SVB!$O$2:$O$740))*(SVB!$O$2:$O$740))</f>
        <v>0</v>
      </c>
      <c r="V30" s="544">
        <f t="shared" si="16"/>
        <v>169</v>
      </c>
    </row>
    <row r="31" spans="1:22" ht="18" customHeight="1">
      <c r="A31" s="449" t="s">
        <v>913</v>
      </c>
      <c r="B31" s="450" cm="1">
        <f t="array" ref="B31">SUMPRODUCT((SVB!$S$2:$S$740&gt;=B311)*(SVB!$S$2:$S$740&lt;=B312)*(SVB!$B$2:$B$740="CFZ")*(SVB!$K$2:$K$740="Switch")*(ISNUMBER(SVB!$O$2:$O$740))*(SVB!$O$2:$O$740))</f>
        <v>2</v>
      </c>
      <c r="C31" s="450" cm="1">
        <f t="array" ref="C31">SUMPRODUCT((SVB!$S$2:$S$740&gt;=C311)*(SVB!$S$2:$S$740&lt;=C312)*(SVB!$B$2:$B$740="CFZ")*(SVB!$K$2:$K$740="Switch")*(ISNUMBER(SVB!$O$2:$O$740))*(SVB!$O$2:$O$740))</f>
        <v>45</v>
      </c>
      <c r="D31" s="450" cm="1">
        <f t="array" ref="D31">SUMPRODUCT((SVB!$S$2:$S$740&gt;=D311)*(SVB!$S$2:$S$740&lt;=D312)*(SVB!$B$2:$B$740="CFZ")*(SVB!$K$2:$K$740="Switch")*(ISNUMBER(SVB!$O$2:$O$740))*(SVB!$O$2:$O$740))</f>
        <v>52</v>
      </c>
      <c r="E31" s="450" cm="1">
        <f t="array" ref="E31">SUMPRODUCT((SVB!$S$2:$S$740&gt;=E311)*(SVB!$S$2:$S$740&lt;=E312)*(SVB!$B$2:$B$740="CFZ")*(SVB!$K$2:$K$740="Switch")*(ISNUMBER(SVB!$O$2:$O$740))*(SVB!$O$2:$O$740))</f>
        <v>0</v>
      </c>
      <c r="F31" s="450" cm="1">
        <f t="array" ref="F31">SUMPRODUCT((SVB!$S$2:$S$740&gt;=F311)*(SVB!$S$2:$S$740&lt;=F312)*(SVB!$B$2:$B$740="CFZ")*(SVB!$K$2:$K$740="Switch")*(ISNUMBER(SVB!$O$2:$O$740))*(SVB!$O$2:$O$740))</f>
        <v>42</v>
      </c>
      <c r="G31" s="450" cm="1">
        <f t="array" ref="G31">SUMPRODUCT((SVB!$S$2:$S$740&gt;=G311)*(SVB!$S$2:$S$740&lt;=G312)*(SVB!$B$2:$B$740="CFZ")*(SVB!$K$2:$K$740="Switch")*(ISNUMBER(SVB!$O$2:$O$740))*(SVB!$O$2:$O$740))</f>
        <v>0</v>
      </c>
      <c r="H31" s="450" cm="1">
        <f t="array" ref="H31">SUMPRODUCT((SVB!$S$2:$S$740&gt;=H311)*(SVB!$S$2:$S$740&lt;=H312)*(SVB!$B$2:$B$740="CFZ")*(SVB!$K$2:$K$740="Switch")*(ISNUMBER(SVB!$O$2:$O$740))*(SVB!$O$2:$O$740))</f>
        <v>0</v>
      </c>
      <c r="I31" s="450" cm="1">
        <f t="array" ref="I31">SUMPRODUCT((SVB!$S$2:$S$740&gt;=I311)*(SVB!$S$2:$S$740&lt;=I312)*(SVB!$B$2:$B$740="CFZ")*(SVB!$K$2:$K$740="Switch")*(ISNUMBER(SVB!$O$2:$O$740))*(SVB!$O$2:$O$740))</f>
        <v>0</v>
      </c>
      <c r="J31" s="450" cm="1">
        <f t="array" ref="J31">SUMPRODUCT((SVB!$S$2:$S$740&gt;=J311)*(SVB!$S$2:$S$740&lt;=J312)*(SVB!$B$2:$B$740="CFZ")*(SVB!$K$2:$K$740="Switch")*(ISNUMBER(SVB!$O$2:$O$740))*(SVB!$O$2:$O$740))</f>
        <v>0</v>
      </c>
      <c r="K31" s="450" cm="1">
        <f t="array" ref="K31">SUMPRODUCT((SVB!$S$2:$S$740&gt;=K311)*(SVB!$S$2:$S$740&lt;=K312)*(SVB!$B$2:$B$740="CFZ")*(SVB!$K$2:$K$740="Switch")*(ISNUMBER(SVB!$O$2:$O$740))*(SVB!$O$2:$O$740))</f>
        <v>0</v>
      </c>
      <c r="L31" s="450" cm="1">
        <f t="array" ref="L31">SUMPRODUCT((SVB!$S$2:$S$740&gt;=L311)*(SVB!$S$2:$S$740&lt;=L312)*(SVB!$B$2:$B$740="CFZ")*(SVB!$K$2:$K$740="Switch")*(ISNUMBER(SVB!$O$2:$O$740))*(SVB!$O$2:$O$740))</f>
        <v>0</v>
      </c>
      <c r="M31" s="450" cm="1">
        <f t="array" ref="M31">SUMPRODUCT((SVB!$S$2:$S$740&gt;=M311)*(SVB!$S$2:$S$740&lt;=M312)*(SVB!$B$2:$B$740="CFZ")*(SVB!$K$2:$K$740="Switch")*(ISNUMBER(SVB!$O$2:$O$740))*(SVB!$O$2:$O$740))</f>
        <v>0</v>
      </c>
      <c r="N31" s="450" cm="1">
        <f t="array" ref="N31">SUMPRODUCT((SVB!$S$2:$S$740&gt;=N311)*(SVB!$S$2:$S$740&lt;=N312)*(SVB!$B$2:$B$740="CFZ")*(SVB!$K$2:$K$740="Switch")*(ISNUMBER(SVB!$O$2:$O$740))*(SVB!$O$2:$O$740))</f>
        <v>0</v>
      </c>
      <c r="O31" s="450" cm="1">
        <f t="array" ref="O31">SUMPRODUCT((SVB!$S$2:$S$740&gt;=O311)*(SVB!$S$2:$S$740&lt;=O312)*(SVB!$B$2:$B$740="CFZ")*(SVB!$K$2:$K$740="Switch")*(ISNUMBER(SVB!$O$2:$O$740))*(SVB!$O$2:$O$740))</f>
        <v>0</v>
      </c>
      <c r="P31" s="450" cm="1">
        <f t="array" ref="P31">SUMPRODUCT((SVB!$S$2:$S$740&gt;=P311)*(SVB!$S$2:$S$740&lt;=P312)*(SVB!$B$2:$B$740="CFZ")*(SVB!$K$2:$K$740="Switch")*(ISNUMBER(SVB!$O$2:$O$740))*(SVB!$O$2:$O$740))</f>
        <v>0</v>
      </c>
      <c r="Q31" s="450" cm="1">
        <f t="array" ref="Q31">SUMPRODUCT((SVB!$S$2:$S$740&gt;=Q311)*(SVB!$S$2:$S$740&lt;=Q312)*(SVB!$B$2:$B$740="CFZ")*(SVB!$K$2:$K$740="Switch")*(ISNUMBER(SVB!$O$2:$O$740))*(SVB!$O$2:$O$740))</f>
        <v>0</v>
      </c>
      <c r="R31" s="450" cm="1">
        <f t="array" ref="R31">SUMPRODUCT((SVB!$S$2:$S$740&gt;=R311)*(SVB!$S$2:$S$740&lt;=R312)*(SVB!$B$2:$B$740="CFZ")*(SVB!$K$2:$K$740="Switch")*(ISNUMBER(SVB!$O$2:$O$740))*(SVB!$O$2:$O$740))</f>
        <v>0</v>
      </c>
      <c r="S31" s="450" cm="1">
        <f t="array" ref="S31">SUMPRODUCT((SVB!$S$2:$S$740&gt;=S311)*(SVB!$S$2:$S$740&lt;=S312)*(SVB!$B$2:$B$740="CFZ")*(SVB!$K$2:$K$740="Switch")*(ISNUMBER(SVB!$O$2:$O$740))*(SVB!$O$2:$O$740))</f>
        <v>0</v>
      </c>
      <c r="T31" s="450" cm="1">
        <f t="array" ref="T31">SUMPRODUCT((SVB!$S$2:$S$740&gt;=T311)*(SVB!$S$2:$S$740&lt;=T312)*(SVB!$B$2:$B$740="CFZ")*(SVB!$K$2:$K$740="Switch")*(ISNUMBER(SVB!$O$2:$O$740))*(SVB!$O$2:$O$740))</f>
        <v>0</v>
      </c>
      <c r="U31" s="450" cm="1">
        <f t="array" ref="U31">SUMPRODUCT((SVB!$S$2:$S$740&gt;=U311)*(SVB!$S$2:$S$740&lt;=U312)*(SVB!$B$2:$B$740="CFZ")*(SVB!$K$2:$K$740="Switch")*(ISNUMBER(SVB!$O$2:$O$740))*(SVB!$O$2:$O$740))</f>
        <v>0</v>
      </c>
      <c r="V31" s="544">
        <f t="shared" si="16"/>
        <v>141</v>
      </c>
    </row>
    <row r="32" spans="1:22" ht="18" customHeight="1">
      <c r="A32" s="449" t="s">
        <v>914</v>
      </c>
      <c r="B32" s="450" cm="1">
        <f t="array" ref="B32">SUMPRODUCT((SVB!$S$2:$S$740&gt;=B311)*(SVB!$S$2:$S$740&lt;=B312)*(SVB!$B$2:$B$740="CFZ")*(SVB!$K$2:$K$740="AP")*(ISNUMBER(SVB!$O$2:$O$740))*(SVB!$O$2:$O$740))</f>
        <v>24</v>
      </c>
      <c r="C32" s="450" cm="1">
        <f t="array" ref="C32">SUMPRODUCT((SVB!$S$2:$S$740&gt;=C311)*(SVB!$S$2:$S$740&lt;=C312)*(SVB!$B$2:$B$740="CFZ")*(SVB!$K$2:$K$740="AP")*(ISNUMBER(SVB!$O$2:$O$740))*(SVB!$O$2:$O$740))</f>
        <v>0</v>
      </c>
      <c r="D32" s="450" cm="1">
        <f t="array" ref="D32">SUMPRODUCT((SVB!$S$2:$S$740&gt;=D311)*(SVB!$S$2:$S$740&lt;=D312)*(SVB!$B$2:$B$740="CFZ")*(SVB!$K$2:$K$740="AP")*(ISNUMBER(SVB!$O$2:$O$740))*(SVB!$O$2:$O$740))</f>
        <v>0</v>
      </c>
      <c r="E32" s="450" cm="1">
        <f t="array" ref="E32">SUMPRODUCT((SVB!$S$2:$S$740&gt;=E311)*(SVB!$S$2:$S$740&lt;=E312)*(SVB!$B$2:$B$740="CFZ")*(SVB!$K$2:$K$740="AP")*(ISNUMBER(SVB!$O$2:$O$740))*(SVB!$O$2:$O$740))</f>
        <v>0</v>
      </c>
      <c r="F32" s="450" cm="1">
        <f t="array" ref="F32">SUMPRODUCT((SVB!$S$2:$S$740&gt;=F311)*(SVB!$S$2:$S$740&lt;=F312)*(SVB!$B$2:$B$740="CFZ")*(SVB!$K$2:$K$740="AP")*(ISNUMBER(SVB!$O$2:$O$740))*(SVB!$O$2:$O$740))</f>
        <v>0</v>
      </c>
      <c r="G32" s="450" cm="1">
        <f t="array" ref="G32">SUMPRODUCT((SVB!$S$2:$S$740&gt;=G311)*(SVB!$S$2:$S$740&lt;=G312)*(SVB!$B$2:$B$740="CFZ")*(SVB!$K$2:$K$740="AP")*(ISNUMBER(SVB!$O$2:$O$740))*(SVB!$O$2:$O$740))</f>
        <v>0</v>
      </c>
      <c r="H32" s="450" cm="1">
        <f t="array" ref="H32">SUMPRODUCT((SVB!$S$2:$S$740&gt;=H311)*(SVB!$S$2:$S$740&lt;=H312)*(SVB!$B$2:$B$740="CFZ")*(SVB!$K$2:$K$740="AP")*(ISNUMBER(SVB!$O$2:$O$740))*(SVB!$O$2:$O$740))</f>
        <v>0</v>
      </c>
      <c r="I32" s="450" cm="1">
        <f t="array" ref="I32">SUMPRODUCT((SVB!$S$2:$S$740&gt;=I311)*(SVB!$S$2:$S$740&lt;=I312)*(SVB!$B$2:$B$740="CFZ")*(SVB!$K$2:$K$740="AP")*(ISNUMBER(SVB!$O$2:$O$740))*(SVB!$O$2:$O$740))</f>
        <v>0</v>
      </c>
      <c r="J32" s="450" cm="1">
        <f t="array" ref="J32">SUMPRODUCT((SVB!$S$2:$S$740&gt;=J311)*(SVB!$S$2:$S$740&lt;=J312)*(SVB!$B$2:$B$740="CFZ")*(SVB!$K$2:$K$740="AP")*(ISNUMBER(SVB!$O$2:$O$740))*(SVB!$O$2:$O$740))</f>
        <v>0</v>
      </c>
      <c r="K32" s="450" cm="1">
        <f t="array" ref="K32">SUMPRODUCT((SVB!$S$2:$S$740&gt;=K311)*(SVB!$S$2:$S$740&lt;=K312)*(SVB!$B$2:$B$740="CFZ")*(SVB!$K$2:$K$740="AP")*(ISNUMBER(SVB!$O$2:$O$740))*(SVB!$O$2:$O$740))</f>
        <v>0</v>
      </c>
      <c r="L32" s="450" cm="1">
        <f t="array" ref="L32">SUMPRODUCT((SVB!$S$2:$S$740&gt;=L311)*(SVB!$S$2:$S$740&lt;=L312)*(SVB!$B$2:$B$740="CFZ")*(SVB!$K$2:$K$740="AP")*(ISNUMBER(SVB!$O$2:$O$740))*(SVB!$O$2:$O$740))</f>
        <v>0</v>
      </c>
      <c r="M32" s="450" cm="1">
        <f t="array" ref="M32">SUMPRODUCT((SVB!$S$2:$S$740&gt;=M311)*(SVB!$S$2:$S$740&lt;=M312)*(SVB!$B$2:$B$740="CFZ")*(SVB!$K$2:$K$740="AP")*(ISNUMBER(SVB!$O$2:$O$740))*(SVB!$O$2:$O$740))</f>
        <v>0</v>
      </c>
      <c r="N32" s="450" cm="1">
        <f t="array" ref="N32">SUMPRODUCT((SVB!$S$2:$S$740&gt;=N311)*(SVB!$S$2:$S$740&lt;=N312)*(SVB!$B$2:$B$740="CFZ")*(SVB!$K$2:$K$740="AP")*(ISNUMBER(SVB!$O$2:$O$740))*(SVB!$O$2:$O$740))</f>
        <v>0</v>
      </c>
      <c r="O32" s="450" cm="1">
        <f t="array" ref="O32">SUMPRODUCT((SVB!$S$2:$S$740&gt;=O311)*(SVB!$S$2:$S$740&lt;=O312)*(SVB!$B$2:$B$740="CFZ")*(SVB!$K$2:$K$740="AP")*(ISNUMBER(SVB!$O$2:$O$740))*(SVB!$O$2:$O$740))</f>
        <v>0</v>
      </c>
      <c r="P32" s="450" cm="1">
        <f t="array" ref="P32">SUMPRODUCT((SVB!$S$2:$S$740&gt;=P311)*(SVB!$S$2:$S$740&lt;=P312)*(SVB!$B$2:$B$740="CFZ")*(SVB!$K$2:$K$740="AP")*(ISNUMBER(SVB!$O$2:$O$740))*(SVB!$O$2:$O$740))</f>
        <v>0</v>
      </c>
      <c r="Q32" s="450" cm="1">
        <f t="array" ref="Q32">SUMPRODUCT((SVB!$S$2:$S$740&gt;=Q311)*(SVB!$S$2:$S$740&lt;=Q312)*(SVB!$B$2:$B$740="CFZ")*(SVB!$K$2:$K$740="AP")*(ISNUMBER(SVB!$O$2:$O$740))*(SVB!$O$2:$O$740))</f>
        <v>0</v>
      </c>
      <c r="R32" s="450" cm="1">
        <f t="array" ref="R32">SUMPRODUCT((SVB!$S$2:$S$740&gt;=R311)*(SVB!$S$2:$S$740&lt;=R312)*(SVB!$B$2:$B$740="CFZ")*(SVB!$K$2:$K$740="AP")*(ISNUMBER(SVB!$O$2:$O$740))*(SVB!$O$2:$O$740))</f>
        <v>0</v>
      </c>
      <c r="S32" s="450" cm="1">
        <f t="array" ref="S32">SUMPRODUCT((SVB!$S$2:$S$740&gt;=S311)*(SVB!$S$2:$S$740&lt;=S312)*(SVB!$B$2:$B$740="CFZ")*(SVB!$K$2:$K$740="AP")*(ISNUMBER(SVB!$O$2:$O$740))*(SVB!$O$2:$O$740))</f>
        <v>0</v>
      </c>
      <c r="T32" s="450" cm="1">
        <f t="array" ref="T32">SUMPRODUCT((SVB!$S$2:$S$740&gt;=T311)*(SVB!$S$2:$S$740&lt;=T312)*(SVB!$B$2:$B$740="CFZ")*(SVB!$K$2:$K$740="AP")*(ISNUMBER(SVB!$O$2:$O$740))*(SVB!$O$2:$O$740))</f>
        <v>0</v>
      </c>
      <c r="U32" s="450" cm="1">
        <f t="array" ref="U32">SUMPRODUCT((SVB!$S$2:$S$740&gt;=U311)*(SVB!$S$2:$S$740&lt;=U312)*(SVB!$B$2:$B$740="CFZ")*(SVB!$K$2:$K$740="AP")*(ISNUMBER(SVB!$O$2:$O$740))*(SVB!$O$2:$O$740))</f>
        <v>0</v>
      </c>
      <c r="V32" s="544">
        <f t="shared" si="16"/>
        <v>24</v>
      </c>
    </row>
    <row r="33" spans="1:22" ht="18" customHeight="1">
      <c r="A33" s="449" t="s">
        <v>915</v>
      </c>
      <c r="B33" s="450" cm="1">
        <f t="array" ref="B33">SUMPRODUCT((SVB!$S$2:$S$740&gt;=B311)*(SVB!$S$2:$S$740&lt;=B312)*(SVB!$B$2:$B$740="CFZ")*(SVB!$K$2:$K$740="Infra")*(ISNUMBER(SVB!$O$2:$O$740))*(SVB!$O$2:$O$740))</f>
        <v>4</v>
      </c>
      <c r="C33" s="450" cm="1">
        <f t="array" ref="C33">SUMPRODUCT((SVB!$S$2:$S$740&gt;=C311)*(SVB!$S$2:$S$740&lt;=C312)*(SVB!$B$2:$B$740="CFZ")*(SVB!$K$2:$K$740="Infra")*(ISNUMBER(SVB!$O$2:$O$740))*(SVB!$O$2:$O$740))</f>
        <v>0</v>
      </c>
      <c r="D33" s="450" cm="1">
        <f t="array" ref="D33">SUMPRODUCT((SVB!$S$2:$S$740&gt;=D311)*(SVB!$S$2:$S$740&lt;=D312)*(SVB!$B$2:$B$740="CFZ")*(SVB!$K$2:$K$740="Infra")*(ISNUMBER(SVB!$O$2:$O$740))*(SVB!$O$2:$O$740))</f>
        <v>0</v>
      </c>
      <c r="E33" s="450" cm="1">
        <f t="array" ref="E33">SUMPRODUCT((SVB!$S$2:$S$740&gt;=E311)*(SVB!$S$2:$S$740&lt;=E312)*(SVB!$B$2:$B$740="CFZ")*(SVB!$K$2:$K$740="Infra")*(ISNUMBER(SVB!$O$2:$O$740))*(SVB!$O$2:$O$740))</f>
        <v>0</v>
      </c>
      <c r="F33" s="450" cm="1">
        <f t="array" ref="F33">SUMPRODUCT((SVB!$S$2:$S$740&gt;=F311)*(SVB!$S$2:$S$740&lt;=F312)*(SVB!$B$2:$B$740="CFZ")*(SVB!$K$2:$K$740="Infra")*(ISNUMBER(SVB!$O$2:$O$740))*(SVB!$O$2:$O$740))</f>
        <v>0</v>
      </c>
      <c r="G33" s="450" cm="1">
        <f t="array" ref="G33">SUMPRODUCT((SVB!$S$2:$S$740&gt;=G311)*(SVB!$S$2:$S$740&lt;=G312)*(SVB!$B$2:$B$740="CFZ")*(SVB!$K$2:$K$740="Infra")*(ISNUMBER(SVB!$O$2:$O$740))*(SVB!$O$2:$O$740))</f>
        <v>0</v>
      </c>
      <c r="H33" s="450" cm="1">
        <f t="array" ref="H33">SUMPRODUCT((SVB!$S$2:$S$740&gt;=H311)*(SVB!$S$2:$S$740&lt;=H312)*(SVB!$B$2:$B$740="CFZ")*(SVB!$K$2:$K$740="Infra")*(ISNUMBER(SVB!$O$2:$O$740))*(SVB!$O$2:$O$740))</f>
        <v>0</v>
      </c>
      <c r="I33" s="450" cm="1">
        <f t="array" ref="I33">SUMPRODUCT((SVB!$S$2:$S$740&gt;=I311)*(SVB!$S$2:$S$740&lt;=I312)*(SVB!$B$2:$B$740="CFZ")*(SVB!$K$2:$K$740="Infra")*(ISNUMBER(SVB!$O$2:$O$740))*(SVB!$O$2:$O$740))</f>
        <v>0</v>
      </c>
      <c r="J33" s="450" cm="1">
        <f t="array" ref="J33">SUMPRODUCT((SVB!$S$2:$S$740&gt;=J311)*(SVB!$S$2:$S$740&lt;=J312)*(SVB!$B$2:$B$740="CFZ")*(SVB!$K$2:$K$740="Infra")*(ISNUMBER(SVB!$O$2:$O$740))*(SVB!$O$2:$O$740))</f>
        <v>0</v>
      </c>
      <c r="K33" s="450" cm="1">
        <f t="array" ref="K33">SUMPRODUCT((SVB!$S$2:$S$740&gt;=K311)*(SVB!$S$2:$S$740&lt;=K312)*(SVB!$B$2:$B$740="CFZ")*(SVB!$K$2:$K$740="Infra")*(ISNUMBER(SVB!$O$2:$O$740))*(SVB!$O$2:$O$740))</f>
        <v>0</v>
      </c>
      <c r="L33" s="450" cm="1">
        <f t="array" ref="L33">SUMPRODUCT((SVB!$S$2:$S$740&gt;=L311)*(SVB!$S$2:$S$740&lt;=L312)*(SVB!$B$2:$B$740="CFZ")*(SVB!$K$2:$K$740="Infra")*(ISNUMBER(SVB!$O$2:$O$740))*(SVB!$O$2:$O$740))</f>
        <v>0</v>
      </c>
      <c r="M33" s="450" cm="1">
        <f t="array" ref="M33">SUMPRODUCT((SVB!$S$2:$S$740&gt;=M311)*(SVB!$S$2:$S$740&lt;=M312)*(SVB!$B$2:$B$740="CFZ")*(SVB!$K$2:$K$740="Infra")*(ISNUMBER(SVB!$O$2:$O$740))*(SVB!$O$2:$O$740))</f>
        <v>0</v>
      </c>
      <c r="N33" s="450" cm="1">
        <f t="array" ref="N33">SUMPRODUCT((SVB!$S$2:$S$740&gt;=N311)*(SVB!$S$2:$S$740&lt;=N312)*(SVB!$B$2:$B$740="CFZ")*(SVB!$K$2:$K$740="Infra")*(ISNUMBER(SVB!$O$2:$O$740))*(SVB!$O$2:$O$740))</f>
        <v>0</v>
      </c>
      <c r="O33" s="450" cm="1">
        <f t="array" ref="O33">SUMPRODUCT((SVB!$S$2:$S$740&gt;=O311)*(SVB!$S$2:$S$740&lt;=O312)*(SVB!$B$2:$B$740="CFZ")*(SVB!$K$2:$K$740="Infra")*(ISNUMBER(SVB!$O$2:$O$740))*(SVB!$O$2:$O$740))</f>
        <v>0</v>
      </c>
      <c r="P33" s="450" cm="1">
        <f t="array" ref="P33">SUMPRODUCT((SVB!$S$2:$S$740&gt;=P311)*(SVB!$S$2:$S$740&lt;=P312)*(SVB!$B$2:$B$740="CFZ")*(SVB!$K$2:$K$740="Infra")*(ISNUMBER(SVB!$O$2:$O$740))*(SVB!$O$2:$O$740))</f>
        <v>0</v>
      </c>
      <c r="Q33" s="450" cm="1">
        <f t="array" ref="Q33">SUMPRODUCT((SVB!$S$2:$S$740&gt;=Q311)*(SVB!$S$2:$S$740&lt;=Q312)*(SVB!$B$2:$B$740="CFZ")*(SVB!$K$2:$K$740="Infra")*(ISNUMBER(SVB!$O$2:$O$740))*(SVB!$O$2:$O$740))</f>
        <v>0</v>
      </c>
      <c r="R33" s="450" cm="1">
        <f t="array" ref="R33">SUMPRODUCT((SVB!$S$2:$S$740&gt;=R311)*(SVB!$S$2:$S$740&lt;=R312)*(SVB!$B$2:$B$740="CFZ")*(SVB!$K$2:$K$740="Infra")*(ISNUMBER(SVB!$O$2:$O$740))*(SVB!$O$2:$O$740))</f>
        <v>0</v>
      </c>
      <c r="S33" s="450" cm="1">
        <f t="array" ref="S33">SUMPRODUCT((SVB!$S$2:$S$740&gt;=S311)*(SVB!$S$2:$S$740&lt;=S312)*(SVB!$B$2:$B$740="CFZ")*(SVB!$K$2:$K$740="Infra")*(ISNUMBER(SVB!$O$2:$O$740))*(SVB!$O$2:$O$740))</f>
        <v>0</v>
      </c>
      <c r="T33" s="450" cm="1">
        <f t="array" ref="T33">SUMPRODUCT((SVB!$S$2:$S$740&gt;=T311)*(SVB!$S$2:$S$740&lt;=T312)*(SVB!$B$2:$B$740="CFZ")*(SVB!$K$2:$K$740="Infra")*(ISNUMBER(SVB!$O$2:$O$740))*(SVB!$O$2:$O$740))</f>
        <v>0</v>
      </c>
      <c r="U33" s="450" cm="1">
        <f t="array" ref="U33">SUMPRODUCT((SVB!$S$2:$S$740&gt;=U311)*(SVB!$S$2:$S$740&lt;=U312)*(SVB!$B$2:$B$740="CFZ")*(SVB!$K$2:$K$740="Infra")*(ISNUMBER(SVB!$O$2:$O$740))*(SVB!$O$2:$O$740))</f>
        <v>0</v>
      </c>
      <c r="V33" s="544">
        <f t="shared" si="16"/>
        <v>4</v>
      </c>
    </row>
    <row r="34" spans="1:22" s="562" customFormat="1" ht="19.5" customHeight="1">
      <c r="A34" s="565" t="s">
        <v>312</v>
      </c>
      <c r="B34" s="566">
        <f>MAX(B30-B24,0)</f>
        <v>26</v>
      </c>
      <c r="C34" s="566">
        <f t="shared" ref="C34" si="17">MAX(C30-C24,0)</f>
        <v>0</v>
      </c>
      <c r="D34" s="566">
        <f t="shared" ref="D34" si="18">MAX(D30-D24,0)</f>
        <v>0</v>
      </c>
      <c r="E34" s="566">
        <f t="shared" ref="E34" si="19">MAX(E30-E24,0)</f>
        <v>0</v>
      </c>
      <c r="F34" s="566">
        <f t="shared" ref="F34" si="20">MAX(F30-F24,0)</f>
        <v>1</v>
      </c>
      <c r="G34" s="566">
        <f t="shared" ref="G34" si="21">MAX(G30-G24,0)</f>
        <v>0</v>
      </c>
      <c r="H34" s="566">
        <f t="shared" ref="H34" si="22">MAX(H30-H24,0)</f>
        <v>0</v>
      </c>
      <c r="I34" s="566">
        <f t="shared" ref="I34" si="23">MAX(I30-I24,0)</f>
        <v>0</v>
      </c>
      <c r="J34" s="566">
        <f t="shared" ref="J34" si="24">MAX(J30-J24,0)</f>
        <v>0</v>
      </c>
      <c r="K34" s="566">
        <f t="shared" ref="K34" si="25">MAX(K30-K24,0)</f>
        <v>0</v>
      </c>
      <c r="L34" s="566">
        <f t="shared" ref="L34" si="26">MAX(L30-L24,0)</f>
        <v>0</v>
      </c>
      <c r="M34" s="566">
        <f t="shared" ref="M34" si="27">MAX(M30-M24,0)</f>
        <v>0</v>
      </c>
      <c r="N34" s="566">
        <f t="shared" ref="N34" si="28">MAX(N30-N24,0)</f>
        <v>0</v>
      </c>
      <c r="O34" s="566">
        <f t="shared" ref="O34" si="29">MAX(O30-O24,0)</f>
        <v>0</v>
      </c>
      <c r="P34" s="566">
        <f t="shared" ref="P34" si="30">MAX(P30-P24,0)</f>
        <v>0</v>
      </c>
      <c r="Q34" s="566">
        <f t="shared" ref="Q34:U34" si="31">MAX(Q30-Q24,0)</f>
        <v>0</v>
      </c>
      <c r="R34" s="566">
        <f t="shared" si="31"/>
        <v>0</v>
      </c>
      <c r="S34" s="566">
        <f t="shared" si="31"/>
        <v>0</v>
      </c>
      <c r="T34" s="566">
        <f t="shared" si="31"/>
        <v>0</v>
      </c>
      <c r="U34" s="566">
        <f t="shared" si="31"/>
        <v>0</v>
      </c>
      <c r="V34" s="567">
        <f>MAX(V30-V24,0)</f>
        <v>0</v>
      </c>
    </row>
    <row r="35" spans="1:22" s="562" customFormat="1" ht="19.5" customHeight="1">
      <c r="A35" s="565" t="s">
        <v>313</v>
      </c>
      <c r="B35" s="566">
        <f>MAX(B24-B30,0)</f>
        <v>0</v>
      </c>
      <c r="C35" s="566">
        <f t="shared" ref="C35:Q35" si="32">MAX(C24-C30,0)</f>
        <v>24</v>
      </c>
      <c r="D35" s="566">
        <f t="shared" si="32"/>
        <v>2</v>
      </c>
      <c r="E35" s="566">
        <f t="shared" si="32"/>
        <v>0</v>
      </c>
      <c r="F35" s="566">
        <f t="shared" si="32"/>
        <v>0</v>
      </c>
      <c r="G35" s="566">
        <f t="shared" si="32"/>
        <v>17</v>
      </c>
      <c r="H35" s="566">
        <f t="shared" si="32"/>
        <v>0</v>
      </c>
      <c r="I35" s="566">
        <f t="shared" si="32"/>
        <v>0</v>
      </c>
      <c r="J35" s="566">
        <f t="shared" si="32"/>
        <v>0</v>
      </c>
      <c r="K35" s="566">
        <f t="shared" si="32"/>
        <v>0</v>
      </c>
      <c r="L35" s="566">
        <f t="shared" si="32"/>
        <v>0</v>
      </c>
      <c r="M35" s="566">
        <f t="shared" si="32"/>
        <v>0</v>
      </c>
      <c r="N35" s="566">
        <f t="shared" si="32"/>
        <v>0</v>
      </c>
      <c r="O35" s="566">
        <f t="shared" si="32"/>
        <v>0</v>
      </c>
      <c r="P35" s="566">
        <f t="shared" si="32"/>
        <v>0</v>
      </c>
      <c r="Q35" s="566">
        <f t="shared" si="32"/>
        <v>2</v>
      </c>
      <c r="R35" s="566">
        <f t="shared" ref="R35:U35" si="33">MAX(R24-R30,0)</f>
        <v>0</v>
      </c>
      <c r="S35" s="566">
        <f t="shared" si="33"/>
        <v>0</v>
      </c>
      <c r="T35" s="566">
        <f t="shared" si="33"/>
        <v>0</v>
      </c>
      <c r="U35" s="566">
        <f t="shared" si="33"/>
        <v>0</v>
      </c>
      <c r="V35" s="567">
        <f>MAX(V24-V30,0)</f>
        <v>18</v>
      </c>
    </row>
    <row r="36" spans="1:22" s="562" customFormat="1" ht="19.5" customHeight="1">
      <c r="A36" s="565" t="s">
        <v>882</v>
      </c>
      <c r="B36" s="566">
        <f>MAX(B31-B25,0)</f>
        <v>0</v>
      </c>
      <c r="C36" s="566">
        <f t="shared" ref="C36:Q36" si="34">MAX(C31-C25,0)</f>
        <v>0</v>
      </c>
      <c r="D36" s="566">
        <f t="shared" si="34"/>
        <v>0</v>
      </c>
      <c r="E36" s="566">
        <f t="shared" si="34"/>
        <v>0</v>
      </c>
      <c r="F36" s="566">
        <f t="shared" si="34"/>
        <v>1</v>
      </c>
      <c r="G36" s="566">
        <f t="shared" si="34"/>
        <v>0</v>
      </c>
      <c r="H36" s="566">
        <f t="shared" si="34"/>
        <v>0</v>
      </c>
      <c r="I36" s="566">
        <f t="shared" si="34"/>
        <v>0</v>
      </c>
      <c r="J36" s="566">
        <f t="shared" si="34"/>
        <v>0</v>
      </c>
      <c r="K36" s="566">
        <f t="shared" si="34"/>
        <v>0</v>
      </c>
      <c r="L36" s="566">
        <f t="shared" si="34"/>
        <v>0</v>
      </c>
      <c r="M36" s="566">
        <f t="shared" si="34"/>
        <v>0</v>
      </c>
      <c r="N36" s="566">
        <f t="shared" si="34"/>
        <v>0</v>
      </c>
      <c r="O36" s="566">
        <f t="shared" si="34"/>
        <v>0</v>
      </c>
      <c r="P36" s="566">
        <f t="shared" si="34"/>
        <v>0</v>
      </c>
      <c r="Q36" s="566">
        <f t="shared" si="34"/>
        <v>0</v>
      </c>
      <c r="R36" s="566">
        <f t="shared" ref="R36:U36" si="35">MAX(R31-R25,0)</f>
        <v>0</v>
      </c>
      <c r="S36" s="566">
        <f t="shared" si="35"/>
        <v>0</v>
      </c>
      <c r="T36" s="566">
        <f t="shared" si="35"/>
        <v>0</v>
      </c>
      <c r="U36" s="566">
        <f t="shared" si="35"/>
        <v>0</v>
      </c>
      <c r="V36" s="567">
        <f>MAX(V31-V25,0)</f>
        <v>0</v>
      </c>
    </row>
    <row r="37" spans="1:22" s="562" customFormat="1" ht="19.5" customHeight="1">
      <c r="A37" s="565" t="s">
        <v>883</v>
      </c>
      <c r="B37" s="566">
        <f>MAX(B25-B31,0)</f>
        <v>0</v>
      </c>
      <c r="C37" s="566">
        <f t="shared" ref="C37:Q37" si="36">MAX(C25-C31,0)</f>
        <v>0</v>
      </c>
      <c r="D37" s="566">
        <f t="shared" si="36"/>
        <v>0</v>
      </c>
      <c r="E37" s="566">
        <f t="shared" si="36"/>
        <v>0</v>
      </c>
      <c r="F37" s="566">
        <f t="shared" si="36"/>
        <v>0</v>
      </c>
      <c r="G37" s="566">
        <f t="shared" si="36"/>
        <v>14</v>
      </c>
      <c r="H37" s="566">
        <f t="shared" si="36"/>
        <v>0</v>
      </c>
      <c r="I37" s="566">
        <f t="shared" si="36"/>
        <v>0</v>
      </c>
      <c r="J37" s="566">
        <f t="shared" si="36"/>
        <v>0</v>
      </c>
      <c r="K37" s="566">
        <f t="shared" si="36"/>
        <v>0</v>
      </c>
      <c r="L37" s="566">
        <f t="shared" si="36"/>
        <v>0</v>
      </c>
      <c r="M37" s="566">
        <f t="shared" si="36"/>
        <v>0</v>
      </c>
      <c r="N37" s="566">
        <f t="shared" si="36"/>
        <v>0</v>
      </c>
      <c r="O37" s="566">
        <f t="shared" si="36"/>
        <v>0</v>
      </c>
      <c r="P37" s="566">
        <f t="shared" si="36"/>
        <v>0</v>
      </c>
      <c r="Q37" s="566">
        <f t="shared" si="36"/>
        <v>2</v>
      </c>
      <c r="R37" s="566">
        <f t="shared" ref="R37:U37" si="37">MAX(R25-R31,0)</f>
        <v>0</v>
      </c>
      <c r="S37" s="566">
        <f t="shared" si="37"/>
        <v>0</v>
      </c>
      <c r="T37" s="566">
        <f t="shared" si="37"/>
        <v>0</v>
      </c>
      <c r="U37" s="566">
        <f t="shared" si="37"/>
        <v>0</v>
      </c>
      <c r="V37" s="567">
        <f>MAX(V25-V31,0)</f>
        <v>15</v>
      </c>
    </row>
    <row r="38" spans="1:22" s="562" customFormat="1" ht="19.5" customHeight="1">
      <c r="A38" s="565" t="s">
        <v>888</v>
      </c>
      <c r="B38" s="566">
        <f>MAX(B32-B26,0)</f>
        <v>24</v>
      </c>
      <c r="C38" s="566">
        <f t="shared" ref="C38:Q38" si="38">MAX(C32-C26,0)</f>
        <v>0</v>
      </c>
      <c r="D38" s="566">
        <f t="shared" si="38"/>
        <v>0</v>
      </c>
      <c r="E38" s="566">
        <f t="shared" si="38"/>
        <v>0</v>
      </c>
      <c r="F38" s="566">
        <f t="shared" si="38"/>
        <v>0</v>
      </c>
      <c r="G38" s="566">
        <f t="shared" si="38"/>
        <v>0</v>
      </c>
      <c r="H38" s="566">
        <f t="shared" si="38"/>
        <v>0</v>
      </c>
      <c r="I38" s="566">
        <f t="shared" si="38"/>
        <v>0</v>
      </c>
      <c r="J38" s="566">
        <f t="shared" si="38"/>
        <v>0</v>
      </c>
      <c r="K38" s="566">
        <f t="shared" si="38"/>
        <v>0</v>
      </c>
      <c r="L38" s="566">
        <f t="shared" si="38"/>
        <v>0</v>
      </c>
      <c r="M38" s="566">
        <f t="shared" si="38"/>
        <v>0</v>
      </c>
      <c r="N38" s="566">
        <f t="shared" si="38"/>
        <v>0</v>
      </c>
      <c r="O38" s="566">
        <f t="shared" si="38"/>
        <v>0</v>
      </c>
      <c r="P38" s="566">
        <f t="shared" si="38"/>
        <v>0</v>
      </c>
      <c r="Q38" s="566">
        <f t="shared" si="38"/>
        <v>0</v>
      </c>
      <c r="R38" s="566">
        <f t="shared" ref="R38:U38" si="39">MAX(R32-R26,0)</f>
        <v>0</v>
      </c>
      <c r="S38" s="566">
        <f t="shared" si="39"/>
        <v>0</v>
      </c>
      <c r="T38" s="566">
        <f t="shared" si="39"/>
        <v>0</v>
      </c>
      <c r="U38" s="566">
        <f t="shared" si="39"/>
        <v>0</v>
      </c>
      <c r="V38" s="567">
        <f t="shared" ref="V38" si="40">MAX(V32-V26,0)</f>
        <v>0</v>
      </c>
    </row>
    <row r="39" spans="1:22" s="562" customFormat="1" ht="19.5" customHeight="1">
      <c r="A39" s="565" t="s">
        <v>889</v>
      </c>
      <c r="B39" s="566">
        <f>MAX(B26-B32,0)</f>
        <v>0</v>
      </c>
      <c r="C39" s="566">
        <f t="shared" ref="C39:Q39" si="41">MAX(C26-C32,0)</f>
        <v>24</v>
      </c>
      <c r="D39" s="566">
        <f t="shared" si="41"/>
        <v>0</v>
      </c>
      <c r="E39" s="566">
        <f t="shared" si="41"/>
        <v>0</v>
      </c>
      <c r="F39" s="566">
        <f t="shared" si="41"/>
        <v>0</v>
      </c>
      <c r="G39" s="566">
        <f t="shared" si="41"/>
        <v>1</v>
      </c>
      <c r="H39" s="566">
        <f t="shared" si="41"/>
        <v>0</v>
      </c>
      <c r="I39" s="566">
        <f t="shared" si="41"/>
        <v>0</v>
      </c>
      <c r="J39" s="566">
        <f t="shared" si="41"/>
        <v>0</v>
      </c>
      <c r="K39" s="566">
        <f t="shared" si="41"/>
        <v>0</v>
      </c>
      <c r="L39" s="566">
        <f t="shared" si="41"/>
        <v>0</v>
      </c>
      <c r="M39" s="566">
        <f t="shared" si="41"/>
        <v>0</v>
      </c>
      <c r="N39" s="566">
        <f t="shared" si="41"/>
        <v>0</v>
      </c>
      <c r="O39" s="566">
        <f t="shared" si="41"/>
        <v>0</v>
      </c>
      <c r="P39" s="566">
        <f t="shared" si="41"/>
        <v>0</v>
      </c>
      <c r="Q39" s="566">
        <f t="shared" si="41"/>
        <v>0</v>
      </c>
      <c r="R39" s="566">
        <f t="shared" ref="R39:U39" si="42">MAX(R26-R32,0)</f>
        <v>0</v>
      </c>
      <c r="S39" s="566">
        <f t="shared" si="42"/>
        <v>0</v>
      </c>
      <c r="T39" s="566">
        <f t="shared" si="42"/>
        <v>0</v>
      </c>
      <c r="U39" s="566">
        <f t="shared" si="42"/>
        <v>0</v>
      </c>
      <c r="V39" s="567">
        <f t="shared" ref="V39" si="43">MAX(V26-V32,0)</f>
        <v>1</v>
      </c>
    </row>
    <row r="40" spans="1:22" ht="18" customHeight="1">
      <c r="A40" s="556" t="s">
        <v>316</v>
      </c>
      <c r="B40" s="557">
        <f t="shared" ref="B40:Q40" si="44">IF(B24=0,"-",(B28+B29+B30)/(B24*3))</f>
        <v>7.5</v>
      </c>
      <c r="C40" s="557">
        <f t="shared" si="44"/>
        <v>0.65217391304347827</v>
      </c>
      <c r="D40" s="557">
        <f t="shared" si="44"/>
        <v>0.96296296296296291</v>
      </c>
      <c r="E40" s="557" t="str">
        <f t="shared" si="44"/>
        <v>-</v>
      </c>
      <c r="F40" s="557">
        <f t="shared" si="44"/>
        <v>1.024390243902439</v>
      </c>
      <c r="G40" s="557">
        <f t="shared" si="44"/>
        <v>0</v>
      </c>
      <c r="H40" s="557" t="str">
        <f t="shared" si="44"/>
        <v>-</v>
      </c>
      <c r="I40" s="557" t="str">
        <f t="shared" si="44"/>
        <v>-</v>
      </c>
      <c r="J40" s="557" t="str">
        <f t="shared" si="44"/>
        <v>-</v>
      </c>
      <c r="K40" s="557" t="str">
        <f t="shared" si="44"/>
        <v>-</v>
      </c>
      <c r="L40" s="557" t="str">
        <f t="shared" si="44"/>
        <v>-</v>
      </c>
      <c r="M40" s="557" t="str">
        <f t="shared" si="44"/>
        <v>-</v>
      </c>
      <c r="N40" s="557" t="str">
        <f t="shared" si="44"/>
        <v>-</v>
      </c>
      <c r="O40" s="557" t="str">
        <f t="shared" si="44"/>
        <v>-</v>
      </c>
      <c r="P40" s="557" t="str">
        <f t="shared" si="44"/>
        <v>-</v>
      </c>
      <c r="Q40" s="557">
        <f t="shared" si="44"/>
        <v>0</v>
      </c>
      <c r="R40" s="557" t="str">
        <f t="shared" ref="R40:U40" si="45">IF(R24=0,"-",(R28+R29+R30)/(R24*3))</f>
        <v>-</v>
      </c>
      <c r="S40" s="557" t="str">
        <f t="shared" si="45"/>
        <v>-</v>
      </c>
      <c r="T40" s="557" t="str">
        <f t="shared" si="45"/>
        <v>-</v>
      </c>
      <c r="U40" s="557" t="str">
        <f t="shared" si="45"/>
        <v>-</v>
      </c>
      <c r="V40" s="545">
        <f>IF(V24=0,"-",(V28+V29+V30)/(V24*3))</f>
        <v>0.90374331550802134</v>
      </c>
    </row>
    <row r="41" spans="1:22" ht="18" customHeight="1">
      <c r="A41" s="612" t="s">
        <v>910</v>
      </c>
      <c r="B41" s="613">
        <f>SUM($B30:B30)</f>
        <v>30</v>
      </c>
      <c r="C41" s="613">
        <f>SUM($B30:C30)</f>
        <v>75</v>
      </c>
      <c r="D41" s="613">
        <f>SUM($B30:D30)</f>
        <v>127</v>
      </c>
      <c r="E41" s="613">
        <f>SUM($B30:E30)</f>
        <v>127</v>
      </c>
      <c r="F41" s="613">
        <f>SUM($B30:F30)</f>
        <v>169</v>
      </c>
      <c r="G41" s="613">
        <f>SUM($B30:G30)</f>
        <v>169</v>
      </c>
      <c r="H41" s="613">
        <f>SUM($B30:H30)</f>
        <v>169</v>
      </c>
      <c r="I41" s="613">
        <f>SUM($B30:I30)</f>
        <v>169</v>
      </c>
      <c r="J41" s="613">
        <f>SUM($B30:J30)</f>
        <v>169</v>
      </c>
      <c r="K41" s="613">
        <f>SUM($B30:K30)</f>
        <v>169</v>
      </c>
      <c r="L41" s="613">
        <f>SUM($B30:L30)</f>
        <v>169</v>
      </c>
      <c r="M41" s="613">
        <f>SUM($B30:M30)</f>
        <v>169</v>
      </c>
      <c r="N41" s="613">
        <f>SUM($B30:N30)</f>
        <v>169</v>
      </c>
      <c r="O41" s="613">
        <f>SUM($B30:O30)</f>
        <v>169</v>
      </c>
      <c r="P41" s="613">
        <f>SUM($B30:P30)</f>
        <v>169</v>
      </c>
      <c r="Q41" s="613">
        <f>SUM($B30:Q30)</f>
        <v>169</v>
      </c>
      <c r="R41" s="613">
        <f>SUM($B30:R30)</f>
        <v>169</v>
      </c>
      <c r="S41" s="613">
        <f>SUM($B30:S30)</f>
        <v>169</v>
      </c>
      <c r="T41" s="613">
        <f>SUM($B30:T30)</f>
        <v>169</v>
      </c>
      <c r="U41" s="613">
        <f>SUM($B30:U30)</f>
        <v>169</v>
      </c>
      <c r="V41" s="544">
        <f>V30</f>
        <v>169</v>
      </c>
    </row>
    <row r="42" spans="1:22" ht="18" customHeight="1">
      <c r="A42" s="612" t="s">
        <v>916</v>
      </c>
      <c r="B42" s="613">
        <f>SUM($B31:B31)</f>
        <v>2</v>
      </c>
      <c r="C42" s="613">
        <f>SUM($B31:C31)</f>
        <v>47</v>
      </c>
      <c r="D42" s="613">
        <f>SUM($B31:D31)</f>
        <v>99</v>
      </c>
      <c r="E42" s="613">
        <f>SUM($B31:E31)</f>
        <v>99</v>
      </c>
      <c r="F42" s="613">
        <f>SUM($B31:F31)</f>
        <v>141</v>
      </c>
      <c r="G42" s="613">
        <f>SUM($B31:G31)</f>
        <v>141</v>
      </c>
      <c r="H42" s="613">
        <f>SUM($B31:H31)</f>
        <v>141</v>
      </c>
      <c r="I42" s="613">
        <f>SUM($B31:I31)</f>
        <v>141</v>
      </c>
      <c r="J42" s="613">
        <f>SUM($B31:J31)</f>
        <v>141</v>
      </c>
      <c r="K42" s="613">
        <f>SUM($B31:K31)</f>
        <v>141</v>
      </c>
      <c r="L42" s="613">
        <f>SUM($B31:L31)</f>
        <v>141</v>
      </c>
      <c r="M42" s="613">
        <f>SUM($B31:M31)</f>
        <v>141</v>
      </c>
      <c r="N42" s="613">
        <f>SUM($B31:N31)</f>
        <v>141</v>
      </c>
      <c r="O42" s="613">
        <f>SUM($B31:O31)</f>
        <v>141</v>
      </c>
      <c r="P42" s="613">
        <f>SUM($B31:P31)</f>
        <v>141</v>
      </c>
      <c r="Q42" s="613">
        <f>SUM($B31:Q31)</f>
        <v>141</v>
      </c>
      <c r="R42" s="613">
        <f>SUM($B31:R31)</f>
        <v>141</v>
      </c>
      <c r="S42" s="613">
        <f>SUM($B31:S31)</f>
        <v>141</v>
      </c>
      <c r="T42" s="613">
        <f>SUM($B31:T31)</f>
        <v>141</v>
      </c>
      <c r="U42" s="613">
        <f>SUM($B31:U31)</f>
        <v>141</v>
      </c>
      <c r="V42" s="544">
        <f t="shared" ref="V42:V44" si="46">V31</f>
        <v>141</v>
      </c>
    </row>
    <row r="43" spans="1:22" ht="18" customHeight="1">
      <c r="A43" s="612" t="s">
        <v>917</v>
      </c>
      <c r="B43" s="613">
        <f>SUM($B32:B32)</f>
        <v>24</v>
      </c>
      <c r="C43" s="613">
        <f>SUM($B32:C32)</f>
        <v>24</v>
      </c>
      <c r="D43" s="613">
        <f>SUM($B32:D32)</f>
        <v>24</v>
      </c>
      <c r="E43" s="613">
        <f>SUM($B32:E32)</f>
        <v>24</v>
      </c>
      <c r="F43" s="613">
        <f>SUM($B32:F32)</f>
        <v>24</v>
      </c>
      <c r="G43" s="613">
        <f>SUM($B32:G32)</f>
        <v>24</v>
      </c>
      <c r="H43" s="613">
        <f>SUM($B32:H32)</f>
        <v>24</v>
      </c>
      <c r="I43" s="613">
        <f>SUM($B32:I32)</f>
        <v>24</v>
      </c>
      <c r="J43" s="613">
        <f>SUM($B32:J32)</f>
        <v>24</v>
      </c>
      <c r="K43" s="613">
        <f>SUM($B32:K32)</f>
        <v>24</v>
      </c>
      <c r="L43" s="613">
        <f>SUM($B32:L32)</f>
        <v>24</v>
      </c>
      <c r="M43" s="613">
        <f>SUM($B32:M32)</f>
        <v>24</v>
      </c>
      <c r="N43" s="613">
        <f>SUM($B32:N32)</f>
        <v>24</v>
      </c>
      <c r="O43" s="613">
        <f>SUM($B32:O32)</f>
        <v>24</v>
      </c>
      <c r="P43" s="613">
        <f>SUM($B32:P32)</f>
        <v>24</v>
      </c>
      <c r="Q43" s="613">
        <f>SUM($B32:Q32)</f>
        <v>24</v>
      </c>
      <c r="R43" s="613">
        <f>SUM($B32:R32)</f>
        <v>24</v>
      </c>
      <c r="S43" s="613">
        <f>SUM($B32:S32)</f>
        <v>24</v>
      </c>
      <c r="T43" s="613">
        <f>SUM($B32:T32)</f>
        <v>24</v>
      </c>
      <c r="U43" s="613">
        <f>SUM($B32:U32)</f>
        <v>24</v>
      </c>
      <c r="V43" s="544">
        <f t="shared" si="46"/>
        <v>24</v>
      </c>
    </row>
    <row r="44" spans="1:22" ht="18" customHeight="1">
      <c r="A44" s="612" t="s">
        <v>918</v>
      </c>
      <c r="B44" s="613">
        <f>SUM($B33:B33)</f>
        <v>4</v>
      </c>
      <c r="C44" s="613">
        <f>SUM($B33:C33)</f>
        <v>4</v>
      </c>
      <c r="D44" s="613">
        <f>SUM($B33:D33)</f>
        <v>4</v>
      </c>
      <c r="E44" s="613">
        <f>SUM($B33:E33)</f>
        <v>4</v>
      </c>
      <c r="F44" s="613">
        <f>SUM($B33:F33)</f>
        <v>4</v>
      </c>
      <c r="G44" s="613">
        <f>SUM($B33:G33)</f>
        <v>4</v>
      </c>
      <c r="H44" s="613">
        <f>SUM($B33:H33)</f>
        <v>4</v>
      </c>
      <c r="I44" s="613">
        <f>SUM($B33:I33)</f>
        <v>4</v>
      </c>
      <c r="J44" s="613">
        <f>SUM($B33:J33)</f>
        <v>4</v>
      </c>
      <c r="K44" s="613">
        <f>SUM($B33:K33)</f>
        <v>4</v>
      </c>
      <c r="L44" s="613">
        <f>SUM($B33:L33)</f>
        <v>4</v>
      </c>
      <c r="M44" s="613">
        <f>SUM($B33:M33)</f>
        <v>4</v>
      </c>
      <c r="N44" s="613">
        <f>SUM($B33:N33)</f>
        <v>4</v>
      </c>
      <c r="O44" s="613">
        <f>SUM($B33:O33)</f>
        <v>4</v>
      </c>
      <c r="P44" s="613">
        <f>SUM($B33:P33)</f>
        <v>4</v>
      </c>
      <c r="Q44" s="613">
        <f>SUM($B33:Q33)</f>
        <v>4</v>
      </c>
      <c r="R44" s="613">
        <f>SUM($B33:R33)</f>
        <v>4</v>
      </c>
      <c r="S44" s="613">
        <f>SUM($B33:S33)</f>
        <v>4</v>
      </c>
      <c r="T44" s="613">
        <f>SUM($B33:T33)</f>
        <v>4</v>
      </c>
      <c r="U44" s="613">
        <f>SUM($B33:U33)</f>
        <v>4</v>
      </c>
      <c r="V44" s="544">
        <f t="shared" si="46"/>
        <v>4</v>
      </c>
    </row>
    <row r="45" spans="1:22" ht="18" customHeight="1">
      <c r="A45" s="614" t="s">
        <v>308</v>
      </c>
      <c r="B45" s="615">
        <f t="shared" ref="B45:Q45" si="47">IF(B24=0,IF(B28=0,"-","100%"),B28/B24)</f>
        <v>7.5</v>
      </c>
      <c r="C45" s="615">
        <f t="shared" si="47"/>
        <v>0.65217391304347827</v>
      </c>
      <c r="D45" s="615">
        <f t="shared" si="47"/>
        <v>0.96296296296296291</v>
      </c>
      <c r="E45" s="615" t="str">
        <f t="shared" si="47"/>
        <v>-</v>
      </c>
      <c r="F45" s="615">
        <f t="shared" si="47"/>
        <v>1.024390243902439</v>
      </c>
      <c r="G45" s="615">
        <f t="shared" si="47"/>
        <v>0</v>
      </c>
      <c r="H45" s="615" t="str">
        <f t="shared" si="47"/>
        <v>-</v>
      </c>
      <c r="I45" s="615" t="str">
        <f t="shared" si="47"/>
        <v>-</v>
      </c>
      <c r="J45" s="615" t="str">
        <f t="shared" si="47"/>
        <v>-</v>
      </c>
      <c r="K45" s="615" t="str">
        <f t="shared" si="47"/>
        <v>-</v>
      </c>
      <c r="L45" s="615" t="str">
        <f t="shared" si="47"/>
        <v>-</v>
      </c>
      <c r="M45" s="615" t="str">
        <f t="shared" si="47"/>
        <v>-</v>
      </c>
      <c r="N45" s="615" t="str">
        <f t="shared" si="47"/>
        <v>-</v>
      </c>
      <c r="O45" s="615" t="str">
        <f t="shared" si="47"/>
        <v>-</v>
      </c>
      <c r="P45" s="615" t="str">
        <f t="shared" si="47"/>
        <v>-</v>
      </c>
      <c r="Q45" s="615">
        <f t="shared" si="47"/>
        <v>0</v>
      </c>
      <c r="R45" s="615" t="str">
        <f t="shared" ref="R45:U45" si="48">IF(R24=0,IF(R28=0,"-","100%"),R28/R24)</f>
        <v>-</v>
      </c>
      <c r="S45" s="615" t="str">
        <f t="shared" si="48"/>
        <v>-</v>
      </c>
      <c r="T45" s="615" t="str">
        <f t="shared" si="48"/>
        <v>-</v>
      </c>
      <c r="U45" s="615" t="str">
        <f t="shared" si="48"/>
        <v>-</v>
      </c>
      <c r="V45" s="616">
        <f>IF(V24=0,"-",V28/V24)</f>
        <v>0.90374331550802134</v>
      </c>
    </row>
    <row r="46" spans="1:22" ht="18" customHeight="1">
      <c r="A46" s="614" t="s">
        <v>310</v>
      </c>
      <c r="B46" s="615">
        <f t="shared" ref="B46:Q46" si="49">IF(B24=0,IF(B29=0,"-","100%"),B29/B24)</f>
        <v>7.5</v>
      </c>
      <c r="C46" s="615">
        <f t="shared" si="49"/>
        <v>0.65217391304347827</v>
      </c>
      <c r="D46" s="615">
        <f t="shared" si="49"/>
        <v>0.96296296296296291</v>
      </c>
      <c r="E46" s="615" t="str">
        <f t="shared" si="49"/>
        <v>-</v>
      </c>
      <c r="F46" s="615">
        <f t="shared" si="49"/>
        <v>1.024390243902439</v>
      </c>
      <c r="G46" s="615">
        <f t="shared" si="49"/>
        <v>0</v>
      </c>
      <c r="H46" s="615" t="str">
        <f t="shared" si="49"/>
        <v>-</v>
      </c>
      <c r="I46" s="615" t="str">
        <f t="shared" si="49"/>
        <v>-</v>
      </c>
      <c r="J46" s="615" t="str">
        <f t="shared" si="49"/>
        <v>-</v>
      </c>
      <c r="K46" s="615" t="str">
        <f t="shared" si="49"/>
        <v>-</v>
      </c>
      <c r="L46" s="615" t="str">
        <f t="shared" si="49"/>
        <v>-</v>
      </c>
      <c r="M46" s="615" t="str">
        <f t="shared" si="49"/>
        <v>-</v>
      </c>
      <c r="N46" s="615" t="str">
        <f t="shared" si="49"/>
        <v>-</v>
      </c>
      <c r="O46" s="615" t="str">
        <f t="shared" si="49"/>
        <v>-</v>
      </c>
      <c r="P46" s="615" t="str">
        <f t="shared" si="49"/>
        <v>-</v>
      </c>
      <c r="Q46" s="615">
        <f t="shared" si="49"/>
        <v>0</v>
      </c>
      <c r="R46" s="615" t="str">
        <f t="shared" ref="R46:U46" si="50">IF(R24=0,IF(R29=0,"-","100%"),R29/R24)</f>
        <v>-</v>
      </c>
      <c r="S46" s="615" t="str">
        <f t="shared" si="50"/>
        <v>-</v>
      </c>
      <c r="T46" s="615" t="str">
        <f t="shared" si="50"/>
        <v>-</v>
      </c>
      <c r="U46" s="615" t="str">
        <f t="shared" si="50"/>
        <v>-</v>
      </c>
      <c r="V46" s="616">
        <f>IF(V24=0,"-",V29/V24)</f>
        <v>0.90374331550802134</v>
      </c>
    </row>
    <row r="47" spans="1:22" ht="18" customHeight="1">
      <c r="A47" s="614" t="s">
        <v>314</v>
      </c>
      <c r="B47" s="615">
        <f>IF(B24=0,IF(B30=0,"-","100%"),B30/B24)</f>
        <v>7.5</v>
      </c>
      <c r="C47" s="615">
        <f t="shared" ref="C47:Q47" si="51">IF(C24=0,IF(C30=0,"-","100%"),C30/C24)</f>
        <v>0.65217391304347827</v>
      </c>
      <c r="D47" s="615">
        <f t="shared" si="51"/>
        <v>0.96296296296296291</v>
      </c>
      <c r="E47" s="615" t="str">
        <f t="shared" si="51"/>
        <v>-</v>
      </c>
      <c r="F47" s="615">
        <f t="shared" si="51"/>
        <v>1.024390243902439</v>
      </c>
      <c r="G47" s="615">
        <f t="shared" si="51"/>
        <v>0</v>
      </c>
      <c r="H47" s="615" t="str">
        <f t="shared" si="51"/>
        <v>-</v>
      </c>
      <c r="I47" s="615" t="str">
        <f t="shared" si="51"/>
        <v>-</v>
      </c>
      <c r="J47" s="615" t="str">
        <f t="shared" si="51"/>
        <v>-</v>
      </c>
      <c r="K47" s="615" t="str">
        <f t="shared" si="51"/>
        <v>-</v>
      </c>
      <c r="L47" s="615" t="str">
        <f t="shared" si="51"/>
        <v>-</v>
      </c>
      <c r="M47" s="615" t="str">
        <f t="shared" si="51"/>
        <v>-</v>
      </c>
      <c r="N47" s="615" t="str">
        <f t="shared" si="51"/>
        <v>-</v>
      </c>
      <c r="O47" s="615" t="str">
        <f t="shared" si="51"/>
        <v>-</v>
      </c>
      <c r="P47" s="615" t="str">
        <f t="shared" si="51"/>
        <v>-</v>
      </c>
      <c r="Q47" s="615">
        <f t="shared" si="51"/>
        <v>0</v>
      </c>
      <c r="R47" s="615" t="str">
        <f t="shared" ref="R47:U47" si="52">IF(R24=0,IF(R30=0,"-","100%"),R30/R24)</f>
        <v>-</v>
      </c>
      <c r="S47" s="615" t="str">
        <f t="shared" si="52"/>
        <v>-</v>
      </c>
      <c r="T47" s="615" t="str">
        <f t="shared" si="52"/>
        <v>-</v>
      </c>
      <c r="U47" s="615" t="str">
        <f t="shared" si="52"/>
        <v>-</v>
      </c>
      <c r="V47" s="616">
        <f>IF(V24=0,"-",V30/V24)</f>
        <v>0.90374331550802134</v>
      </c>
    </row>
    <row r="48" spans="1:22" ht="18" customHeight="1">
      <c r="A48" s="614" t="s">
        <v>919</v>
      </c>
      <c r="B48" s="615">
        <f>IF(B25=0,IF(B31=0,"-","100%"),B31/B25)</f>
        <v>1</v>
      </c>
      <c r="C48" s="615">
        <f t="shared" ref="C48:Q48" si="53">IF(C25=0,IF(C31=0,"-","100%"),C31/C25)</f>
        <v>1</v>
      </c>
      <c r="D48" s="615">
        <f t="shared" si="53"/>
        <v>1</v>
      </c>
      <c r="E48" s="615" t="str">
        <f t="shared" si="53"/>
        <v>-</v>
      </c>
      <c r="F48" s="615">
        <f t="shared" si="53"/>
        <v>1.024390243902439</v>
      </c>
      <c r="G48" s="615">
        <f t="shared" si="53"/>
        <v>0</v>
      </c>
      <c r="H48" s="615" t="str">
        <f t="shared" si="53"/>
        <v>-</v>
      </c>
      <c r="I48" s="615" t="str">
        <f t="shared" si="53"/>
        <v>-</v>
      </c>
      <c r="J48" s="615" t="str">
        <f t="shared" si="53"/>
        <v>-</v>
      </c>
      <c r="K48" s="615" t="str">
        <f t="shared" si="53"/>
        <v>-</v>
      </c>
      <c r="L48" s="615" t="str">
        <f t="shared" si="53"/>
        <v>-</v>
      </c>
      <c r="M48" s="615" t="str">
        <f t="shared" si="53"/>
        <v>-</v>
      </c>
      <c r="N48" s="615" t="str">
        <f t="shared" si="53"/>
        <v>-</v>
      </c>
      <c r="O48" s="615" t="str">
        <f t="shared" si="53"/>
        <v>-</v>
      </c>
      <c r="P48" s="615" t="str">
        <f t="shared" si="53"/>
        <v>-</v>
      </c>
      <c r="Q48" s="615">
        <f t="shared" si="53"/>
        <v>0</v>
      </c>
      <c r="R48" s="615" t="str">
        <f t="shared" ref="R48:U48" si="54">IF(R25=0,IF(R31=0,"-","100%"),R31/R25)</f>
        <v>-</v>
      </c>
      <c r="S48" s="615" t="str">
        <f t="shared" si="54"/>
        <v>-</v>
      </c>
      <c r="T48" s="615" t="str">
        <f t="shared" si="54"/>
        <v>-</v>
      </c>
      <c r="U48" s="615" t="str">
        <f t="shared" si="54"/>
        <v>-</v>
      </c>
      <c r="V48" s="616">
        <f>IF(V25=0,"-",V31/V25)</f>
        <v>0.90384615384615385</v>
      </c>
    </row>
    <row r="49" spans="1:22" ht="18" customHeight="1">
      <c r="A49" s="614" t="s">
        <v>920</v>
      </c>
      <c r="B49" s="659" t="str">
        <f>IF(B26=0,IF(B32=0,"-","100%"),B32/B26)</f>
        <v>100%</v>
      </c>
      <c r="C49" s="659">
        <f>IF(C26=0,IF(C32=0,"-","100%"),C32/C26)</f>
        <v>0</v>
      </c>
      <c r="D49" s="659" t="str">
        <f>IF(D26=0,IF(D32=0,"-","100%"),D32/D26)</f>
        <v>-</v>
      </c>
      <c r="E49" s="659" t="str">
        <f t="shared" ref="E49:Q49" si="55">IF(E26=0,IF(E32=0,"-","100%"),E32/E26)</f>
        <v>-</v>
      </c>
      <c r="F49" s="659" t="str">
        <f t="shared" si="55"/>
        <v>-</v>
      </c>
      <c r="G49" s="659">
        <f t="shared" si="55"/>
        <v>0</v>
      </c>
      <c r="H49" s="659" t="str">
        <f t="shared" si="55"/>
        <v>-</v>
      </c>
      <c r="I49" s="659" t="str">
        <f t="shared" si="55"/>
        <v>-</v>
      </c>
      <c r="J49" s="659" t="str">
        <f t="shared" si="55"/>
        <v>-</v>
      </c>
      <c r="K49" s="659" t="str">
        <f t="shared" si="55"/>
        <v>-</v>
      </c>
      <c r="L49" s="659" t="str">
        <f t="shared" si="55"/>
        <v>-</v>
      </c>
      <c r="M49" s="659" t="str">
        <f t="shared" si="55"/>
        <v>-</v>
      </c>
      <c r="N49" s="659" t="str">
        <f t="shared" si="55"/>
        <v>-</v>
      </c>
      <c r="O49" s="659" t="str">
        <f t="shared" si="55"/>
        <v>-</v>
      </c>
      <c r="P49" s="659" t="str">
        <f t="shared" si="55"/>
        <v>-</v>
      </c>
      <c r="Q49" s="659" t="str">
        <f t="shared" si="55"/>
        <v>-</v>
      </c>
      <c r="R49" s="659" t="str">
        <f t="shared" ref="R49:U49" si="56">IF(R26=0,IF(R32=0,"-","100%"),R32/R26)</f>
        <v>-</v>
      </c>
      <c r="S49" s="659" t="str">
        <f t="shared" si="56"/>
        <v>-</v>
      </c>
      <c r="T49" s="659" t="str">
        <f t="shared" si="56"/>
        <v>-</v>
      </c>
      <c r="U49" s="659" t="str">
        <f t="shared" si="56"/>
        <v>-</v>
      </c>
      <c r="V49" s="616">
        <f>IF(V26=0,"-",V32/V26)</f>
        <v>0.96</v>
      </c>
    </row>
    <row r="50" spans="1:22" s="562" customFormat="1" ht="19.5" customHeight="1">
      <c r="A50" s="565" t="s">
        <v>317</v>
      </c>
      <c r="B50" s="566">
        <f>SUM($B24:B24)</f>
        <v>4</v>
      </c>
      <c r="C50" s="566">
        <f>SUM($B24:C24)</f>
        <v>73</v>
      </c>
      <c r="D50" s="566">
        <f>SUM($B24:D24)</f>
        <v>127</v>
      </c>
      <c r="E50" s="566">
        <f>SUM($B24:E24)</f>
        <v>127</v>
      </c>
      <c r="F50" s="566">
        <f>SUM($B24:F24)</f>
        <v>168</v>
      </c>
      <c r="G50" s="566">
        <f>SUM($B24:G24)</f>
        <v>185</v>
      </c>
      <c r="H50" s="566">
        <f>SUM($B24:H24)</f>
        <v>185</v>
      </c>
      <c r="I50" s="566">
        <f>SUM($B24:I24)</f>
        <v>185</v>
      </c>
      <c r="J50" s="566">
        <f>SUM($B24:J24)</f>
        <v>185</v>
      </c>
      <c r="K50" s="566">
        <f>SUM($B24:K24)</f>
        <v>185</v>
      </c>
      <c r="L50" s="566">
        <f>SUM($B24:L24)</f>
        <v>185</v>
      </c>
      <c r="M50" s="566">
        <f>SUM($B24:M24)</f>
        <v>185</v>
      </c>
      <c r="N50" s="566">
        <f>SUM($B24:N24)</f>
        <v>185</v>
      </c>
      <c r="O50" s="566">
        <f>SUM($B24:O24)</f>
        <v>185</v>
      </c>
      <c r="P50" s="566">
        <f>SUM($B24:P24)</f>
        <v>185</v>
      </c>
      <c r="Q50" s="566">
        <f>SUM($B24:Q24)</f>
        <v>187</v>
      </c>
      <c r="R50" s="566">
        <f>SUM($B24:R24)</f>
        <v>187</v>
      </c>
      <c r="S50" s="566">
        <f>SUM($B24:S24)</f>
        <v>187</v>
      </c>
      <c r="T50" s="566">
        <f>SUM($B24:T24)</f>
        <v>187</v>
      </c>
      <c r="U50" s="566">
        <f>SUM($B24:U24)</f>
        <v>187</v>
      </c>
      <c r="V50" s="567">
        <f>V24</f>
        <v>187</v>
      </c>
    </row>
    <row r="51" spans="1:22" s="562" customFormat="1" ht="19.5" customHeight="1">
      <c r="A51" s="565" t="s">
        <v>893</v>
      </c>
      <c r="B51" s="566">
        <f>SUM($B25:B25)</f>
        <v>2</v>
      </c>
      <c r="C51" s="566">
        <f>SUM($B25:C25)</f>
        <v>47</v>
      </c>
      <c r="D51" s="566">
        <f>SUM($B25:D25)</f>
        <v>99</v>
      </c>
      <c r="E51" s="566">
        <f>SUM($B25:E25)</f>
        <v>99</v>
      </c>
      <c r="F51" s="566">
        <f>SUM($B25:F25)</f>
        <v>140</v>
      </c>
      <c r="G51" s="566">
        <f>SUM($B25:G25)</f>
        <v>154</v>
      </c>
      <c r="H51" s="566">
        <f>SUM($B25:H25)</f>
        <v>154</v>
      </c>
      <c r="I51" s="566">
        <f>SUM($B25:I25)</f>
        <v>154</v>
      </c>
      <c r="J51" s="566">
        <f>SUM($B25:J25)</f>
        <v>154</v>
      </c>
      <c r="K51" s="566">
        <f>SUM($B25:K25)</f>
        <v>154</v>
      </c>
      <c r="L51" s="566">
        <f>SUM($B25:L25)</f>
        <v>154</v>
      </c>
      <c r="M51" s="566">
        <f>SUM($B25:M25)</f>
        <v>154</v>
      </c>
      <c r="N51" s="566">
        <f>SUM($B25:N25)</f>
        <v>154</v>
      </c>
      <c r="O51" s="566">
        <f>SUM($B25:O25)</f>
        <v>154</v>
      </c>
      <c r="P51" s="566">
        <f>SUM($B25:P25)</f>
        <v>154</v>
      </c>
      <c r="Q51" s="566">
        <f>SUM($B25:Q25)</f>
        <v>156</v>
      </c>
      <c r="R51" s="566">
        <f>SUM($B25:R25)</f>
        <v>156</v>
      </c>
      <c r="S51" s="566">
        <f>SUM($B25:S25)</f>
        <v>156</v>
      </c>
      <c r="T51" s="566">
        <f>SUM($B25:T25)</f>
        <v>156</v>
      </c>
      <c r="U51" s="566">
        <f>SUM($B25:U25)</f>
        <v>156</v>
      </c>
      <c r="V51" s="567">
        <f>V25</f>
        <v>156</v>
      </c>
    </row>
    <row r="52" spans="1:22" s="562" customFormat="1" ht="19.5" customHeight="1">
      <c r="A52" s="565" t="s">
        <v>899</v>
      </c>
      <c r="B52" s="566">
        <f>SUM($B26:B26)</f>
        <v>0</v>
      </c>
      <c r="C52" s="566">
        <f>SUM($B26:C26)</f>
        <v>24</v>
      </c>
      <c r="D52" s="566">
        <f>SUM($B26:D26)</f>
        <v>24</v>
      </c>
      <c r="E52" s="566">
        <f>SUM($B26:E26)</f>
        <v>24</v>
      </c>
      <c r="F52" s="566">
        <f>SUM($B26:F26)</f>
        <v>24</v>
      </c>
      <c r="G52" s="566">
        <f>SUM($B26:G26)</f>
        <v>25</v>
      </c>
      <c r="H52" s="566">
        <f>SUM($B26:H26)</f>
        <v>25</v>
      </c>
      <c r="I52" s="566">
        <f>SUM($B26:I26)</f>
        <v>25</v>
      </c>
      <c r="J52" s="566">
        <f>SUM($B26:J26)</f>
        <v>25</v>
      </c>
      <c r="K52" s="566">
        <f>SUM($B26:K26)</f>
        <v>25</v>
      </c>
      <c r="L52" s="566">
        <f>SUM($B26:L26)</f>
        <v>25</v>
      </c>
      <c r="M52" s="566">
        <f>SUM($B26:M26)</f>
        <v>25</v>
      </c>
      <c r="N52" s="566">
        <f>SUM($B26:N26)</f>
        <v>25</v>
      </c>
      <c r="O52" s="566">
        <f>SUM($B26:O26)</f>
        <v>25</v>
      </c>
      <c r="P52" s="566">
        <f>SUM($B26:P26)</f>
        <v>25</v>
      </c>
      <c r="Q52" s="566">
        <f>SUM($B26:Q26)</f>
        <v>25</v>
      </c>
      <c r="R52" s="566">
        <f>SUM($B26:R26)</f>
        <v>25</v>
      </c>
      <c r="S52" s="566">
        <f>SUM($B26:S26)</f>
        <v>25</v>
      </c>
      <c r="T52" s="566">
        <f>SUM($B26:T26)</f>
        <v>25</v>
      </c>
      <c r="U52" s="566">
        <f>SUM($B26:U26)</f>
        <v>25</v>
      </c>
      <c r="V52" s="567">
        <f>V26</f>
        <v>25</v>
      </c>
    </row>
    <row r="53" spans="1:22" s="562" customFormat="1" ht="19.5" customHeight="1">
      <c r="A53" s="565" t="s">
        <v>318</v>
      </c>
      <c r="B53" s="566">
        <f>SUM($B30:B30)</f>
        <v>30</v>
      </c>
      <c r="C53" s="566">
        <f>SUM($B30:C30)</f>
        <v>75</v>
      </c>
      <c r="D53" s="566">
        <f>SUM($B30:D30)</f>
        <v>127</v>
      </c>
      <c r="E53" s="566">
        <f>SUM($B30:E30)</f>
        <v>127</v>
      </c>
      <c r="F53" s="566">
        <f>SUM($B30:F30)</f>
        <v>169</v>
      </c>
      <c r="G53" s="566">
        <f>SUM($B30:G30)</f>
        <v>169</v>
      </c>
      <c r="H53" s="566">
        <f>SUM($B30:H30)</f>
        <v>169</v>
      </c>
      <c r="I53" s="566">
        <f>SUM($B30:I30)</f>
        <v>169</v>
      </c>
      <c r="J53" s="566">
        <f>SUM($B30:J30)</f>
        <v>169</v>
      </c>
      <c r="K53" s="566">
        <f>SUM($B30:K30)</f>
        <v>169</v>
      </c>
      <c r="L53" s="566">
        <f>SUM($B30:L30)</f>
        <v>169</v>
      </c>
      <c r="M53" s="566">
        <f>SUM($B30:M30)</f>
        <v>169</v>
      </c>
      <c r="N53" s="566">
        <f>SUM($B30:N30)</f>
        <v>169</v>
      </c>
      <c r="O53" s="566">
        <f>SUM($B30:O30)</f>
        <v>169</v>
      </c>
      <c r="P53" s="566">
        <f>SUM($B30:P30)</f>
        <v>169</v>
      </c>
      <c r="Q53" s="566">
        <f>SUM($B30:Q30)</f>
        <v>169</v>
      </c>
      <c r="R53" s="566">
        <f>SUM($B30:R30)</f>
        <v>169</v>
      </c>
      <c r="S53" s="566">
        <f>SUM($B30:S30)</f>
        <v>169</v>
      </c>
      <c r="T53" s="566">
        <f>SUM($B30:T30)</f>
        <v>169</v>
      </c>
      <c r="U53" s="566">
        <f>SUM($B30:U30)</f>
        <v>169</v>
      </c>
      <c r="V53" s="567">
        <f>V30</f>
        <v>169</v>
      </c>
    </row>
    <row r="54" spans="1:22" s="562" customFormat="1" ht="19.2" customHeight="1">
      <c r="A54" s="565" t="s">
        <v>894</v>
      </c>
      <c r="B54" s="566">
        <f>SUM($B31:B31)</f>
        <v>2</v>
      </c>
      <c r="C54" s="566">
        <f>SUM($B31:C31)</f>
        <v>47</v>
      </c>
      <c r="D54" s="566">
        <f>SUM($B31:D31)</f>
        <v>99</v>
      </c>
      <c r="E54" s="566">
        <f>SUM($B31:E31)</f>
        <v>99</v>
      </c>
      <c r="F54" s="566">
        <f>SUM($B31:F31)</f>
        <v>141</v>
      </c>
      <c r="G54" s="566">
        <f>SUM($B31:G31)</f>
        <v>141</v>
      </c>
      <c r="H54" s="566">
        <f>SUM($B31:H31)</f>
        <v>141</v>
      </c>
      <c r="I54" s="566">
        <f>SUM($B31:I31)</f>
        <v>141</v>
      </c>
      <c r="J54" s="566">
        <f>SUM($B31:J31)</f>
        <v>141</v>
      </c>
      <c r="K54" s="566">
        <f>SUM($B31:K31)</f>
        <v>141</v>
      </c>
      <c r="L54" s="566">
        <f>SUM($B31:L31)</f>
        <v>141</v>
      </c>
      <c r="M54" s="566">
        <f>SUM($B31:M31)</f>
        <v>141</v>
      </c>
      <c r="N54" s="566">
        <f>SUM($B31:N31)</f>
        <v>141</v>
      </c>
      <c r="O54" s="566">
        <f>SUM($B31:O31)</f>
        <v>141</v>
      </c>
      <c r="P54" s="566">
        <f>SUM($B31:P31)</f>
        <v>141</v>
      </c>
      <c r="Q54" s="566">
        <f>SUM($B31:Q31)</f>
        <v>141</v>
      </c>
      <c r="R54" s="566">
        <f>SUM($B31:R31)</f>
        <v>141</v>
      </c>
      <c r="S54" s="566">
        <f>SUM($B31:S31)</f>
        <v>141</v>
      </c>
      <c r="T54" s="566">
        <f>SUM($B31:T31)</f>
        <v>141</v>
      </c>
      <c r="U54" s="566">
        <f>SUM($B31:U31)</f>
        <v>141</v>
      </c>
      <c r="V54" s="567">
        <f>V31</f>
        <v>141</v>
      </c>
    </row>
    <row r="55" spans="1:22" s="562" customFormat="1" ht="19.2" customHeight="1">
      <c r="A55" s="565" t="s">
        <v>900</v>
      </c>
      <c r="B55" s="566">
        <f>SUM($B32:B32)</f>
        <v>24</v>
      </c>
      <c r="C55" s="566">
        <f>SUM($B32:C32)</f>
        <v>24</v>
      </c>
      <c r="D55" s="566">
        <f>SUM($B32:D32)</f>
        <v>24</v>
      </c>
      <c r="E55" s="566">
        <f>SUM($B32:E32)</f>
        <v>24</v>
      </c>
      <c r="F55" s="566">
        <f>SUM($B32:F32)</f>
        <v>24</v>
      </c>
      <c r="G55" s="566">
        <f>SUM($B32:G32)</f>
        <v>24</v>
      </c>
      <c r="H55" s="566">
        <f>SUM($B32:H32)</f>
        <v>24</v>
      </c>
      <c r="I55" s="566">
        <f>SUM($B32:I32)</f>
        <v>24</v>
      </c>
      <c r="J55" s="566">
        <f>SUM($B32:J32)</f>
        <v>24</v>
      </c>
      <c r="K55" s="566">
        <f>SUM($B32:K32)</f>
        <v>24</v>
      </c>
      <c r="L55" s="566">
        <f>SUM($B32:L32)</f>
        <v>24</v>
      </c>
      <c r="M55" s="566">
        <f>SUM($B32:M32)</f>
        <v>24</v>
      </c>
      <c r="N55" s="566">
        <f>SUM($B32:N32)</f>
        <v>24</v>
      </c>
      <c r="O55" s="566">
        <f>SUM($B32:O32)</f>
        <v>24</v>
      </c>
      <c r="P55" s="566">
        <f>SUM($B32:P32)</f>
        <v>24</v>
      </c>
      <c r="Q55" s="566">
        <f>SUM($B32:Q32)</f>
        <v>24</v>
      </c>
      <c r="R55" s="566">
        <f>SUM($B32:R32)</f>
        <v>24</v>
      </c>
      <c r="S55" s="566">
        <f>SUM($B32:S32)</f>
        <v>24</v>
      </c>
      <c r="T55" s="566">
        <f>SUM($B32:T32)</f>
        <v>24</v>
      </c>
      <c r="U55" s="566">
        <f>SUM($B32:U32)</f>
        <v>24</v>
      </c>
      <c r="V55" s="567">
        <f>V32</f>
        <v>24</v>
      </c>
    </row>
    <row r="56" spans="1:22" s="562" customFormat="1" ht="19.5" customHeight="1">
      <c r="A56" s="559" t="s">
        <v>319</v>
      </c>
      <c r="B56" s="560">
        <f t="shared" ref="B56:C56" si="57">IF($V$24=0,"-",B53/$V$24)</f>
        <v>0.16042780748663102</v>
      </c>
      <c r="C56" s="560">
        <f t="shared" si="57"/>
        <v>0.40106951871657753</v>
      </c>
      <c r="D56" s="560">
        <f>IF($V$24=0,"-",D53/$V$24)</f>
        <v>0.67914438502673802</v>
      </c>
      <c r="E56" s="560">
        <f t="shared" ref="E56:U56" si="58">IF($V$24=0,"-",E53/$V$24)</f>
        <v>0.67914438502673802</v>
      </c>
      <c r="F56" s="560">
        <f t="shared" si="58"/>
        <v>0.90374331550802134</v>
      </c>
      <c r="G56" s="560">
        <f t="shared" si="58"/>
        <v>0.90374331550802134</v>
      </c>
      <c r="H56" s="560">
        <f t="shared" si="58"/>
        <v>0.90374331550802134</v>
      </c>
      <c r="I56" s="560">
        <f t="shared" si="58"/>
        <v>0.90374331550802134</v>
      </c>
      <c r="J56" s="560">
        <f t="shared" si="58"/>
        <v>0.90374331550802134</v>
      </c>
      <c r="K56" s="560">
        <f t="shared" si="58"/>
        <v>0.90374331550802134</v>
      </c>
      <c r="L56" s="560">
        <f t="shared" si="58"/>
        <v>0.90374331550802134</v>
      </c>
      <c r="M56" s="560">
        <f t="shared" si="58"/>
        <v>0.90374331550802134</v>
      </c>
      <c r="N56" s="560">
        <f t="shared" si="58"/>
        <v>0.90374331550802134</v>
      </c>
      <c r="O56" s="560">
        <f t="shared" si="58"/>
        <v>0.90374331550802134</v>
      </c>
      <c r="P56" s="560">
        <f t="shared" si="58"/>
        <v>0.90374331550802134</v>
      </c>
      <c r="Q56" s="560">
        <f t="shared" si="58"/>
        <v>0.90374331550802134</v>
      </c>
      <c r="R56" s="560">
        <f t="shared" si="58"/>
        <v>0.90374331550802134</v>
      </c>
      <c r="S56" s="560">
        <f t="shared" si="58"/>
        <v>0.90374331550802134</v>
      </c>
      <c r="T56" s="560">
        <f t="shared" si="58"/>
        <v>0.90374331550802134</v>
      </c>
      <c r="U56" s="560">
        <f t="shared" si="58"/>
        <v>0.90374331550802134</v>
      </c>
      <c r="V56" s="561">
        <f>IF($V$24=0,"-",V53/$V$24)</f>
        <v>0.90374331550802134</v>
      </c>
    </row>
    <row r="57" spans="1:22" s="562" customFormat="1" ht="19.5" customHeight="1">
      <c r="A57" s="559" t="s">
        <v>921</v>
      </c>
      <c r="B57" s="560">
        <f t="shared" ref="B57:C57" si="59">IF($V$25=0,"-",B54/$V$25)</f>
        <v>1.282051282051282E-2</v>
      </c>
      <c r="C57" s="560">
        <f t="shared" si="59"/>
        <v>0.30128205128205127</v>
      </c>
      <c r="D57" s="560">
        <f>IF($V$25=0,"-",D54/$V$25)</f>
        <v>0.63461538461538458</v>
      </c>
      <c r="E57" s="560">
        <f t="shared" ref="E57:T57" si="60">IF($V$25=0,"-",E54/$V$25)</f>
        <v>0.63461538461538458</v>
      </c>
      <c r="F57" s="560">
        <f t="shared" si="60"/>
        <v>0.90384615384615385</v>
      </c>
      <c r="G57" s="560">
        <f t="shared" si="60"/>
        <v>0.90384615384615385</v>
      </c>
      <c r="H57" s="560">
        <f t="shared" si="60"/>
        <v>0.90384615384615385</v>
      </c>
      <c r="I57" s="560">
        <f t="shared" si="60"/>
        <v>0.90384615384615385</v>
      </c>
      <c r="J57" s="560">
        <f t="shared" si="60"/>
        <v>0.90384615384615385</v>
      </c>
      <c r="K57" s="560">
        <f t="shared" si="60"/>
        <v>0.90384615384615385</v>
      </c>
      <c r="L57" s="560">
        <f t="shared" si="60"/>
        <v>0.90384615384615385</v>
      </c>
      <c r="M57" s="560">
        <f t="shared" si="60"/>
        <v>0.90384615384615385</v>
      </c>
      <c r="N57" s="560">
        <f t="shared" si="60"/>
        <v>0.90384615384615385</v>
      </c>
      <c r="O57" s="560">
        <f t="shared" si="60"/>
        <v>0.90384615384615385</v>
      </c>
      <c r="P57" s="560">
        <f t="shared" si="60"/>
        <v>0.90384615384615385</v>
      </c>
      <c r="Q57" s="560">
        <f t="shared" si="60"/>
        <v>0.90384615384615385</v>
      </c>
      <c r="R57" s="560">
        <f t="shared" si="60"/>
        <v>0.90384615384615385</v>
      </c>
      <c r="S57" s="560">
        <f t="shared" si="60"/>
        <v>0.90384615384615385</v>
      </c>
      <c r="T57" s="560">
        <f t="shared" si="60"/>
        <v>0.90384615384615385</v>
      </c>
      <c r="U57" s="560">
        <f>IF($V$25=0,"-",U54/$V$25)</f>
        <v>0.90384615384615385</v>
      </c>
      <c r="V57" s="616">
        <f>IF($V$25=0,"-",V54/$V$25)</f>
        <v>0.90384615384615385</v>
      </c>
    </row>
    <row r="58" spans="1:22" s="562" customFormat="1" ht="19.5" customHeight="1">
      <c r="A58" s="559" t="s">
        <v>922</v>
      </c>
      <c r="B58" s="560">
        <f t="shared" ref="B58:C58" si="61">IF($V$26=0,"-",B55/$V$26)</f>
        <v>0.96</v>
      </c>
      <c r="C58" s="560">
        <f t="shared" si="61"/>
        <v>0.96</v>
      </c>
      <c r="D58" s="560">
        <f>IF($V$26=0,"-",D55/$V$26)</f>
        <v>0.96</v>
      </c>
      <c r="E58" s="560">
        <f t="shared" ref="E58:U58" si="62">IF($V$26=0,"-",E55/$V$26)</f>
        <v>0.96</v>
      </c>
      <c r="F58" s="560">
        <f t="shared" si="62"/>
        <v>0.96</v>
      </c>
      <c r="G58" s="560">
        <f t="shared" si="62"/>
        <v>0.96</v>
      </c>
      <c r="H58" s="560">
        <f t="shared" si="62"/>
        <v>0.96</v>
      </c>
      <c r="I58" s="560">
        <f t="shared" si="62"/>
        <v>0.96</v>
      </c>
      <c r="J58" s="560">
        <f t="shared" si="62"/>
        <v>0.96</v>
      </c>
      <c r="K58" s="560">
        <f t="shared" si="62"/>
        <v>0.96</v>
      </c>
      <c r="L58" s="560">
        <f t="shared" si="62"/>
        <v>0.96</v>
      </c>
      <c r="M58" s="560">
        <f t="shared" si="62"/>
        <v>0.96</v>
      </c>
      <c r="N58" s="560">
        <f t="shared" si="62"/>
        <v>0.96</v>
      </c>
      <c r="O58" s="560">
        <f t="shared" si="62"/>
        <v>0.96</v>
      </c>
      <c r="P58" s="560">
        <f t="shared" si="62"/>
        <v>0.96</v>
      </c>
      <c r="Q58" s="560">
        <f t="shared" si="62"/>
        <v>0.96</v>
      </c>
      <c r="R58" s="560">
        <f t="shared" si="62"/>
        <v>0.96</v>
      </c>
      <c r="S58" s="560">
        <f t="shared" si="62"/>
        <v>0.96</v>
      </c>
      <c r="T58" s="560">
        <f t="shared" si="62"/>
        <v>0.96</v>
      </c>
      <c r="U58" s="560">
        <f t="shared" si="62"/>
        <v>0.96</v>
      </c>
      <c r="V58" s="616">
        <f>IF($V$26=0,"-",V55/$V$26)</f>
        <v>0.96</v>
      </c>
    </row>
    <row r="59" spans="1:22" s="562" customFormat="1" ht="19.5" customHeight="1">
      <c r="A59" s="563" t="s">
        <v>320</v>
      </c>
      <c r="B59" s="564">
        <f t="shared" ref="B59:C59" si="63">IF($V$24=0,"-",B50/$V$24)</f>
        <v>2.1390374331550801E-2</v>
      </c>
      <c r="C59" s="564">
        <f t="shared" si="63"/>
        <v>0.39037433155080214</v>
      </c>
      <c r="D59" s="564">
        <f>IF($V$24=0,"-",D50/$V$24)</f>
        <v>0.67914438502673802</v>
      </c>
      <c r="E59" s="564">
        <f t="shared" ref="E59:U59" si="64">IF($V$24=0,"-",E50/$V$24)</f>
        <v>0.67914438502673802</v>
      </c>
      <c r="F59" s="564">
        <f t="shared" si="64"/>
        <v>0.89839572192513373</v>
      </c>
      <c r="G59" s="564">
        <f t="shared" si="64"/>
        <v>0.98930481283422456</v>
      </c>
      <c r="H59" s="564">
        <f t="shared" si="64"/>
        <v>0.98930481283422456</v>
      </c>
      <c r="I59" s="564">
        <f t="shared" si="64"/>
        <v>0.98930481283422456</v>
      </c>
      <c r="J59" s="564">
        <f t="shared" si="64"/>
        <v>0.98930481283422456</v>
      </c>
      <c r="K59" s="564">
        <f t="shared" si="64"/>
        <v>0.98930481283422456</v>
      </c>
      <c r="L59" s="564">
        <f t="shared" si="64"/>
        <v>0.98930481283422456</v>
      </c>
      <c r="M59" s="564">
        <f t="shared" si="64"/>
        <v>0.98930481283422456</v>
      </c>
      <c r="N59" s="564">
        <f t="shared" si="64"/>
        <v>0.98930481283422456</v>
      </c>
      <c r="O59" s="564">
        <f t="shared" si="64"/>
        <v>0.98930481283422456</v>
      </c>
      <c r="P59" s="564">
        <f t="shared" si="64"/>
        <v>0.98930481283422456</v>
      </c>
      <c r="Q59" s="564">
        <f t="shared" si="64"/>
        <v>1</v>
      </c>
      <c r="R59" s="564">
        <f t="shared" si="64"/>
        <v>1</v>
      </c>
      <c r="S59" s="564">
        <f t="shared" si="64"/>
        <v>1</v>
      </c>
      <c r="T59" s="564">
        <f t="shared" si="64"/>
        <v>1</v>
      </c>
      <c r="U59" s="564">
        <f t="shared" si="64"/>
        <v>1</v>
      </c>
      <c r="V59" s="561">
        <f>IF($V$24=0,"-",V50/$V$24)</f>
        <v>1</v>
      </c>
    </row>
    <row r="60" spans="1:22" s="562" customFormat="1" ht="19.5" customHeight="1">
      <c r="A60" s="563" t="s">
        <v>896</v>
      </c>
      <c r="B60" s="564">
        <f t="shared" ref="B60:C60" si="65">IF($V$25=0,"-",B51/$V$25)</f>
        <v>1.282051282051282E-2</v>
      </c>
      <c r="C60" s="564">
        <f t="shared" si="65"/>
        <v>0.30128205128205127</v>
      </c>
      <c r="D60" s="564">
        <f>IF($V$25=0,"-",D51/$V$25)</f>
        <v>0.63461538461538458</v>
      </c>
      <c r="E60" s="564">
        <f t="shared" ref="E60:U60" si="66">IF($V$25=0,"-",E51/$V$25)</f>
        <v>0.63461538461538458</v>
      </c>
      <c r="F60" s="564">
        <f t="shared" si="66"/>
        <v>0.89743589743589747</v>
      </c>
      <c r="G60" s="564">
        <f t="shared" si="66"/>
        <v>0.98717948717948723</v>
      </c>
      <c r="H60" s="564">
        <f t="shared" si="66"/>
        <v>0.98717948717948723</v>
      </c>
      <c r="I60" s="564">
        <f t="shared" si="66"/>
        <v>0.98717948717948723</v>
      </c>
      <c r="J60" s="564">
        <f t="shared" si="66"/>
        <v>0.98717948717948723</v>
      </c>
      <c r="K60" s="564">
        <f t="shared" si="66"/>
        <v>0.98717948717948723</v>
      </c>
      <c r="L60" s="564">
        <f t="shared" si="66"/>
        <v>0.98717948717948723</v>
      </c>
      <c r="M60" s="564">
        <f t="shared" si="66"/>
        <v>0.98717948717948723</v>
      </c>
      <c r="N60" s="564">
        <f t="shared" si="66"/>
        <v>0.98717948717948723</v>
      </c>
      <c r="O60" s="564">
        <f t="shared" si="66"/>
        <v>0.98717948717948723</v>
      </c>
      <c r="P60" s="564">
        <f t="shared" si="66"/>
        <v>0.98717948717948723</v>
      </c>
      <c r="Q60" s="564">
        <f t="shared" si="66"/>
        <v>1</v>
      </c>
      <c r="R60" s="564">
        <f t="shared" si="66"/>
        <v>1</v>
      </c>
      <c r="S60" s="564">
        <f t="shared" si="66"/>
        <v>1</v>
      </c>
      <c r="T60" s="564">
        <f t="shared" si="66"/>
        <v>1</v>
      </c>
      <c r="U60" s="564">
        <f t="shared" si="66"/>
        <v>1</v>
      </c>
      <c r="V60" s="561">
        <f>IF($V$25=0,"-",V51/$V$25)</f>
        <v>1</v>
      </c>
    </row>
    <row r="61" spans="1:22" s="562" customFormat="1" ht="19.5" customHeight="1">
      <c r="A61" s="563" t="s">
        <v>902</v>
      </c>
      <c r="B61" s="564">
        <f t="shared" ref="B61:C61" si="67">IF($V$26=0,"-",B52/$V$26)</f>
        <v>0</v>
      </c>
      <c r="C61" s="564">
        <f t="shared" si="67"/>
        <v>0.96</v>
      </c>
      <c r="D61" s="564">
        <f>IF($V$26=0,"-",D52/$V$26)</f>
        <v>0.96</v>
      </c>
      <c r="E61" s="564">
        <f t="shared" ref="E61:U61" si="68">IF($V$26=0,"-",E52/$V$26)</f>
        <v>0.96</v>
      </c>
      <c r="F61" s="564">
        <f t="shared" si="68"/>
        <v>0.96</v>
      </c>
      <c r="G61" s="564">
        <f t="shared" si="68"/>
        <v>1</v>
      </c>
      <c r="H61" s="564">
        <f t="shared" si="68"/>
        <v>1</v>
      </c>
      <c r="I61" s="564">
        <f t="shared" si="68"/>
        <v>1</v>
      </c>
      <c r="J61" s="564">
        <f t="shared" si="68"/>
        <v>1</v>
      </c>
      <c r="K61" s="564">
        <f t="shared" si="68"/>
        <v>1</v>
      </c>
      <c r="L61" s="564">
        <f t="shared" si="68"/>
        <v>1</v>
      </c>
      <c r="M61" s="564">
        <f t="shared" si="68"/>
        <v>1</v>
      </c>
      <c r="N61" s="564">
        <f t="shared" si="68"/>
        <v>1</v>
      </c>
      <c r="O61" s="564">
        <f t="shared" si="68"/>
        <v>1</v>
      </c>
      <c r="P61" s="564">
        <f t="shared" si="68"/>
        <v>1</v>
      </c>
      <c r="Q61" s="564">
        <f t="shared" si="68"/>
        <v>1</v>
      </c>
      <c r="R61" s="564">
        <f t="shared" si="68"/>
        <v>1</v>
      </c>
      <c r="S61" s="564">
        <f t="shared" si="68"/>
        <v>1</v>
      </c>
      <c r="T61" s="564">
        <f t="shared" si="68"/>
        <v>1</v>
      </c>
      <c r="U61" s="564">
        <f t="shared" si="68"/>
        <v>1</v>
      </c>
      <c r="V61" s="561">
        <f>IF($V$26=0,"-",V52/$V$26)</f>
        <v>1</v>
      </c>
    </row>
    <row r="62" spans="1:22" ht="4.5" customHeight="1"/>
    <row r="63" spans="1:22" ht="24" customHeight="1">
      <c r="A63" s="968" t="s">
        <v>923</v>
      </c>
      <c r="B63" s="969"/>
      <c r="C63" s="969"/>
      <c r="D63" s="969"/>
      <c r="E63" s="969"/>
      <c r="F63" s="969"/>
      <c r="G63" s="969"/>
      <c r="H63" s="969"/>
      <c r="I63" s="969"/>
      <c r="J63" s="969"/>
      <c r="K63" s="969"/>
      <c r="L63" s="969"/>
      <c r="M63" s="969"/>
      <c r="N63" s="969"/>
      <c r="O63" s="969"/>
      <c r="P63" s="969"/>
      <c r="Q63" s="969"/>
      <c r="R63" s="969"/>
      <c r="S63" s="969"/>
      <c r="T63" s="969"/>
      <c r="U63" s="969"/>
      <c r="V63" s="969"/>
    </row>
    <row r="64" spans="1:22" ht="18" customHeight="1">
      <c r="A64" s="542" t="s">
        <v>303</v>
      </c>
      <c r="B64" s="543" cm="1">
        <f t="array" ref="B64">SUMPRODUCT((SVB!$R$2:$R$740&gt;=B311)*(SVB!$R$2:$R$740&lt;=B312)*(SVB!$B$2:$B$740="D1-041")*(ISNUMBER(SVB!$F$2:$F$740))*(SVB!$F$2:$F$740))</f>
        <v>139</v>
      </c>
      <c r="C64" s="543" cm="1">
        <f t="array" ref="C64">SUMPRODUCT((SVB!$R$2:$R$740&gt;=C311)*(SVB!$R$2:$R$740&lt;=C312)*(SVB!$B$2:$B$740="D1-041")*(ISNUMBER(SVB!$F$2:$F$740))*(SVB!$F$2:$F$740))</f>
        <v>0</v>
      </c>
      <c r="D64" s="543" cm="1">
        <f t="array" ref="D64">SUMPRODUCT((SVB!$R$2:$R$740&gt;=D311)*(SVB!$R$2:$R$740&lt;=D312)*(SVB!$B$2:$B$740="D1-041")*(ISNUMBER(SVB!$F$2:$F$740))*(SVB!$F$2:$F$740))</f>
        <v>12</v>
      </c>
      <c r="E64" s="543" cm="1">
        <f t="array" ref="E64">SUMPRODUCT((SVB!$R$2:$R$740&gt;=E311)*(SVB!$R$2:$R$740&lt;=E312)*(SVB!$B$2:$B$740="D1-041")*(ISNUMBER(SVB!$F$2:$F$740))*(SVB!$F$2:$F$740))</f>
        <v>53</v>
      </c>
      <c r="F64" s="543" cm="1">
        <f t="array" ref="F64">SUMPRODUCT((SVB!$R$2:$R$740&gt;=F311)*(SVB!$R$2:$R$740&lt;=F312)*(SVB!$B$2:$B$740="D1-041")*(ISNUMBER(SVB!$F$2:$F$740))*(SVB!$F$2:$F$740))</f>
        <v>60</v>
      </c>
      <c r="G64" s="543" cm="1">
        <f t="array" ref="G64">SUMPRODUCT((SVB!$R$2:$R$740&gt;=G311)*(SVB!$R$2:$R$740&lt;=G312)*(SVB!$B$2:$B$740="D1-041")*(ISNUMBER(SVB!$F$2:$F$740))*(SVB!$F$2:$F$740))</f>
        <v>224</v>
      </c>
      <c r="H64" s="543" cm="1">
        <f t="array" ref="H64">SUMPRODUCT((SVB!$R$2:$R$740&gt;=H311)*(SVB!$R$2:$R$740&lt;=H312)*(SVB!$B$2:$B$740="D1-041")*(ISNUMBER(SVB!$F$2:$F$740))*(SVB!$F$2:$F$740))</f>
        <v>49</v>
      </c>
      <c r="I64" s="543" cm="1">
        <f t="array" ref="I64">SUMPRODUCT((SVB!$R$2:$R$740&gt;=I311)*(SVB!$R$2:$R$740&lt;=I312)*(SVB!$B$2:$B$740="D1-041")*(ISNUMBER(SVB!$F$2:$F$740))*(SVB!$F$2:$F$740))</f>
        <v>50</v>
      </c>
      <c r="J64" s="543" cm="1">
        <f t="array" ref="J64">SUMPRODUCT((SVB!$R$2:$R$740&gt;=J311)*(SVB!$R$2:$R$740&lt;=J312)*(SVB!$B$2:$B$740="D1-041")*(ISNUMBER(SVB!$F$2:$F$740))*(SVB!$F$2:$F$740))</f>
        <v>31</v>
      </c>
      <c r="K64" s="543" cm="1">
        <f t="array" ref="K64">SUMPRODUCT((SVB!$R$2:$R$740&gt;=K311)*(SVB!$R$2:$R$740&lt;=K312)*(SVB!$B$2:$B$740="D1-041")*(ISNUMBER(SVB!$F$2:$F$740))*(SVB!$F$2:$F$740))</f>
        <v>86</v>
      </c>
      <c r="L64" s="543" cm="1">
        <f t="array" ref="L64">SUMPRODUCT((SVB!$R$2:$R$740&gt;=L311)*(SVB!$R$2:$R$740&lt;=L312)*(SVB!$B$2:$B$740="D1-041")*(ISNUMBER(SVB!$F$2:$F$740))*(SVB!$F$2:$F$740))</f>
        <v>0</v>
      </c>
      <c r="M64" s="543" cm="1">
        <f t="array" ref="M64">SUMPRODUCT((SVB!$R$2:$R$740&gt;=M311)*(SVB!$R$2:$R$740&lt;=M312)*(SVB!$B$2:$B$740="D1-041")*(ISNUMBER(SVB!$F$2:$F$740))*(SVB!$F$2:$F$740))</f>
        <v>0</v>
      </c>
      <c r="N64" s="543" cm="1">
        <f t="array" ref="N64">SUMPRODUCT((SVB!$R$2:$R$740&gt;=N311)*(SVB!$R$2:$R$740&lt;=N312)*(SVB!$B$2:$B$740="D1-041")*(ISNUMBER(SVB!$F$2:$F$740))*(SVB!$F$2:$F$740))</f>
        <v>0</v>
      </c>
      <c r="O64" s="543" cm="1">
        <f t="array" ref="O64">SUMPRODUCT((SVB!$R$2:$R$740&gt;=O311)*(SVB!$R$2:$R$740&lt;=O312)*(SVB!$B$2:$B$740="D1-041")*(ISNUMBER(SVB!$F$2:$F$740))*(SVB!$F$2:$F$740))</f>
        <v>0</v>
      </c>
      <c r="P64" s="543" cm="1">
        <f t="array" ref="P64">SUMPRODUCT((SVB!$R$2:$R$740&gt;=P311)*(SVB!$R$2:$R$740&lt;=P312)*(SVB!$B$2:$B$740="D1-041")*(ISNUMBER(SVB!$F$2:$F$740))*(SVB!$F$2:$F$740))</f>
        <v>0</v>
      </c>
      <c r="Q64" s="543" cm="1">
        <f t="array" ref="Q64">SUMPRODUCT((SVB!$R$2:$R$740&gt;=Q311)*(SVB!$R$2:$R$740&lt;=Q312)*(SVB!$B$2:$B$740="D1-041")*(ISNUMBER(SVB!$F$2:$F$740))*(SVB!$F$2:$F$740))</f>
        <v>6</v>
      </c>
      <c r="R64" s="543" cm="1">
        <f t="array" ref="R64">SUMPRODUCT((SVB!$R$2:$R$740&gt;=R311)*(SVB!$R$2:$R$740&lt;=R312)*(SVB!$B$2:$B$740="D1-041")*(ISNUMBER(SVB!$F$2:$F$740))*(SVB!$F$2:$F$740))</f>
        <v>0</v>
      </c>
      <c r="S64" s="543" cm="1">
        <f t="array" ref="S64">SUMPRODUCT((SVB!$R$2:$R$740&gt;=S311)*(SVB!$R$2:$R$740&lt;=S312)*(SVB!$B$2:$B$740="D1-041")*(ISNUMBER(SVB!$F$2:$F$740))*(SVB!$F$2:$F$740))</f>
        <v>0</v>
      </c>
      <c r="T64" s="543" cm="1">
        <f t="array" ref="T64">SUMPRODUCT((SVB!$R$2:$R$740&gt;=T311)*(SVB!$R$2:$R$740&lt;=T312)*(SVB!$B$2:$B$740="D1-041")*(ISNUMBER(SVB!$F$2:$F$740))*(SVB!$F$2:$F$740))</f>
        <v>0</v>
      </c>
      <c r="U64" s="543" cm="1">
        <f t="array" ref="U64">SUMPRODUCT((SVB!$R$2:$R$740&gt;=U311)*(SVB!$R$2:$R$740&lt;=U312)*(SVB!$B$2:$B$740="D1-041")*(ISNUMBER(SVB!$F$2:$F$740))*(SVB!$F$2:$F$740))</f>
        <v>0</v>
      </c>
      <c r="V64" s="544" cm="1">
        <f t="array" ref="V64">SUMPRODUCT((SVB!$B$2:$B$740="D1-041")*(ISNUMBER(SVB!$F$2:$F$740))*(SVB!$F$2:$F$740))</f>
        <v>710</v>
      </c>
    </row>
    <row r="65" spans="1:22" ht="18" customHeight="1">
      <c r="A65" s="542" t="s">
        <v>874</v>
      </c>
      <c r="B65" s="543" cm="1">
        <f t="array" ref="B65">SUMPRODUCT((SVB!$R$2:$R$740&gt;=B311)*(SVB!$R$2:$R$740&lt;=B312)*(SVB!$B$2:$B$740="D1-041")*(SVB!$K$2:$K$740="Switch")*(ISNUMBER(SVB!$F$2:$F$740))*(SVB!$F$2:$F$740))</f>
        <v>86</v>
      </c>
      <c r="C65" s="543" cm="1">
        <f t="array" ref="C65">SUMPRODUCT((SVB!$R$2:$R$740&gt;=C311)*(SVB!$R$2:$R$740&lt;=C312)*(SVB!$B$2:$B$740="D1-041")*(SVB!$K$2:$K$740="Switch")*(ISNUMBER(SVB!$F$2:$F$740))*(SVB!$F$2:$F$740))</f>
        <v>0</v>
      </c>
      <c r="D65" s="543" cm="1">
        <f t="array" ref="D65">SUMPRODUCT((SVB!$R$2:$R$740&gt;=D311)*(SVB!$R$2:$R$740&lt;=D312)*(SVB!$B$2:$B$740="D1-041")*(SVB!$K$2:$K$740="Switch")*(ISNUMBER(SVB!$F$2:$F$740))*(SVB!$F$2:$F$740))</f>
        <v>12</v>
      </c>
      <c r="E65" s="543" cm="1">
        <f t="array" ref="E65">SUMPRODUCT((SVB!$R$2:$R$740&gt;=E311)*(SVB!$R$2:$R$740&lt;=E312)*(SVB!$B$2:$B$740="D1-041")*(SVB!$K$2:$K$740="Switch")*(ISNUMBER(SVB!$F$2:$F$740))*(SVB!$F$2:$F$740))</f>
        <v>53</v>
      </c>
      <c r="F65" s="543" cm="1">
        <f t="array" ref="F65">SUMPRODUCT((SVB!$R$2:$R$740&gt;=F311)*(SVB!$R$2:$R$740&lt;=F312)*(SVB!$B$2:$B$740="D1-041")*(SVB!$K$2:$K$740="Switch")*(ISNUMBER(SVB!$F$2:$F$740))*(SVB!$F$2:$F$740))</f>
        <v>60</v>
      </c>
      <c r="G65" s="543" cm="1">
        <f t="array" ref="G65">SUMPRODUCT((SVB!$R$2:$R$740&gt;=G311)*(SVB!$R$2:$R$740&lt;=G312)*(SVB!$B$2:$B$740="D1-041")*(SVB!$K$2:$K$740="Switch")*(ISNUMBER(SVB!$F$2:$F$740))*(SVB!$F$2:$F$740))</f>
        <v>48</v>
      </c>
      <c r="H65" s="543" cm="1">
        <f t="array" ref="H65">SUMPRODUCT((SVB!$R$2:$R$740&gt;=H311)*(SVB!$R$2:$R$740&lt;=H312)*(SVB!$B$2:$B$740="D1-041")*(SVB!$K$2:$K$740="Switch")*(ISNUMBER(SVB!$F$2:$F$740))*(SVB!$F$2:$F$740))</f>
        <v>30</v>
      </c>
      <c r="I65" s="543" cm="1">
        <f t="array" ref="I65">SUMPRODUCT((SVB!$R$2:$R$740&gt;=I311)*(SVB!$R$2:$R$740&lt;=I312)*(SVB!$B$2:$B$740="D1-041")*(SVB!$K$2:$K$740="Switch")*(ISNUMBER(SVB!$F$2:$F$740))*(SVB!$F$2:$F$740))</f>
        <v>35</v>
      </c>
      <c r="J65" s="543" cm="1">
        <f t="array" ref="J65">SUMPRODUCT((SVB!$R$2:$R$740&gt;=J311)*(SVB!$R$2:$R$740&lt;=J312)*(SVB!$B$2:$B$740="D1-041")*(SVB!$K$2:$K$740="Switch")*(ISNUMBER(SVB!$F$2:$F$740))*(SVB!$F$2:$F$740))</f>
        <v>31</v>
      </c>
      <c r="K65" s="543" cm="1">
        <f t="array" ref="K65">SUMPRODUCT((SVB!$R$2:$R$740&gt;=K311)*(SVB!$R$2:$R$740&lt;=K312)*(SVB!$B$2:$B$740="D1-041")*(SVB!$K$2:$K$740="Switch")*(ISNUMBER(SVB!$F$2:$F$740))*(SVB!$F$2:$F$740))</f>
        <v>49</v>
      </c>
      <c r="L65" s="543" cm="1">
        <f t="array" ref="L65">SUMPRODUCT((SVB!$R$2:$R$740&gt;=L311)*(SVB!$R$2:$R$740&lt;=L312)*(SVB!$B$2:$B$740="D1-041")*(SVB!$K$2:$K$740="Switch")*(ISNUMBER(SVB!$F$2:$F$740))*(SVB!$F$2:$F$740))</f>
        <v>0</v>
      </c>
      <c r="M65" s="543" cm="1">
        <f t="array" ref="M65">SUMPRODUCT((SVB!$R$2:$R$740&gt;=M311)*(SVB!$R$2:$R$740&lt;=M312)*(SVB!$B$2:$B$740="D1-041")*(SVB!$K$2:$K$740="Switch")*(ISNUMBER(SVB!$F$2:$F$740))*(SVB!$F$2:$F$740))</f>
        <v>0</v>
      </c>
      <c r="N65" s="543" cm="1">
        <f t="array" ref="N65">SUMPRODUCT((SVB!$R$2:$R$740&gt;=N311)*(SVB!$R$2:$R$740&lt;=N312)*(SVB!$B$2:$B$740="D1-041")*(SVB!$K$2:$K$740="Switch")*(ISNUMBER(SVB!$F$2:$F$740))*(SVB!$F$2:$F$740))</f>
        <v>0</v>
      </c>
      <c r="O65" s="543" cm="1">
        <f t="array" ref="O65">SUMPRODUCT((SVB!$R$2:$R$740&gt;=O311)*(SVB!$R$2:$R$740&lt;=O312)*(SVB!$B$2:$B$740="D1-041")*(SVB!$K$2:$K$740="Switch")*(ISNUMBER(SVB!$F$2:$F$740))*(SVB!$F$2:$F$740))</f>
        <v>0</v>
      </c>
      <c r="P65" s="543" cm="1">
        <f t="array" ref="P65">SUMPRODUCT((SVB!$R$2:$R$740&gt;=P311)*(SVB!$R$2:$R$740&lt;=P312)*(SVB!$B$2:$B$740="D1-041")*(SVB!$K$2:$K$740="Switch")*(ISNUMBER(SVB!$F$2:$F$740))*(SVB!$F$2:$F$740))</f>
        <v>0</v>
      </c>
      <c r="Q65" s="543" cm="1">
        <f t="array" ref="Q65">SUMPRODUCT((SVB!$R$2:$R$740&gt;=Q311)*(SVB!$R$2:$R$740&lt;=Q312)*(SVB!$B$2:$B$740="D1-041")*(SVB!$K$2:$K$740="Switch")*(ISNUMBER(SVB!$F$2:$F$740))*(SVB!$F$2:$F$740))</f>
        <v>6</v>
      </c>
      <c r="R65" s="543" cm="1">
        <f t="array" ref="R65">SUMPRODUCT((SVB!$R$2:$R$740&gt;=R311)*(SVB!$R$2:$R$740&lt;=R312)*(SVB!$B$2:$B$740="D1-041")*(SVB!$K$2:$K$740="Switch")*(ISNUMBER(SVB!$F$2:$F$740))*(SVB!$F$2:$F$740))</f>
        <v>0</v>
      </c>
      <c r="S65" s="543" cm="1">
        <f t="array" ref="S65">SUMPRODUCT((SVB!$R$2:$R$740&gt;=S311)*(SVB!$R$2:$R$740&lt;=S312)*(SVB!$B$2:$B$740="D1-041")*(SVB!$K$2:$K$740="Switch")*(ISNUMBER(SVB!$F$2:$F$740))*(SVB!$F$2:$F$740))</f>
        <v>0</v>
      </c>
      <c r="T65" s="543" cm="1">
        <f t="array" ref="T65">SUMPRODUCT((SVB!$R$2:$R$740&gt;=T311)*(SVB!$R$2:$R$740&lt;=T312)*(SVB!$B$2:$B$740="D1-041")*(SVB!$K$2:$K$740="Switch")*(ISNUMBER(SVB!$F$2:$F$740))*(SVB!$F$2:$F$740))</f>
        <v>0</v>
      </c>
      <c r="U65" s="543" cm="1">
        <f t="array" ref="U65">SUMPRODUCT((SVB!$R$2:$R$740&gt;=U311)*(SVB!$R$2:$R$740&lt;=U312)*(SVB!$B$2:$B$740="D1-041")*(SVB!$K$2:$K$740="Switch")*(ISNUMBER(SVB!$F$2:$F$740))*(SVB!$F$2:$F$740))</f>
        <v>0</v>
      </c>
      <c r="V65" s="544" cm="1">
        <f t="array" ref="V65">SUMPRODUCT((SVB!$B$2:$B$740="D1-041")*(SVB!$K$2:$K$740="Switch")*(ISNUMBER(SVB!$F$2:$F$740))*(SVB!$F$2:$F$740))</f>
        <v>410</v>
      </c>
    </row>
    <row r="66" spans="1:22" ht="18" customHeight="1">
      <c r="A66" s="542" t="s">
        <v>877</v>
      </c>
      <c r="B66" s="543" cm="1">
        <f t="array" ref="B66">SUMPRODUCT((SVB!$R$2:$R$740&gt;=B311)*(SVB!$R$2:$R$740&lt;=B312)*(SVB!$B$2:$B$740="D1-041")*(SVB!$K$2:$K$740="AP")*(ISNUMBER(SVB!$F$2:$F$740))*(SVB!$F$2:$F$740))</f>
        <v>43</v>
      </c>
      <c r="C66" s="543" cm="1">
        <f t="array" ref="C66">SUMPRODUCT((SVB!$R$2:$R$740&gt;=C311)*(SVB!$R$2:$R$740&lt;=C312)*(SVB!$B$2:$B$740="D1-041")*(SVB!$K$2:$K$740="AP")*(ISNUMBER(SVB!$F$2:$F$740))*(SVB!$F$2:$F$740))</f>
        <v>0</v>
      </c>
      <c r="D66" s="543" cm="1">
        <f t="array" ref="D66">SUMPRODUCT((SVB!$R$2:$R$740&gt;=D311)*(SVB!$R$2:$R$740&lt;=D312)*(SVB!$B$2:$B$740="D1-041")*(SVB!$K$2:$K$740="AP")*(ISNUMBER(SVB!$F$2:$F$740))*(SVB!$F$2:$F$740))</f>
        <v>0</v>
      </c>
      <c r="E66" s="543" cm="1">
        <f t="array" ref="E66">SUMPRODUCT((SVB!$R$2:$R$740&gt;=E311)*(SVB!$R$2:$R$740&lt;=E312)*(SVB!$B$2:$B$740="D1-041")*(SVB!$K$2:$K$740="AP")*(ISNUMBER(SVB!$F$2:$F$740))*(SVB!$F$2:$F$740))</f>
        <v>0</v>
      </c>
      <c r="F66" s="543" cm="1">
        <f t="array" ref="F66">SUMPRODUCT((SVB!$R$2:$R$740&gt;=F311)*(SVB!$R$2:$R$740&lt;=F312)*(SVB!$B$2:$B$740="D1-041")*(SVB!$K$2:$K$740="AP")*(ISNUMBER(SVB!$F$2:$F$740))*(SVB!$F$2:$F$740))</f>
        <v>0</v>
      </c>
      <c r="G66" s="543" cm="1">
        <f t="array" ref="G66">SUMPRODUCT((SVB!$R$2:$R$740&gt;=G311)*(SVB!$R$2:$R$740&lt;=G312)*(SVB!$B$2:$B$740="D1-041")*(SVB!$K$2:$K$740="AP")*(ISNUMBER(SVB!$F$2:$F$740))*(SVB!$F$2:$F$740))</f>
        <v>176</v>
      </c>
      <c r="H66" s="543" cm="1">
        <f t="array" ref="H66">SUMPRODUCT((SVB!$R$2:$R$740&gt;=H311)*(SVB!$R$2:$R$740&lt;=H312)*(SVB!$B$2:$B$740="D1-041")*(SVB!$K$2:$K$740="AP")*(ISNUMBER(SVB!$F$2:$F$740))*(SVB!$F$2:$F$740))</f>
        <v>19</v>
      </c>
      <c r="I66" s="543" cm="1">
        <f t="array" ref="I66">SUMPRODUCT((SVB!$R$2:$R$740&gt;=I311)*(SVB!$R$2:$R$740&lt;=I312)*(SVB!$B$2:$B$740="D1-041")*(SVB!$K$2:$K$740="AP")*(ISNUMBER(SVB!$F$2:$F$740))*(SVB!$F$2:$F$740))</f>
        <v>15</v>
      </c>
      <c r="J66" s="543" cm="1">
        <f t="array" ref="J66">SUMPRODUCT((SVB!$R$2:$R$740&gt;=J311)*(SVB!$R$2:$R$740&lt;=J312)*(SVB!$B$2:$B$740="D1-041")*(SVB!$K$2:$K$740="AP")*(ISNUMBER(SVB!$F$2:$F$740))*(SVB!$F$2:$F$740))</f>
        <v>0</v>
      </c>
      <c r="K66" s="543" cm="1">
        <f t="array" ref="K66">SUMPRODUCT((SVB!$R$2:$R$740&gt;=K311)*(SVB!$R$2:$R$740&lt;=K312)*(SVB!$B$2:$B$740="D1-041")*(SVB!$K$2:$K$740="AP")*(ISNUMBER(SVB!$F$2:$F$740))*(SVB!$F$2:$F$740))</f>
        <v>37</v>
      </c>
      <c r="L66" s="543" cm="1">
        <f t="array" ref="L66">SUMPRODUCT((SVB!$R$2:$R$740&gt;=L311)*(SVB!$R$2:$R$740&lt;=L312)*(SVB!$B$2:$B$740="D1-041")*(SVB!$K$2:$K$740="AP")*(ISNUMBER(SVB!$F$2:$F$740))*(SVB!$F$2:$F$740))</f>
        <v>0</v>
      </c>
      <c r="M66" s="543" cm="1">
        <f t="array" ref="M66">SUMPRODUCT((SVB!$R$2:$R$740&gt;=M311)*(SVB!$R$2:$R$740&lt;=M312)*(SVB!$B$2:$B$740="D1-041")*(SVB!$K$2:$K$740="AP")*(ISNUMBER(SVB!$F$2:$F$740))*(SVB!$F$2:$F$740))</f>
        <v>0</v>
      </c>
      <c r="N66" s="543" cm="1">
        <f t="array" ref="N66">SUMPRODUCT((SVB!$R$2:$R$740&gt;=N311)*(SVB!$R$2:$R$740&lt;=N312)*(SVB!$B$2:$B$740="D1-041")*(SVB!$K$2:$K$740="AP")*(ISNUMBER(SVB!$F$2:$F$740))*(SVB!$F$2:$F$740))</f>
        <v>0</v>
      </c>
      <c r="O66" s="543" cm="1">
        <f t="array" ref="O66">SUMPRODUCT((SVB!$R$2:$R$740&gt;=O311)*(SVB!$R$2:$R$740&lt;=O312)*(SVB!$B$2:$B$740="D1-041")*(SVB!$K$2:$K$740="AP")*(ISNUMBER(SVB!$F$2:$F$740))*(SVB!$F$2:$F$740))</f>
        <v>0</v>
      </c>
      <c r="P66" s="543" cm="1">
        <f t="array" ref="P66">SUMPRODUCT((SVB!$R$2:$R$740&gt;=P311)*(SVB!$R$2:$R$740&lt;=P312)*(SVB!$B$2:$B$740="D1-041")*(SVB!$K$2:$K$740="AP")*(ISNUMBER(SVB!$F$2:$F$740))*(SVB!$F$2:$F$740))</f>
        <v>0</v>
      </c>
      <c r="Q66" s="543" cm="1">
        <f t="array" ref="Q66">SUMPRODUCT((SVB!$R$2:$R$740&gt;=Q311)*(SVB!$R$2:$R$740&lt;=Q312)*(SVB!$B$2:$B$740="D1-041")*(SVB!$K$2:$K$740="AP")*(ISNUMBER(SVB!$F$2:$F$740))*(SVB!$F$2:$F$740))</f>
        <v>0</v>
      </c>
      <c r="R66" s="543" cm="1">
        <f t="array" ref="R66">SUMPRODUCT((SVB!$R$2:$R$740&gt;=R311)*(SVB!$R$2:$R$740&lt;=R312)*(SVB!$B$2:$B$740="D1-041")*(SVB!$K$2:$K$740="AP")*(ISNUMBER(SVB!$F$2:$F$740))*(SVB!$F$2:$F$740))</f>
        <v>0</v>
      </c>
      <c r="S66" s="543" cm="1">
        <f t="array" ref="S66">SUMPRODUCT((SVB!$R$2:$R$740&gt;=S311)*(SVB!$R$2:$R$740&lt;=S312)*(SVB!$B$2:$B$740="D1-041")*(SVB!$K$2:$K$740="AP")*(ISNUMBER(SVB!$F$2:$F$740))*(SVB!$F$2:$F$740))</f>
        <v>0</v>
      </c>
      <c r="T66" s="543" cm="1">
        <f t="array" ref="T66">SUMPRODUCT((SVB!$R$2:$R$740&gt;=T311)*(SVB!$R$2:$R$740&lt;=T312)*(SVB!$B$2:$B$740="D1-041")*(SVB!$K$2:$K$740="AP")*(ISNUMBER(SVB!$F$2:$F$740))*(SVB!$F$2:$F$740))</f>
        <v>0</v>
      </c>
      <c r="U66" s="543" cm="1">
        <f t="array" ref="U66">SUMPRODUCT((SVB!$R$2:$R$740&gt;=U311)*(SVB!$R$2:$R$740&lt;=U312)*(SVB!$B$2:$B$740="D1-041")*(SVB!$K$2:$K$740="AP")*(ISNUMBER(SVB!$F$2:$F$740))*(SVB!$F$2:$F$740))</f>
        <v>0</v>
      </c>
      <c r="V66" s="544" cm="1">
        <f t="array" ref="V66">SUMPRODUCT((SVB!$B$2:$B$740="D1-041")*(SVB!$K$2:$K$740="AP")*(ISNUMBER(SVB!$F$2:$F$740))*(SVB!$F$2:$F$740))</f>
        <v>290</v>
      </c>
    </row>
    <row r="67" spans="1:22" ht="18" customHeight="1">
      <c r="A67" s="542" t="s">
        <v>912</v>
      </c>
      <c r="B67" s="543" cm="1">
        <f t="array" ref="B67">SUMPRODUCT((SVB!$R$2:$R$740&gt;=B311)*(SVB!$R$2:$R$740&lt;=B312)*(SVB!$B$2:$B$740="D1-041")*(SVB!$K$2:$K$740="Infra")*(ISNUMBER(SVB!$F$2:$F$740))*(SVB!$F$2:$F$740))</f>
        <v>10</v>
      </c>
      <c r="C67" s="543" cm="1">
        <f t="array" ref="C67">SUMPRODUCT((SVB!$R$2:$R$740&gt;=C311)*(SVB!$R$2:$R$740&lt;=C312)*(SVB!$B$2:$B$740="D1-041")*(SVB!$K$2:$K$740="Infra")*(ISNUMBER(SVB!$F$2:$F$740))*(SVB!$F$2:$F$740))</f>
        <v>0</v>
      </c>
      <c r="D67" s="543" cm="1">
        <f t="array" ref="D67">SUMPRODUCT((SVB!$R$2:$R$740&gt;=D311)*(SVB!$R$2:$R$740&lt;=D312)*(SVB!$B$2:$B$740="D1-041")*(SVB!$K$2:$K$740="Infra")*(ISNUMBER(SVB!$F$2:$F$740))*(SVB!$F$2:$F$740))</f>
        <v>0</v>
      </c>
      <c r="E67" s="543" cm="1">
        <f t="array" ref="E67">SUMPRODUCT((SVB!$R$2:$R$740&gt;=E311)*(SVB!$R$2:$R$740&lt;=E312)*(SVB!$B$2:$B$740="D1-041")*(SVB!$K$2:$K$740="Infra")*(ISNUMBER(SVB!$F$2:$F$740))*(SVB!$F$2:$F$740))</f>
        <v>0</v>
      </c>
      <c r="F67" s="543" cm="1">
        <f t="array" ref="F67">SUMPRODUCT((SVB!$R$2:$R$740&gt;=F311)*(SVB!$R$2:$R$740&lt;=F312)*(SVB!$B$2:$B$740="D1-041")*(SVB!$K$2:$K$740="Infra")*(ISNUMBER(SVB!$F$2:$F$740))*(SVB!$F$2:$F$740))</f>
        <v>0</v>
      </c>
      <c r="G67" s="543" cm="1">
        <f t="array" ref="G67">SUMPRODUCT((SVB!$R$2:$R$740&gt;=G311)*(SVB!$R$2:$R$740&lt;=G312)*(SVB!$B$2:$B$740="D1-041")*(SVB!$K$2:$K$740="Infra")*(ISNUMBER(SVB!$F$2:$F$740))*(SVB!$F$2:$F$740))</f>
        <v>0</v>
      </c>
      <c r="H67" s="543" cm="1">
        <f t="array" ref="H67">SUMPRODUCT((SVB!$R$2:$R$740&gt;=H311)*(SVB!$R$2:$R$740&lt;=H312)*(SVB!$B$2:$B$740="D1-041")*(SVB!$K$2:$K$740="Infra")*(ISNUMBER(SVB!$F$2:$F$740))*(SVB!$F$2:$F$740))</f>
        <v>0</v>
      </c>
      <c r="I67" s="543" cm="1">
        <f t="array" ref="I67">SUMPRODUCT((SVB!$R$2:$R$740&gt;=I311)*(SVB!$R$2:$R$740&lt;=I312)*(SVB!$B$2:$B$740="D1-041")*(SVB!$K$2:$K$740="Infra")*(ISNUMBER(SVB!$F$2:$F$740))*(SVB!$F$2:$F$740))</f>
        <v>0</v>
      </c>
      <c r="J67" s="543" cm="1">
        <f t="array" ref="J67">SUMPRODUCT((SVB!$R$2:$R$740&gt;=J311)*(SVB!$R$2:$R$740&lt;=J312)*(SVB!$B$2:$B$740="D1-041")*(SVB!$K$2:$K$740="Infra")*(ISNUMBER(SVB!$F$2:$F$740))*(SVB!$F$2:$F$740))</f>
        <v>0</v>
      </c>
      <c r="K67" s="543" cm="1">
        <f t="array" ref="K67">SUMPRODUCT((SVB!$R$2:$R$740&gt;=K311)*(SVB!$R$2:$R$740&lt;=K312)*(SVB!$B$2:$B$740="D1-041")*(SVB!$K$2:$K$740="Infra")*(ISNUMBER(SVB!$F$2:$F$740))*(SVB!$F$2:$F$740))</f>
        <v>0</v>
      </c>
      <c r="L67" s="543" cm="1">
        <f t="array" ref="L67">SUMPRODUCT((SVB!$R$2:$R$740&gt;=L311)*(SVB!$R$2:$R$740&lt;=L312)*(SVB!$B$2:$B$740="D1-041")*(SVB!$K$2:$K$740="Infra")*(ISNUMBER(SVB!$F$2:$F$740))*(SVB!$F$2:$F$740))</f>
        <v>0</v>
      </c>
      <c r="M67" s="543" cm="1">
        <f t="array" ref="M67">SUMPRODUCT((SVB!$R$2:$R$740&gt;=M311)*(SVB!$R$2:$R$740&lt;=M312)*(SVB!$B$2:$B$740="D1-041")*(SVB!$K$2:$K$740="Infra")*(ISNUMBER(SVB!$F$2:$F$740))*(SVB!$F$2:$F$740))</f>
        <v>0</v>
      </c>
      <c r="N67" s="543" cm="1">
        <f t="array" ref="N67">SUMPRODUCT((SVB!$R$2:$R$740&gt;=N311)*(SVB!$R$2:$R$740&lt;=N312)*(SVB!$B$2:$B$740="D1-041")*(SVB!$K$2:$K$740="Infra")*(ISNUMBER(SVB!$F$2:$F$740))*(SVB!$F$2:$F$740))</f>
        <v>0</v>
      </c>
      <c r="O67" s="543" cm="1">
        <f t="array" ref="O67">SUMPRODUCT((SVB!$R$2:$R$740&gt;=O311)*(SVB!$R$2:$R$740&lt;=O312)*(SVB!$B$2:$B$740="D1-041")*(SVB!$K$2:$K$740="Infra")*(ISNUMBER(SVB!$F$2:$F$740))*(SVB!$F$2:$F$740))</f>
        <v>0</v>
      </c>
      <c r="P67" s="543" cm="1">
        <f t="array" ref="P67">SUMPRODUCT((SVB!$R$2:$R$740&gt;=P311)*(SVB!$R$2:$R$740&lt;=P312)*(SVB!$B$2:$B$740="D1-041")*(SVB!$K$2:$K$740="Infra")*(ISNUMBER(SVB!$F$2:$F$740))*(SVB!$F$2:$F$740))</f>
        <v>0</v>
      </c>
      <c r="Q67" s="543" cm="1">
        <f t="array" ref="Q67">SUMPRODUCT((SVB!$R$2:$R$740&gt;=Q311)*(SVB!$R$2:$R$740&lt;=Q312)*(SVB!$B$2:$B$740="D1-041")*(SVB!$K$2:$K$740="Infra")*(ISNUMBER(SVB!$F$2:$F$740))*(SVB!$F$2:$F$740))</f>
        <v>0</v>
      </c>
      <c r="R67" s="543" cm="1">
        <f t="array" ref="R67">SUMPRODUCT((SVB!$R$2:$R$740&gt;=R311)*(SVB!$R$2:$R$740&lt;=R312)*(SVB!$B$2:$B$740="D1-041")*(SVB!$K$2:$K$740="Infra")*(ISNUMBER(SVB!$F$2:$F$740))*(SVB!$F$2:$F$740))</f>
        <v>0</v>
      </c>
      <c r="S67" s="543" cm="1">
        <f t="array" ref="S67">SUMPRODUCT((SVB!$R$2:$R$740&gt;=S311)*(SVB!$R$2:$R$740&lt;=S312)*(SVB!$B$2:$B$740="D1-041")*(SVB!$K$2:$K$740="Infra")*(ISNUMBER(SVB!$F$2:$F$740))*(SVB!$F$2:$F$740))</f>
        <v>0</v>
      </c>
      <c r="T67" s="543" cm="1">
        <f t="array" ref="T67">SUMPRODUCT((SVB!$R$2:$R$740&gt;=T311)*(SVB!$R$2:$R$740&lt;=T312)*(SVB!$B$2:$B$740="D1-041")*(SVB!$K$2:$K$740="Infra")*(ISNUMBER(SVB!$F$2:$F$740))*(SVB!$F$2:$F$740))</f>
        <v>0</v>
      </c>
      <c r="U67" s="543" cm="1">
        <f t="array" ref="U67">SUMPRODUCT((SVB!$R$2:$R$740&gt;=U311)*(SVB!$R$2:$R$740&lt;=U312)*(SVB!$B$2:$B$740="D1-041")*(SVB!$K$2:$K$740="Infra")*(ISNUMBER(SVB!$F$2:$F$740))*(SVB!$F$2:$F$740))</f>
        <v>0</v>
      </c>
      <c r="V67" s="544" cm="1">
        <f t="array" ref="V67">SUMPRODUCT((SVB!$B$2:$B$740="D1-041")*(SVB!$K$2:$K$740="Infra")*(ISNUMBER(SVB!$F$2:$F$740))*(SVB!$F$2:$F$740))</f>
        <v>10</v>
      </c>
    </row>
    <row r="68" spans="1:22" ht="18" customHeight="1">
      <c r="A68" s="449" t="s">
        <v>907</v>
      </c>
      <c r="B68" s="450" cm="1">
        <f t="array" ref="B68">SUMPRODUCT((SVB!$S$2:$S$740&gt;=B311)*(SVB!$S$2:$S$740&lt;=B312)*(SVB!$B$2:$B$740="D1-041")*(ISNUMBER(SVB!$M$2:$M$740))*(SVB!$M$2:$M$740))</f>
        <v>139</v>
      </c>
      <c r="C68" s="450" cm="1">
        <f t="array" ref="C68">SUMPRODUCT((SVB!$S$2:$S$740&gt;=C311)*(SVB!$S$2:$S$740&lt;=C312)*(SVB!$B$2:$B$740="D1-041")*(ISNUMBER(SVB!$M$2:$M$740))*(SVB!$M$2:$M$740))</f>
        <v>0</v>
      </c>
      <c r="D68" s="450" cm="1">
        <f t="array" ref="D68">SUMPRODUCT((SVB!$S$2:$S$740&gt;=D311)*(SVB!$S$2:$S$740&lt;=D312)*(SVB!$B$2:$B$740="D1-041")*(ISNUMBER(SVB!$M$2:$M$740))*(SVB!$M$2:$M$740))</f>
        <v>12</v>
      </c>
      <c r="E68" s="450" cm="1">
        <f t="array" ref="E68">SUMPRODUCT((SVB!$S$2:$S$740&gt;=E311)*(SVB!$S$2:$S$740&lt;=E312)*(SVB!$B$2:$B$740="D1-041")*(ISNUMBER(SVB!$M$2:$M$740))*(SVB!$M$2:$M$740))</f>
        <v>51</v>
      </c>
      <c r="F68" s="450" cm="1">
        <f t="array" ref="F68">SUMPRODUCT((SVB!$S$2:$S$740&gt;=F311)*(SVB!$S$2:$S$740&lt;=F312)*(SVB!$B$2:$B$740="D1-041")*(ISNUMBER(SVB!$M$2:$M$740))*(SVB!$M$2:$M$740))</f>
        <v>78</v>
      </c>
      <c r="G68" s="450" cm="1">
        <f t="array" ref="G68">SUMPRODUCT((SVB!$S$2:$S$740&gt;=G311)*(SVB!$S$2:$S$740&lt;=G312)*(SVB!$B$2:$B$740="D1-041")*(ISNUMBER(SVB!$M$2:$M$740))*(SVB!$M$2:$M$740))</f>
        <v>0</v>
      </c>
      <c r="H68" s="450" cm="1">
        <f t="array" ref="H68">SUMPRODUCT((SVB!$S$2:$S$740&gt;=H311)*(SVB!$S$2:$S$740&lt;=H312)*(SVB!$B$2:$B$740="D1-041")*(ISNUMBER(SVB!$M$2:$M$740))*(SVB!$M$2:$M$740))</f>
        <v>0</v>
      </c>
      <c r="I68" s="450" cm="1">
        <f t="array" ref="I68">SUMPRODUCT((SVB!$S$2:$S$740&gt;=I311)*(SVB!$S$2:$S$740&lt;=I312)*(SVB!$B$2:$B$740="D1-041")*(ISNUMBER(SVB!$M$2:$M$740))*(SVB!$M$2:$M$740))</f>
        <v>0</v>
      </c>
      <c r="J68" s="450" cm="1">
        <f t="array" ref="J68">SUMPRODUCT((SVB!$S$2:$S$740&gt;=J311)*(SVB!$S$2:$S$740&lt;=J312)*(SVB!$B$2:$B$740="D1-041")*(ISNUMBER(SVB!$M$2:$M$740))*(SVB!$M$2:$M$740))</f>
        <v>0</v>
      </c>
      <c r="K68" s="450" cm="1">
        <f t="array" ref="K68">SUMPRODUCT((SVB!$S$2:$S$740&gt;=K311)*(SVB!$S$2:$S$740&lt;=K312)*(SVB!$B$2:$B$740="D1-041")*(ISNUMBER(SVB!$M$2:$M$740))*(SVB!$M$2:$M$740))</f>
        <v>0</v>
      </c>
      <c r="L68" s="450" cm="1">
        <f t="array" ref="L68">SUMPRODUCT((SVB!$S$2:$S$740&gt;=L311)*(SVB!$S$2:$S$740&lt;=L312)*(SVB!$B$2:$B$740="D1-041")*(ISNUMBER(SVB!$M$2:$M$740))*(SVB!$M$2:$M$740))</f>
        <v>0</v>
      </c>
      <c r="M68" s="450" cm="1">
        <f t="array" ref="M68">SUMPRODUCT((SVB!$S$2:$S$740&gt;=M311)*(SVB!$S$2:$S$740&lt;=M312)*(SVB!$B$2:$B$740="D1-041")*(ISNUMBER(SVB!$M$2:$M$740))*(SVB!$M$2:$M$740))</f>
        <v>0</v>
      </c>
      <c r="N68" s="450" cm="1">
        <f t="array" ref="N68">SUMPRODUCT((SVB!$S$2:$S$740&gt;=N311)*(SVB!$S$2:$S$740&lt;=N312)*(SVB!$B$2:$B$740="D1-041")*(ISNUMBER(SVB!$M$2:$M$740))*(SVB!$M$2:$M$740))</f>
        <v>0</v>
      </c>
      <c r="O68" s="450" cm="1">
        <f t="array" ref="O68">SUMPRODUCT((SVB!$S$2:$S$740&gt;=O311)*(SVB!$S$2:$S$740&lt;=O312)*(SVB!$B$2:$B$740="D1-041")*(ISNUMBER(SVB!$M$2:$M$740))*(SVB!$M$2:$M$740))</f>
        <v>0</v>
      </c>
      <c r="P68" s="450" cm="1">
        <f t="array" ref="P68">SUMPRODUCT((SVB!$S$2:$S$740&gt;=P311)*(SVB!$S$2:$S$740&lt;=P312)*(SVB!$B$2:$B$740="D1-041")*(ISNUMBER(SVB!$M$2:$M$740))*(SVB!$M$2:$M$740))</f>
        <v>0</v>
      </c>
      <c r="Q68" s="450" cm="1">
        <f t="array" ref="Q68">SUMPRODUCT((SVB!$S$2:$S$740&gt;=Q311)*(SVB!$S$2:$S$740&lt;=Q312)*(SVB!$B$2:$B$740="D1-041")*(ISNUMBER(SVB!$M$2:$M$740))*(SVB!$M$2:$M$740))</f>
        <v>0</v>
      </c>
      <c r="R68" s="450" cm="1">
        <f t="array" ref="R68">SUMPRODUCT((SVB!$S$2:$S$740&gt;=R311)*(SVB!$S$2:$S$740&lt;=R312)*(SVB!$B$2:$B$740="D1-041")*(ISNUMBER(SVB!$M$2:$M$740))*(SVB!$M$2:$M$740))</f>
        <v>0</v>
      </c>
      <c r="S68" s="450" cm="1">
        <f t="array" ref="S68">SUMPRODUCT((SVB!$S$2:$S$740&gt;=S311)*(SVB!$S$2:$S$740&lt;=S312)*(SVB!$B$2:$B$740="D1-041")*(ISNUMBER(SVB!$M$2:$M$740))*(SVB!$M$2:$M$740))</f>
        <v>0</v>
      </c>
      <c r="T68" s="450" cm="1">
        <f t="array" ref="T68">SUMPRODUCT((SVB!$S$2:$S$740&gt;=T311)*(SVB!$S$2:$S$740&lt;=T312)*(SVB!$B$2:$B$740="D1-041")*(ISNUMBER(SVB!$M$2:$M$740))*(SVB!$M$2:$M$740))</f>
        <v>0</v>
      </c>
      <c r="U68" s="450" cm="1">
        <f t="array" ref="U68">SUMPRODUCT((SVB!$S$2:$S$740&gt;=U311)*(SVB!$S$2:$S$740&lt;=U312)*(SVB!$B$2:$B$740="D1-041")*(ISNUMBER(SVB!$M$2:$M$740))*(SVB!$M$2:$M$740))</f>
        <v>0</v>
      </c>
      <c r="V68" s="544">
        <f t="shared" ref="V68:V73" si="69">SUM(F68:U68)</f>
        <v>78</v>
      </c>
    </row>
    <row r="69" spans="1:22" ht="18" customHeight="1">
      <c r="A69" s="449" t="s">
        <v>908</v>
      </c>
      <c r="B69" s="450" cm="1">
        <f t="array" ref="B69">SUMPRODUCT((SVB!$S$2:$S$740&gt;=B311)*(SVB!$S$2:$S$740&lt;=B312)*(SVB!$B$2:$B$740="D1-041")*(ISNUMBER(SVB!$N$2:$N$740))*(SVB!$N$2:$N$740))</f>
        <v>139</v>
      </c>
      <c r="C69" s="450" cm="1">
        <f t="array" ref="C69">SUMPRODUCT((SVB!$S$2:$S$740&gt;=C311)*(SVB!$S$2:$S$740&lt;=C312)*(SVB!$B$2:$B$740="D1-041")*(ISNUMBER(SVB!$N$2:$N$740))*(SVB!$N$2:$N$740))</f>
        <v>0</v>
      </c>
      <c r="D69" s="450" cm="1">
        <f t="array" ref="D69">SUMPRODUCT((SVB!$S$2:$S$740&gt;=D311)*(SVB!$S$2:$S$740&lt;=D312)*(SVB!$B$2:$B$740="D1-041")*(ISNUMBER(SVB!$N$2:$N$740))*(SVB!$N$2:$N$740))</f>
        <v>12</v>
      </c>
      <c r="E69" s="450" cm="1">
        <f t="array" ref="E69">SUMPRODUCT((SVB!$S$2:$S$740&gt;=E311)*(SVB!$S$2:$S$740&lt;=E312)*(SVB!$B$2:$B$740="D1-041")*(ISNUMBER(SVB!$N$2:$N$740))*(SVB!$N$2:$N$740))</f>
        <v>51</v>
      </c>
      <c r="F69" s="450" cm="1">
        <f t="array" ref="F69">SUMPRODUCT((SVB!$S$2:$S$740&gt;=F311)*(SVB!$S$2:$S$740&lt;=F312)*(SVB!$B$2:$B$740="D1-041")*(ISNUMBER(SVB!$N$2:$N$740))*(SVB!$N$2:$N$740))</f>
        <v>78</v>
      </c>
      <c r="G69" s="450" cm="1">
        <f t="array" ref="G69">SUMPRODUCT((SVB!$S$2:$S$740&gt;=G311)*(SVB!$S$2:$S$740&lt;=G312)*(SVB!$B$2:$B$740="D1-041")*(ISNUMBER(SVB!$N$2:$N$740))*(SVB!$N$2:$N$740))</f>
        <v>0</v>
      </c>
      <c r="H69" s="450" cm="1">
        <f t="array" ref="H69">SUMPRODUCT((SVB!$S$2:$S$740&gt;=H311)*(SVB!$S$2:$S$740&lt;=H312)*(SVB!$B$2:$B$740="D1-041")*(ISNUMBER(SVB!$N$2:$N$740))*(SVB!$N$2:$N$740))</f>
        <v>0</v>
      </c>
      <c r="I69" s="450" cm="1">
        <f t="array" ref="I69">SUMPRODUCT((SVB!$S$2:$S$740&gt;=I311)*(SVB!$S$2:$S$740&lt;=I312)*(SVB!$B$2:$B$740="D1-041")*(ISNUMBER(SVB!$N$2:$N$740))*(SVB!$N$2:$N$740))</f>
        <v>0</v>
      </c>
      <c r="J69" s="450" cm="1">
        <f t="array" ref="J69">SUMPRODUCT((SVB!$S$2:$S$740&gt;=J311)*(SVB!$S$2:$S$740&lt;=J312)*(SVB!$B$2:$B$740="D1-041")*(ISNUMBER(SVB!$N$2:$N$740))*(SVB!$N$2:$N$740))</f>
        <v>0</v>
      </c>
      <c r="K69" s="450" cm="1">
        <f t="array" ref="K69">SUMPRODUCT((SVB!$S$2:$S$740&gt;=K311)*(SVB!$S$2:$S$740&lt;=K312)*(SVB!$B$2:$B$740="D1-041")*(ISNUMBER(SVB!$N$2:$N$740))*(SVB!$N$2:$N$740))</f>
        <v>0</v>
      </c>
      <c r="L69" s="450" cm="1">
        <f t="array" ref="L69">SUMPRODUCT((SVB!$S$2:$S$740&gt;=L311)*(SVB!$S$2:$S$740&lt;=L312)*(SVB!$B$2:$B$740="D1-041")*(ISNUMBER(SVB!$N$2:$N$740))*(SVB!$N$2:$N$740))</f>
        <v>0</v>
      </c>
      <c r="M69" s="450" cm="1">
        <f t="array" ref="M69">SUMPRODUCT((SVB!$S$2:$S$740&gt;=M311)*(SVB!$S$2:$S$740&lt;=M312)*(SVB!$B$2:$B$740="D1-041")*(ISNUMBER(SVB!$N$2:$N$740))*(SVB!$N$2:$N$740))</f>
        <v>0</v>
      </c>
      <c r="N69" s="450" cm="1">
        <f t="array" ref="N69">SUMPRODUCT((SVB!$S$2:$S$740&gt;=N311)*(SVB!$S$2:$S$740&lt;=N312)*(SVB!$B$2:$B$740="D1-041")*(ISNUMBER(SVB!$N$2:$N$740))*(SVB!$N$2:$N$740))</f>
        <v>0</v>
      </c>
      <c r="O69" s="450" cm="1">
        <f t="array" ref="O69">SUMPRODUCT((SVB!$S$2:$S$740&gt;=O311)*(SVB!$S$2:$S$740&lt;=O312)*(SVB!$B$2:$B$740="D1-041")*(ISNUMBER(SVB!$N$2:$N$740))*(SVB!$N$2:$N$740))</f>
        <v>0</v>
      </c>
      <c r="P69" s="450" cm="1">
        <f t="array" ref="P69">SUMPRODUCT((SVB!$S$2:$S$740&gt;=P311)*(SVB!$S$2:$S$740&lt;=P312)*(SVB!$B$2:$B$740="D1-041")*(ISNUMBER(SVB!$N$2:$N$740))*(SVB!$N$2:$N$740))</f>
        <v>0</v>
      </c>
      <c r="Q69" s="450" cm="1">
        <f t="array" ref="Q69">SUMPRODUCT((SVB!$S$2:$S$740&gt;=Q311)*(SVB!$S$2:$S$740&lt;=Q312)*(SVB!$B$2:$B$740="D1-041")*(ISNUMBER(SVB!$N$2:$N$740))*(SVB!$N$2:$N$740))</f>
        <v>0</v>
      </c>
      <c r="R69" s="450" cm="1">
        <f t="array" ref="R69">SUMPRODUCT((SVB!$S$2:$S$740&gt;=R311)*(SVB!$S$2:$S$740&lt;=R312)*(SVB!$B$2:$B$740="D1-041")*(ISNUMBER(SVB!$N$2:$N$740))*(SVB!$N$2:$N$740))</f>
        <v>0</v>
      </c>
      <c r="S69" s="450" cm="1">
        <f t="array" ref="S69">SUMPRODUCT((SVB!$S$2:$S$740&gt;=S311)*(SVB!$S$2:$S$740&lt;=S312)*(SVB!$B$2:$B$740="D1-041")*(ISNUMBER(SVB!$N$2:$N$740))*(SVB!$N$2:$N$740))</f>
        <v>0</v>
      </c>
      <c r="T69" s="450" cm="1">
        <f t="array" ref="T69">SUMPRODUCT((SVB!$S$2:$S$740&gt;=T311)*(SVB!$S$2:$S$740&lt;=T312)*(SVB!$B$2:$B$740="D1-041")*(ISNUMBER(SVB!$N$2:$N$740))*(SVB!$N$2:$N$740))</f>
        <v>0</v>
      </c>
      <c r="U69" s="450" cm="1">
        <f t="array" ref="U69">SUMPRODUCT((SVB!$S$2:$S$740&gt;=U311)*(SVB!$S$2:$S$740&lt;=U312)*(SVB!$B$2:$B$740="D1-041")*(ISNUMBER(SVB!$N$2:$N$740))*(SVB!$N$2:$N$740))</f>
        <v>0</v>
      </c>
      <c r="V69" s="544">
        <f t="shared" si="69"/>
        <v>78</v>
      </c>
    </row>
    <row r="70" spans="1:22" ht="18" customHeight="1">
      <c r="A70" s="449" t="s">
        <v>909</v>
      </c>
      <c r="B70" s="450" cm="1">
        <f t="array" ref="B70">SUMPRODUCT((SVB!$S$2:$S$740&gt;=B311)*(SVB!$S$2:$S$740&lt;=B312)*(SVB!$B$2:$B$740="D1-041")*(ISNUMBER(SVB!$O$2:$O$740))*(SVB!$O$2:$O$740))</f>
        <v>139</v>
      </c>
      <c r="C70" s="450" cm="1">
        <f t="array" ref="C70">SUMPRODUCT((SVB!$S$2:$S$740&gt;=C311)*(SVB!$S$2:$S$740&lt;=C312)*(SVB!$B$2:$B$740="D1-041")*(ISNUMBER(SVB!$O$2:$O$740))*(SVB!$O$2:$O$740))</f>
        <v>0</v>
      </c>
      <c r="D70" s="450" cm="1">
        <f t="array" ref="D70">SUMPRODUCT((SVB!$S$2:$S$740&gt;=D311)*(SVB!$S$2:$S$740&lt;=D312)*(SVB!$B$2:$B$740="D1-041")*(ISNUMBER(SVB!$O$2:$O$740))*(SVB!$O$2:$O$740))</f>
        <v>12</v>
      </c>
      <c r="E70" s="450" cm="1">
        <f t="array" ref="E70">SUMPRODUCT((SVB!$S$2:$S$740&gt;=E311)*(SVB!$S$2:$S$740&lt;=E312)*(SVB!$B$2:$B$740="D1-041")*(ISNUMBER(SVB!$O$2:$O$740))*(SVB!$O$2:$O$740))</f>
        <v>51</v>
      </c>
      <c r="F70" s="450" cm="1">
        <f t="array" ref="F70">SUMPRODUCT((SVB!$S$2:$S$740&gt;=F311)*(SVB!$S$2:$S$740&lt;=F312)*(SVB!$B$2:$B$740="D1-041")*(ISNUMBER(SVB!$O$2:$O$740))*(SVB!$O$2:$O$740))</f>
        <v>78</v>
      </c>
      <c r="G70" s="450" cm="1">
        <f t="array" ref="G70">SUMPRODUCT((SVB!$S$2:$S$740&gt;=G311)*(SVB!$S$2:$S$740&lt;=G312)*(SVB!$B$2:$B$740="D1-041")*(ISNUMBER(SVB!$O$2:$O$740))*(SVB!$O$2:$O$740))</f>
        <v>0</v>
      </c>
      <c r="H70" s="450" cm="1">
        <f t="array" ref="H70">SUMPRODUCT((SVB!$S$2:$S$740&gt;=H311)*(SVB!$S$2:$S$740&lt;=H312)*(SVB!$B$2:$B$740="D1-041")*(ISNUMBER(SVB!$O$2:$O$740))*(SVB!$O$2:$O$740))</f>
        <v>0</v>
      </c>
      <c r="I70" s="450" cm="1">
        <f t="array" ref="I70">SUMPRODUCT((SVB!$S$2:$S$740&gt;=I311)*(SVB!$S$2:$S$740&lt;=I312)*(SVB!$B$2:$B$740="D1-041")*(ISNUMBER(SVB!$O$2:$O$740))*(SVB!$O$2:$O$740))</f>
        <v>0</v>
      </c>
      <c r="J70" s="450" cm="1">
        <f t="array" ref="J70">SUMPRODUCT((SVB!$S$2:$S$740&gt;=J311)*(SVB!$S$2:$S$740&lt;=J312)*(SVB!$B$2:$B$740="D1-041")*(ISNUMBER(SVB!$O$2:$O$740))*(SVB!$O$2:$O$740))</f>
        <v>0</v>
      </c>
      <c r="K70" s="450" cm="1">
        <f t="array" ref="K70">SUMPRODUCT((SVB!$S$2:$S$740&gt;=K311)*(SVB!$S$2:$S$740&lt;=K312)*(SVB!$B$2:$B$740="D1-041")*(ISNUMBER(SVB!$O$2:$O$740))*(SVB!$O$2:$O$740))</f>
        <v>0</v>
      </c>
      <c r="L70" s="450" cm="1">
        <f t="array" ref="L70">SUMPRODUCT((SVB!$S$2:$S$740&gt;=L311)*(SVB!$S$2:$S$740&lt;=L312)*(SVB!$B$2:$B$740="D1-041")*(ISNUMBER(SVB!$O$2:$O$740))*(SVB!$O$2:$O$740))</f>
        <v>0</v>
      </c>
      <c r="M70" s="450" cm="1">
        <f t="array" ref="M70">SUMPRODUCT((SVB!$S$2:$S$740&gt;=M311)*(SVB!$S$2:$S$740&lt;=M312)*(SVB!$B$2:$B$740="D1-041")*(ISNUMBER(SVB!$O$2:$O$740))*(SVB!$O$2:$O$740))</f>
        <v>0</v>
      </c>
      <c r="N70" s="450" cm="1">
        <f t="array" ref="N70">SUMPRODUCT((SVB!$S$2:$S$740&gt;=N311)*(SVB!$S$2:$S$740&lt;=N312)*(SVB!$B$2:$B$740="D1-041")*(ISNUMBER(SVB!$O$2:$O$740))*(SVB!$O$2:$O$740))</f>
        <v>0</v>
      </c>
      <c r="O70" s="450" cm="1">
        <f t="array" ref="O70">SUMPRODUCT((SVB!$S$2:$S$740&gt;=O311)*(SVB!$S$2:$S$740&lt;=O312)*(SVB!$B$2:$B$740="D1-041")*(ISNUMBER(SVB!$O$2:$O$740))*(SVB!$O$2:$O$740))</f>
        <v>0</v>
      </c>
      <c r="P70" s="450" cm="1">
        <f t="array" ref="P70">SUMPRODUCT((SVB!$S$2:$S$740&gt;=P311)*(SVB!$S$2:$S$740&lt;=P312)*(SVB!$B$2:$B$740="D1-041")*(ISNUMBER(SVB!$O$2:$O$740))*(SVB!$O$2:$O$740))</f>
        <v>0</v>
      </c>
      <c r="Q70" s="450" cm="1">
        <f t="array" ref="Q70">SUMPRODUCT((SVB!$S$2:$S$740&gt;=Q311)*(SVB!$S$2:$S$740&lt;=Q312)*(SVB!$B$2:$B$740="D1-041")*(ISNUMBER(SVB!$O$2:$O$740))*(SVB!$O$2:$O$740))</f>
        <v>0</v>
      </c>
      <c r="R70" s="450" cm="1">
        <f t="array" ref="R70">SUMPRODUCT((SVB!$S$2:$S$740&gt;=R311)*(SVB!$S$2:$S$740&lt;=R312)*(SVB!$B$2:$B$740="D1-041")*(ISNUMBER(SVB!$O$2:$O$740))*(SVB!$O$2:$O$740))</f>
        <v>0</v>
      </c>
      <c r="S70" s="450" cm="1">
        <f t="array" ref="S70">SUMPRODUCT((SVB!$S$2:$S$740&gt;=S311)*(SVB!$S$2:$S$740&lt;=S312)*(SVB!$B$2:$B$740="D1-041")*(ISNUMBER(SVB!$O$2:$O$740))*(SVB!$O$2:$O$740))</f>
        <v>0</v>
      </c>
      <c r="T70" s="450" cm="1">
        <f t="array" ref="T70">SUMPRODUCT((SVB!$S$2:$S$740&gt;=T311)*(SVB!$S$2:$S$740&lt;=T312)*(SVB!$B$2:$B$740="D1-041")*(ISNUMBER(SVB!$O$2:$O$740))*(SVB!$O$2:$O$740))</f>
        <v>0</v>
      </c>
      <c r="U70" s="450" cm="1">
        <f t="array" ref="U70">SUMPRODUCT((SVB!$S$2:$S$740&gt;=U311)*(SVB!$S$2:$S$740&lt;=U312)*(SVB!$B$2:$B$740="D1-041")*(ISNUMBER(SVB!$O$2:$O$740))*(SVB!$O$2:$O$740))</f>
        <v>0</v>
      </c>
      <c r="V70" s="544">
        <f t="shared" si="69"/>
        <v>78</v>
      </c>
    </row>
    <row r="71" spans="1:22" ht="18" customHeight="1">
      <c r="A71" s="449" t="s">
        <v>913</v>
      </c>
      <c r="B71" s="450" cm="1">
        <f t="array" ref="B71">SUMPRODUCT((SVB!$S$2:$S$740&gt;=B311)*(SVB!$S$2:$S$740&lt;=B312)*(SVB!$B$2:$B$740="D1-041")*(SVB!$K$2:$K$740="Switch")*(ISNUMBER(SVB!$O$2:$O$740))*(SVB!$O$2:$O$740))</f>
        <v>86</v>
      </c>
      <c r="C71" s="450" cm="1">
        <f t="array" ref="C71">SUMPRODUCT((SVB!$S$2:$S$740&gt;=C311)*(SVB!$S$2:$S$740&lt;=C312)*(SVB!$B$2:$B$740="D1-041")*(SVB!$K$2:$K$740="Switch")*(ISNUMBER(SVB!$O$2:$O$740))*(SVB!$O$2:$O$740))</f>
        <v>0</v>
      </c>
      <c r="D71" s="450" cm="1">
        <f t="array" ref="D71">SUMPRODUCT((SVB!$S$2:$S$740&gt;=D311)*(SVB!$S$2:$S$740&lt;=D312)*(SVB!$B$2:$B$740="D1-041")*(SVB!$K$2:$K$740="Switch")*(ISNUMBER(SVB!$O$2:$O$740))*(SVB!$O$2:$O$740))</f>
        <v>12</v>
      </c>
      <c r="E71" s="450" cm="1">
        <f t="array" ref="E71">SUMPRODUCT((SVB!$S$2:$S$740&gt;=E311)*(SVB!$S$2:$S$740&lt;=E312)*(SVB!$B$2:$B$740="D1-041")*(SVB!$K$2:$K$740="Switch")*(ISNUMBER(SVB!$O$2:$O$740))*(SVB!$O$2:$O$740))</f>
        <v>51</v>
      </c>
      <c r="F71" s="450" cm="1">
        <f t="array" ref="F71">SUMPRODUCT((SVB!$S$2:$S$740&gt;=F311)*(SVB!$S$2:$S$740&lt;=F312)*(SVB!$B$2:$B$740="D1-041")*(SVB!$K$2:$K$740="Switch")*(ISNUMBER(SVB!$O$2:$O$740))*(SVB!$O$2:$O$740))</f>
        <v>78</v>
      </c>
      <c r="G71" s="450" cm="1">
        <f t="array" ref="G71">SUMPRODUCT((SVB!$S$2:$S$740&gt;=G311)*(SVB!$S$2:$S$740&lt;=G312)*(SVB!$B$2:$B$740="D1-041")*(SVB!$K$2:$K$740="Switch")*(ISNUMBER(SVB!$O$2:$O$740))*(SVB!$O$2:$O$740))</f>
        <v>0</v>
      </c>
      <c r="H71" s="450" cm="1">
        <f t="array" ref="H71">SUMPRODUCT((SVB!$S$2:$S$740&gt;=H311)*(SVB!$S$2:$S$740&lt;=H312)*(SVB!$B$2:$B$740="D1-041")*(SVB!$K$2:$K$740="Switch")*(ISNUMBER(SVB!$O$2:$O$740))*(SVB!$O$2:$O$740))</f>
        <v>0</v>
      </c>
      <c r="I71" s="450" cm="1">
        <f t="array" ref="I71">SUMPRODUCT((SVB!$S$2:$S$740&gt;=I311)*(SVB!$S$2:$S$740&lt;=I312)*(SVB!$B$2:$B$740="D1-041")*(SVB!$K$2:$K$740="Switch")*(ISNUMBER(SVB!$O$2:$O$740))*(SVB!$O$2:$O$740))</f>
        <v>0</v>
      </c>
      <c r="J71" s="450" cm="1">
        <f t="array" ref="J71">SUMPRODUCT((SVB!$S$2:$S$740&gt;=J311)*(SVB!$S$2:$S$740&lt;=J312)*(SVB!$B$2:$B$740="D1-041")*(SVB!$K$2:$K$740="Switch")*(ISNUMBER(SVB!$O$2:$O$740))*(SVB!$O$2:$O$740))</f>
        <v>0</v>
      </c>
      <c r="K71" s="450" cm="1">
        <f t="array" ref="K71">SUMPRODUCT((SVB!$S$2:$S$740&gt;=K311)*(SVB!$S$2:$S$740&lt;=K312)*(SVB!$B$2:$B$740="D1-041")*(SVB!$K$2:$K$740="Switch")*(ISNUMBER(SVB!$O$2:$O$740))*(SVB!$O$2:$O$740))</f>
        <v>0</v>
      </c>
      <c r="L71" s="450" cm="1">
        <f t="array" ref="L71">SUMPRODUCT((SVB!$S$2:$S$740&gt;=L311)*(SVB!$S$2:$S$740&lt;=L312)*(SVB!$B$2:$B$740="D1-041")*(SVB!$K$2:$K$740="Switch")*(ISNUMBER(SVB!$O$2:$O$740))*(SVB!$O$2:$O$740))</f>
        <v>0</v>
      </c>
      <c r="M71" s="450" cm="1">
        <f t="array" ref="M71">SUMPRODUCT((SVB!$S$2:$S$740&gt;=M311)*(SVB!$S$2:$S$740&lt;=M312)*(SVB!$B$2:$B$740="D1-041")*(SVB!$K$2:$K$740="Switch")*(ISNUMBER(SVB!$O$2:$O$740))*(SVB!$O$2:$O$740))</f>
        <v>0</v>
      </c>
      <c r="N71" s="450" cm="1">
        <f t="array" ref="N71">SUMPRODUCT((SVB!$S$2:$S$740&gt;=N311)*(SVB!$S$2:$S$740&lt;=N312)*(SVB!$B$2:$B$740="D1-041")*(SVB!$K$2:$K$740="Switch")*(ISNUMBER(SVB!$O$2:$O$740))*(SVB!$O$2:$O$740))</f>
        <v>0</v>
      </c>
      <c r="O71" s="450" cm="1">
        <f t="array" ref="O71">SUMPRODUCT((SVB!$S$2:$S$740&gt;=O311)*(SVB!$S$2:$S$740&lt;=O312)*(SVB!$B$2:$B$740="D1-041")*(SVB!$K$2:$K$740="Switch")*(ISNUMBER(SVB!$O$2:$O$740))*(SVB!$O$2:$O$740))</f>
        <v>0</v>
      </c>
      <c r="P71" s="450" cm="1">
        <f t="array" ref="P71">SUMPRODUCT((SVB!$S$2:$S$740&gt;=P311)*(SVB!$S$2:$S$740&lt;=P312)*(SVB!$B$2:$B$740="D1-041")*(SVB!$K$2:$K$740="Switch")*(ISNUMBER(SVB!$O$2:$O$740))*(SVB!$O$2:$O$740))</f>
        <v>0</v>
      </c>
      <c r="Q71" s="450" cm="1">
        <f t="array" ref="Q71">SUMPRODUCT((SVB!$S$2:$S$740&gt;=Q311)*(SVB!$S$2:$S$740&lt;=Q312)*(SVB!$B$2:$B$740="D1-041")*(SVB!$K$2:$K$740="Switch")*(ISNUMBER(SVB!$O$2:$O$740))*(SVB!$O$2:$O$740))</f>
        <v>0</v>
      </c>
      <c r="R71" s="450" cm="1">
        <f t="array" ref="R71">SUMPRODUCT((SVB!$S$2:$S$740&gt;=R311)*(SVB!$S$2:$S$740&lt;=R312)*(SVB!$B$2:$B$740="D1-041")*(SVB!$K$2:$K$740="Switch")*(ISNUMBER(SVB!$O$2:$O$740))*(SVB!$O$2:$O$740))</f>
        <v>0</v>
      </c>
      <c r="S71" s="450" cm="1">
        <f t="array" ref="S71">SUMPRODUCT((SVB!$S$2:$S$740&gt;=S311)*(SVB!$S$2:$S$740&lt;=S312)*(SVB!$B$2:$B$740="D1-041")*(SVB!$K$2:$K$740="Switch")*(ISNUMBER(SVB!$O$2:$O$740))*(SVB!$O$2:$O$740))</f>
        <v>0</v>
      </c>
      <c r="T71" s="450" cm="1">
        <f t="array" ref="T71">SUMPRODUCT((SVB!$S$2:$S$740&gt;=T311)*(SVB!$S$2:$S$740&lt;=T312)*(SVB!$B$2:$B$740="D1-041")*(SVB!$K$2:$K$740="Switch")*(ISNUMBER(SVB!$O$2:$O$740))*(SVB!$O$2:$O$740))</f>
        <v>0</v>
      </c>
      <c r="U71" s="450" cm="1">
        <f t="array" ref="U71">SUMPRODUCT((SVB!$S$2:$S$740&gt;=U311)*(SVB!$S$2:$S$740&lt;=U312)*(SVB!$B$2:$B$740="D1-041")*(SVB!$K$2:$K$740="Switch")*(ISNUMBER(SVB!$O$2:$O$740))*(SVB!$O$2:$O$740))</f>
        <v>0</v>
      </c>
      <c r="V71" s="544">
        <f t="shared" si="69"/>
        <v>78</v>
      </c>
    </row>
    <row r="72" spans="1:22" ht="18" customHeight="1">
      <c r="A72" s="449" t="s">
        <v>914</v>
      </c>
      <c r="B72" s="450" cm="1">
        <f t="array" ref="B72">SUMPRODUCT((SVB!$S$2:$S$740&gt;=B311)*(SVB!$S$2:$S$740&lt;=B312)*(SVB!$B$2:$B$740="D1-041")*(SVB!$K$2:$K$740="AP")*(ISNUMBER(SVB!$O$2:$O$740))*(SVB!$O$2:$O$740))</f>
        <v>43</v>
      </c>
      <c r="C72" s="450" cm="1">
        <f t="array" ref="C72">SUMPRODUCT((SVB!$S$2:$S$740&gt;=C311)*(SVB!$S$2:$S$740&lt;=C312)*(SVB!$B$2:$B$740="D1-041")*(SVB!$K$2:$K$740="AP")*(ISNUMBER(SVB!$O$2:$O$740))*(SVB!$O$2:$O$740))</f>
        <v>0</v>
      </c>
      <c r="D72" s="450" cm="1">
        <f t="array" ref="D72">SUMPRODUCT((SVB!$S$2:$S$740&gt;=D311)*(SVB!$S$2:$S$740&lt;=D312)*(SVB!$B$2:$B$740="D1-041")*(SVB!$K$2:$K$740="AP")*(ISNUMBER(SVB!$O$2:$O$740))*(SVB!$O$2:$O$740))</f>
        <v>0</v>
      </c>
      <c r="E72" s="450" cm="1">
        <f t="array" ref="E72">SUMPRODUCT((SVB!$S$2:$S$740&gt;=E311)*(SVB!$S$2:$S$740&lt;=E312)*(SVB!$B$2:$B$740="D1-041")*(SVB!$K$2:$K$740="AP")*(ISNUMBER(SVB!$O$2:$O$740))*(SVB!$O$2:$O$740))</f>
        <v>0</v>
      </c>
      <c r="F72" s="450" cm="1">
        <f t="array" ref="F72">SUMPRODUCT((SVB!$S$2:$S$740&gt;=F311)*(SVB!$S$2:$S$740&lt;=F312)*(SVB!$B$2:$B$740="D1-041")*(SVB!$K$2:$K$740="AP")*(ISNUMBER(SVB!$O$2:$O$740))*(SVB!$O$2:$O$740))</f>
        <v>0</v>
      </c>
      <c r="G72" s="450" cm="1">
        <f t="array" ref="G72">SUMPRODUCT((SVB!$S$2:$S$740&gt;=G311)*(SVB!$S$2:$S$740&lt;=G312)*(SVB!$B$2:$B$740="D1-041")*(SVB!$K$2:$K$740="AP")*(ISNUMBER(SVB!$O$2:$O$740))*(SVB!$O$2:$O$740))</f>
        <v>0</v>
      </c>
      <c r="H72" s="450" cm="1">
        <f t="array" ref="H72">SUMPRODUCT((SVB!$S$2:$S$740&gt;=H311)*(SVB!$S$2:$S$740&lt;=H312)*(SVB!$B$2:$B$740="D1-041")*(SVB!$K$2:$K$740="AP")*(ISNUMBER(SVB!$O$2:$O$740))*(SVB!$O$2:$O$740))</f>
        <v>0</v>
      </c>
      <c r="I72" s="450" cm="1">
        <f t="array" ref="I72">SUMPRODUCT((SVB!$S$2:$S$740&gt;=I311)*(SVB!$S$2:$S$740&lt;=I312)*(SVB!$B$2:$B$740="D1-041")*(SVB!$K$2:$K$740="AP")*(ISNUMBER(SVB!$O$2:$O$740))*(SVB!$O$2:$O$740))</f>
        <v>0</v>
      </c>
      <c r="J72" s="450" cm="1">
        <f t="array" ref="J72">SUMPRODUCT((SVB!$S$2:$S$740&gt;=J311)*(SVB!$S$2:$S$740&lt;=J312)*(SVB!$B$2:$B$740="D1-041")*(SVB!$K$2:$K$740="AP")*(ISNUMBER(SVB!$O$2:$O$740))*(SVB!$O$2:$O$740))</f>
        <v>0</v>
      </c>
      <c r="K72" s="450" cm="1">
        <f t="array" ref="K72">SUMPRODUCT((SVB!$S$2:$S$740&gt;=K311)*(SVB!$S$2:$S$740&lt;=K312)*(SVB!$B$2:$B$740="D1-041")*(SVB!$K$2:$K$740="AP")*(ISNUMBER(SVB!$O$2:$O$740))*(SVB!$O$2:$O$740))</f>
        <v>0</v>
      </c>
      <c r="L72" s="450" cm="1">
        <f t="array" ref="L72">SUMPRODUCT((SVB!$S$2:$S$740&gt;=L311)*(SVB!$S$2:$S$740&lt;=L312)*(SVB!$B$2:$B$740="D1-041")*(SVB!$K$2:$K$740="AP")*(ISNUMBER(SVB!$O$2:$O$740))*(SVB!$O$2:$O$740))</f>
        <v>0</v>
      </c>
      <c r="M72" s="450" cm="1">
        <f t="array" ref="M72">SUMPRODUCT((SVB!$S$2:$S$740&gt;=M311)*(SVB!$S$2:$S$740&lt;=M312)*(SVB!$B$2:$B$740="D1-041")*(SVB!$K$2:$K$740="AP")*(ISNUMBER(SVB!$O$2:$O$740))*(SVB!$O$2:$O$740))</f>
        <v>0</v>
      </c>
      <c r="N72" s="450" cm="1">
        <f t="array" ref="N72">SUMPRODUCT((SVB!$S$2:$S$740&gt;=N311)*(SVB!$S$2:$S$740&lt;=N312)*(SVB!$B$2:$B$740="D1-041")*(SVB!$K$2:$K$740="AP")*(ISNUMBER(SVB!$O$2:$O$740))*(SVB!$O$2:$O$740))</f>
        <v>0</v>
      </c>
      <c r="O72" s="450" cm="1">
        <f t="array" ref="O72">SUMPRODUCT((SVB!$S$2:$S$740&gt;=O311)*(SVB!$S$2:$S$740&lt;=O312)*(SVB!$B$2:$B$740="D1-041")*(SVB!$K$2:$K$740="AP")*(ISNUMBER(SVB!$O$2:$O$740))*(SVB!$O$2:$O$740))</f>
        <v>0</v>
      </c>
      <c r="P72" s="450" cm="1">
        <f t="array" ref="P72">SUMPRODUCT((SVB!$S$2:$S$740&gt;=P311)*(SVB!$S$2:$S$740&lt;=P312)*(SVB!$B$2:$B$740="D1-041")*(SVB!$K$2:$K$740="AP")*(ISNUMBER(SVB!$O$2:$O$740))*(SVB!$O$2:$O$740))</f>
        <v>0</v>
      </c>
      <c r="Q72" s="450" cm="1">
        <f t="array" ref="Q72">SUMPRODUCT((SVB!$S$2:$S$740&gt;=Q311)*(SVB!$S$2:$S$740&lt;=Q312)*(SVB!$B$2:$B$740="D1-041")*(SVB!$K$2:$K$740="AP")*(ISNUMBER(SVB!$O$2:$O$740))*(SVB!$O$2:$O$740))</f>
        <v>0</v>
      </c>
      <c r="R72" s="450" cm="1">
        <f t="array" ref="R72">SUMPRODUCT((SVB!$S$2:$S$740&gt;=R311)*(SVB!$S$2:$S$740&lt;=R312)*(SVB!$B$2:$B$740="D1-041")*(SVB!$K$2:$K$740="AP")*(ISNUMBER(SVB!$O$2:$O$740))*(SVB!$O$2:$O$740))</f>
        <v>0</v>
      </c>
      <c r="S72" s="450" cm="1">
        <f t="array" ref="S72">SUMPRODUCT((SVB!$S$2:$S$740&gt;=S311)*(SVB!$S$2:$S$740&lt;=S312)*(SVB!$B$2:$B$740="D1-041")*(SVB!$K$2:$K$740="AP")*(ISNUMBER(SVB!$O$2:$O$740))*(SVB!$O$2:$O$740))</f>
        <v>0</v>
      </c>
      <c r="T72" s="450" cm="1">
        <f t="array" ref="T72">SUMPRODUCT((SVB!$S$2:$S$740&gt;=T311)*(SVB!$S$2:$S$740&lt;=T312)*(SVB!$B$2:$B$740="D1-041")*(SVB!$K$2:$K$740="AP")*(ISNUMBER(SVB!$O$2:$O$740))*(SVB!$O$2:$O$740))</f>
        <v>0</v>
      </c>
      <c r="U72" s="450" cm="1">
        <f t="array" ref="U72">SUMPRODUCT((SVB!$S$2:$S$740&gt;=U311)*(SVB!$S$2:$S$740&lt;=U312)*(SVB!$B$2:$B$740="D1-041")*(SVB!$K$2:$K$740="AP")*(ISNUMBER(SVB!$O$2:$O$740))*(SVB!$O$2:$O$740))</f>
        <v>0</v>
      </c>
      <c r="V72" s="544">
        <f t="shared" si="69"/>
        <v>0</v>
      </c>
    </row>
    <row r="73" spans="1:22" ht="18" customHeight="1">
      <c r="A73" s="449" t="s">
        <v>915</v>
      </c>
      <c r="B73" s="450" cm="1">
        <f t="array" ref="B73">SUMPRODUCT((SVB!$S$2:$S$740&gt;=B311)*(SVB!$S$2:$S$740&lt;=B312)*(SVB!$B$2:$B$740="D1-041")*(SVB!$K$2:$K$740="Infra")*(ISNUMBER(SVB!$O$2:$O$740))*(SVB!$O$2:$O$740))</f>
        <v>10</v>
      </c>
      <c r="C73" s="450" cm="1">
        <f t="array" ref="C73">SUMPRODUCT((SVB!$S$2:$S$740&gt;=C311)*(SVB!$S$2:$S$740&lt;=C312)*(SVB!$B$2:$B$740="D1-041")*(SVB!$K$2:$K$740="Infra")*(ISNUMBER(SVB!$O$2:$O$740))*(SVB!$O$2:$O$740))</f>
        <v>0</v>
      </c>
      <c r="D73" s="450" cm="1">
        <f t="array" ref="D73">SUMPRODUCT((SVB!$S$2:$S$740&gt;=D311)*(SVB!$S$2:$S$740&lt;=D312)*(SVB!$B$2:$B$740="D1-041")*(SVB!$K$2:$K$740="Infra")*(ISNUMBER(SVB!$O$2:$O$740))*(SVB!$O$2:$O$740))</f>
        <v>0</v>
      </c>
      <c r="E73" s="450" cm="1">
        <f t="array" ref="E73">SUMPRODUCT((SVB!$S$2:$S$740&gt;=E311)*(SVB!$S$2:$S$740&lt;=E312)*(SVB!$B$2:$B$740="D1-041")*(SVB!$K$2:$K$740="Infra")*(ISNUMBER(SVB!$O$2:$O$740))*(SVB!$O$2:$O$740))</f>
        <v>0</v>
      </c>
      <c r="F73" s="450" cm="1">
        <f t="array" ref="F73">SUMPRODUCT((SVB!$S$2:$S$740&gt;=F311)*(SVB!$S$2:$S$740&lt;=F312)*(SVB!$B$2:$B$740="D1-041")*(SVB!$K$2:$K$740="Infra")*(ISNUMBER(SVB!$O$2:$O$740))*(SVB!$O$2:$O$740))</f>
        <v>0</v>
      </c>
      <c r="G73" s="450" cm="1">
        <f t="array" ref="G73">SUMPRODUCT((SVB!$S$2:$S$740&gt;=G311)*(SVB!$S$2:$S$740&lt;=G312)*(SVB!$B$2:$B$740="D1-041")*(SVB!$K$2:$K$740="Infra")*(ISNUMBER(SVB!$O$2:$O$740))*(SVB!$O$2:$O$740))</f>
        <v>0</v>
      </c>
      <c r="H73" s="450" cm="1">
        <f t="array" ref="H73">SUMPRODUCT((SVB!$S$2:$S$740&gt;=H311)*(SVB!$S$2:$S$740&lt;=H312)*(SVB!$B$2:$B$740="D1-041")*(SVB!$K$2:$K$740="Infra")*(ISNUMBER(SVB!$O$2:$O$740))*(SVB!$O$2:$O$740))</f>
        <v>0</v>
      </c>
      <c r="I73" s="450" cm="1">
        <f t="array" ref="I73">SUMPRODUCT((SVB!$S$2:$S$740&gt;=I311)*(SVB!$S$2:$S$740&lt;=I312)*(SVB!$B$2:$B$740="D1-041")*(SVB!$K$2:$K$740="Infra")*(ISNUMBER(SVB!$O$2:$O$740))*(SVB!$O$2:$O$740))</f>
        <v>0</v>
      </c>
      <c r="J73" s="450" cm="1">
        <f t="array" ref="J73">SUMPRODUCT((SVB!$S$2:$S$740&gt;=J311)*(SVB!$S$2:$S$740&lt;=J312)*(SVB!$B$2:$B$740="D1-041")*(SVB!$K$2:$K$740="Infra")*(ISNUMBER(SVB!$O$2:$O$740))*(SVB!$O$2:$O$740))</f>
        <v>0</v>
      </c>
      <c r="K73" s="450" cm="1">
        <f t="array" ref="K73">SUMPRODUCT((SVB!$S$2:$S$740&gt;=K311)*(SVB!$S$2:$S$740&lt;=K312)*(SVB!$B$2:$B$740="D1-041")*(SVB!$K$2:$K$740="Infra")*(ISNUMBER(SVB!$O$2:$O$740))*(SVB!$O$2:$O$740))</f>
        <v>0</v>
      </c>
      <c r="L73" s="450" cm="1">
        <f t="array" ref="L73">SUMPRODUCT((SVB!$S$2:$S$740&gt;=L311)*(SVB!$S$2:$S$740&lt;=L312)*(SVB!$B$2:$B$740="D1-041")*(SVB!$K$2:$K$740="Infra")*(ISNUMBER(SVB!$O$2:$O$740))*(SVB!$O$2:$O$740))</f>
        <v>0</v>
      </c>
      <c r="M73" s="450" cm="1">
        <f t="array" ref="M73">SUMPRODUCT((SVB!$S$2:$S$740&gt;=M311)*(SVB!$S$2:$S$740&lt;=M312)*(SVB!$B$2:$B$740="D1-041")*(SVB!$K$2:$K$740="Infra")*(ISNUMBER(SVB!$O$2:$O$740))*(SVB!$O$2:$O$740))</f>
        <v>0</v>
      </c>
      <c r="N73" s="450" cm="1">
        <f t="array" ref="N73">SUMPRODUCT((SVB!$S$2:$S$740&gt;=N311)*(SVB!$S$2:$S$740&lt;=N312)*(SVB!$B$2:$B$740="D1-041")*(SVB!$K$2:$K$740="Infra")*(ISNUMBER(SVB!$O$2:$O$740))*(SVB!$O$2:$O$740))</f>
        <v>0</v>
      </c>
      <c r="O73" s="450" cm="1">
        <f t="array" ref="O73">SUMPRODUCT((SVB!$S$2:$S$740&gt;=O311)*(SVB!$S$2:$S$740&lt;=O312)*(SVB!$B$2:$B$740="D1-041")*(SVB!$K$2:$K$740="Infra")*(ISNUMBER(SVB!$O$2:$O$740))*(SVB!$O$2:$O$740))</f>
        <v>0</v>
      </c>
      <c r="P73" s="450" cm="1">
        <f t="array" ref="P73">SUMPRODUCT((SVB!$S$2:$S$740&gt;=P311)*(SVB!$S$2:$S$740&lt;=P312)*(SVB!$B$2:$B$740="D1-041")*(SVB!$K$2:$K$740="Infra")*(ISNUMBER(SVB!$O$2:$O$740))*(SVB!$O$2:$O$740))</f>
        <v>0</v>
      </c>
      <c r="Q73" s="450" cm="1">
        <f t="array" ref="Q73">SUMPRODUCT((SVB!$S$2:$S$740&gt;=Q311)*(SVB!$S$2:$S$740&lt;=Q312)*(SVB!$B$2:$B$740="D1-041")*(SVB!$K$2:$K$740="Infra")*(ISNUMBER(SVB!$O$2:$O$740))*(SVB!$O$2:$O$740))</f>
        <v>0</v>
      </c>
      <c r="R73" s="450" cm="1">
        <f t="array" ref="R73">SUMPRODUCT((SVB!$S$2:$S$740&gt;=R311)*(SVB!$S$2:$S$740&lt;=R312)*(SVB!$B$2:$B$740="D1-041")*(SVB!$K$2:$K$740="Infra")*(ISNUMBER(SVB!$O$2:$O$740))*(SVB!$O$2:$O$740))</f>
        <v>0</v>
      </c>
      <c r="S73" s="450" cm="1">
        <f t="array" ref="S73">SUMPRODUCT((SVB!$S$2:$S$740&gt;=S311)*(SVB!$S$2:$S$740&lt;=S312)*(SVB!$B$2:$B$740="D1-041")*(SVB!$K$2:$K$740="Infra")*(ISNUMBER(SVB!$O$2:$O$740))*(SVB!$O$2:$O$740))</f>
        <v>0</v>
      </c>
      <c r="T73" s="450" cm="1">
        <f t="array" ref="T73">SUMPRODUCT((SVB!$S$2:$S$740&gt;=T311)*(SVB!$S$2:$S$740&lt;=T312)*(SVB!$B$2:$B$740="D1-041")*(SVB!$K$2:$K$740="Infra")*(ISNUMBER(SVB!$O$2:$O$740))*(SVB!$O$2:$O$740))</f>
        <v>0</v>
      </c>
      <c r="U73" s="450" cm="1">
        <f t="array" ref="U73">SUMPRODUCT((SVB!$S$2:$S$740&gt;=U311)*(SVB!$S$2:$S$740&lt;=U312)*(SVB!$B$2:$B$740="D1-041")*(SVB!$K$2:$K$740="Infra")*(ISNUMBER(SVB!$O$2:$O$740))*(SVB!$O$2:$O$740))</f>
        <v>0</v>
      </c>
      <c r="V73" s="544">
        <f t="shared" si="69"/>
        <v>0</v>
      </c>
    </row>
    <row r="74" spans="1:22" s="562" customFormat="1" ht="19.5" customHeight="1">
      <c r="A74" s="565" t="s">
        <v>312</v>
      </c>
      <c r="B74" s="566">
        <f>MAX(B70-B64,0)</f>
        <v>0</v>
      </c>
      <c r="C74" s="566">
        <f t="shared" ref="C74" si="70">MAX(C70-C64,0)</f>
        <v>0</v>
      </c>
      <c r="D74" s="566">
        <f t="shared" ref="D74" si="71">MAX(D70-D64,0)</f>
        <v>0</v>
      </c>
      <c r="E74" s="566">
        <f t="shared" ref="E74" si="72">MAX(E70-E64,0)</f>
        <v>0</v>
      </c>
      <c r="F74" s="566">
        <f t="shared" ref="F74" si="73">MAX(F70-F64,0)</f>
        <v>18</v>
      </c>
      <c r="G74" s="566">
        <f t="shared" ref="G74" si="74">MAX(G70-G64,0)</f>
        <v>0</v>
      </c>
      <c r="H74" s="566">
        <f t="shared" ref="H74" si="75">MAX(H70-H64,0)</f>
        <v>0</v>
      </c>
      <c r="I74" s="566">
        <f t="shared" ref="I74" si="76">MAX(I70-I64,0)</f>
        <v>0</v>
      </c>
      <c r="J74" s="566">
        <f t="shared" ref="J74" si="77">MAX(J70-J64,0)</f>
        <v>0</v>
      </c>
      <c r="K74" s="566">
        <f t="shared" ref="K74" si="78">MAX(K70-K64,0)</f>
        <v>0</v>
      </c>
      <c r="L74" s="566">
        <f t="shared" ref="L74" si="79">MAX(L70-L64,0)</f>
        <v>0</v>
      </c>
      <c r="M74" s="566">
        <f t="shared" ref="M74" si="80">MAX(M70-M64,0)</f>
        <v>0</v>
      </c>
      <c r="N74" s="566">
        <f t="shared" ref="N74" si="81">MAX(N70-N64,0)</f>
        <v>0</v>
      </c>
      <c r="O74" s="566">
        <f t="shared" ref="O74" si="82">MAX(O70-O64,0)</f>
        <v>0</v>
      </c>
      <c r="P74" s="566">
        <f t="shared" ref="P74" si="83">MAX(P70-P64,0)</f>
        <v>0</v>
      </c>
      <c r="Q74" s="566">
        <f t="shared" ref="Q74:U74" si="84">MAX(Q70-Q64,0)</f>
        <v>0</v>
      </c>
      <c r="R74" s="566">
        <f t="shared" si="84"/>
        <v>0</v>
      </c>
      <c r="S74" s="566">
        <f t="shared" si="84"/>
        <v>0</v>
      </c>
      <c r="T74" s="566">
        <f t="shared" si="84"/>
        <v>0</v>
      </c>
      <c r="U74" s="566">
        <f t="shared" si="84"/>
        <v>0</v>
      </c>
      <c r="V74" s="567">
        <f>MAX(V70-V64,0)</f>
        <v>0</v>
      </c>
    </row>
    <row r="75" spans="1:22" s="562" customFormat="1" ht="19.5" customHeight="1">
      <c r="A75" s="565" t="s">
        <v>313</v>
      </c>
      <c r="B75" s="566">
        <f>MAX(B64-B70,0)</f>
        <v>0</v>
      </c>
      <c r="C75" s="566">
        <f t="shared" ref="C75:Q75" si="85">MAX(C64-C70,0)</f>
        <v>0</v>
      </c>
      <c r="D75" s="566">
        <f t="shared" si="85"/>
        <v>0</v>
      </c>
      <c r="E75" s="566">
        <f t="shared" si="85"/>
        <v>2</v>
      </c>
      <c r="F75" s="566">
        <f t="shared" si="85"/>
        <v>0</v>
      </c>
      <c r="G75" s="566">
        <f t="shared" si="85"/>
        <v>224</v>
      </c>
      <c r="H75" s="566">
        <f t="shared" si="85"/>
        <v>49</v>
      </c>
      <c r="I75" s="566">
        <f t="shared" si="85"/>
        <v>50</v>
      </c>
      <c r="J75" s="566">
        <f t="shared" si="85"/>
        <v>31</v>
      </c>
      <c r="K75" s="566">
        <f t="shared" si="85"/>
        <v>86</v>
      </c>
      <c r="L75" s="566">
        <f t="shared" si="85"/>
        <v>0</v>
      </c>
      <c r="M75" s="566">
        <f t="shared" si="85"/>
        <v>0</v>
      </c>
      <c r="N75" s="566">
        <f t="shared" si="85"/>
        <v>0</v>
      </c>
      <c r="O75" s="566">
        <f t="shared" si="85"/>
        <v>0</v>
      </c>
      <c r="P75" s="566">
        <f t="shared" si="85"/>
        <v>0</v>
      </c>
      <c r="Q75" s="566">
        <f t="shared" si="85"/>
        <v>6</v>
      </c>
      <c r="R75" s="566">
        <f t="shared" ref="R75:U75" si="86">MAX(R64-R70,0)</f>
        <v>0</v>
      </c>
      <c r="S75" s="566">
        <f t="shared" si="86"/>
        <v>0</v>
      </c>
      <c r="T75" s="566">
        <f t="shared" si="86"/>
        <v>0</v>
      </c>
      <c r="U75" s="566">
        <f t="shared" si="86"/>
        <v>0</v>
      </c>
      <c r="V75" s="567">
        <f>MAX(V64-V70,0)</f>
        <v>632</v>
      </c>
    </row>
    <row r="76" spans="1:22" s="562" customFormat="1" ht="19.5" customHeight="1">
      <c r="A76" s="565" t="s">
        <v>882</v>
      </c>
      <c r="B76" s="566">
        <f>MAX(B71-B65,0)</f>
        <v>0</v>
      </c>
      <c r="C76" s="566">
        <f t="shared" ref="C76:Q76" si="87">MAX(C71-C65,0)</f>
        <v>0</v>
      </c>
      <c r="D76" s="566">
        <f t="shared" si="87"/>
        <v>0</v>
      </c>
      <c r="E76" s="566">
        <f t="shared" si="87"/>
        <v>0</v>
      </c>
      <c r="F76" s="566">
        <f t="shared" si="87"/>
        <v>18</v>
      </c>
      <c r="G76" s="566">
        <f t="shared" si="87"/>
        <v>0</v>
      </c>
      <c r="H76" s="566">
        <f t="shared" si="87"/>
        <v>0</v>
      </c>
      <c r="I76" s="566">
        <f t="shared" si="87"/>
        <v>0</v>
      </c>
      <c r="J76" s="566">
        <f t="shared" si="87"/>
        <v>0</v>
      </c>
      <c r="K76" s="566">
        <f t="shared" si="87"/>
        <v>0</v>
      </c>
      <c r="L76" s="566">
        <f t="shared" si="87"/>
        <v>0</v>
      </c>
      <c r="M76" s="566">
        <f t="shared" si="87"/>
        <v>0</v>
      </c>
      <c r="N76" s="566">
        <f t="shared" si="87"/>
        <v>0</v>
      </c>
      <c r="O76" s="566">
        <f t="shared" si="87"/>
        <v>0</v>
      </c>
      <c r="P76" s="566">
        <f t="shared" si="87"/>
        <v>0</v>
      </c>
      <c r="Q76" s="566">
        <f t="shared" si="87"/>
        <v>0</v>
      </c>
      <c r="R76" s="566">
        <f t="shared" ref="R76:U76" si="88">MAX(R71-R65,0)</f>
        <v>0</v>
      </c>
      <c r="S76" s="566">
        <f t="shared" si="88"/>
        <v>0</v>
      </c>
      <c r="T76" s="566">
        <f t="shared" si="88"/>
        <v>0</v>
      </c>
      <c r="U76" s="566">
        <f t="shared" si="88"/>
        <v>0</v>
      </c>
      <c r="V76" s="567">
        <f>MAX(V71-V65,0)</f>
        <v>0</v>
      </c>
    </row>
    <row r="77" spans="1:22" s="562" customFormat="1" ht="19.5" customHeight="1">
      <c r="A77" s="565" t="s">
        <v>883</v>
      </c>
      <c r="B77" s="566">
        <f>MAX(B65-B71,0)</f>
        <v>0</v>
      </c>
      <c r="C77" s="566">
        <f t="shared" ref="C77:Q77" si="89">MAX(C65-C71,0)</f>
        <v>0</v>
      </c>
      <c r="D77" s="566">
        <f t="shared" si="89"/>
        <v>0</v>
      </c>
      <c r="E77" s="566">
        <f t="shared" si="89"/>
        <v>2</v>
      </c>
      <c r="F77" s="566">
        <f t="shared" si="89"/>
        <v>0</v>
      </c>
      <c r="G77" s="566">
        <f t="shared" si="89"/>
        <v>48</v>
      </c>
      <c r="H77" s="566">
        <f t="shared" si="89"/>
        <v>30</v>
      </c>
      <c r="I77" s="566">
        <f t="shared" si="89"/>
        <v>35</v>
      </c>
      <c r="J77" s="566">
        <f t="shared" si="89"/>
        <v>31</v>
      </c>
      <c r="K77" s="566">
        <f t="shared" si="89"/>
        <v>49</v>
      </c>
      <c r="L77" s="566">
        <f t="shared" si="89"/>
        <v>0</v>
      </c>
      <c r="M77" s="566">
        <f t="shared" si="89"/>
        <v>0</v>
      </c>
      <c r="N77" s="566">
        <f t="shared" si="89"/>
        <v>0</v>
      </c>
      <c r="O77" s="566">
        <f t="shared" si="89"/>
        <v>0</v>
      </c>
      <c r="P77" s="566">
        <f t="shared" si="89"/>
        <v>0</v>
      </c>
      <c r="Q77" s="566">
        <f t="shared" si="89"/>
        <v>6</v>
      </c>
      <c r="R77" s="566">
        <f t="shared" ref="R77:U77" si="90">MAX(R65-R71,0)</f>
        <v>0</v>
      </c>
      <c r="S77" s="566">
        <f t="shared" si="90"/>
        <v>0</v>
      </c>
      <c r="T77" s="566">
        <f t="shared" si="90"/>
        <v>0</v>
      </c>
      <c r="U77" s="566">
        <f t="shared" si="90"/>
        <v>0</v>
      </c>
      <c r="V77" s="567">
        <f>MAX(V65-V71,0)</f>
        <v>332</v>
      </c>
    </row>
    <row r="78" spans="1:22" s="562" customFormat="1" ht="19.5" customHeight="1">
      <c r="A78" s="565" t="s">
        <v>888</v>
      </c>
      <c r="B78" s="566">
        <f>MAX(B72-B66,0)</f>
        <v>0</v>
      </c>
      <c r="C78" s="566">
        <f t="shared" ref="C78:Q78" si="91">MAX(C72-C66,0)</f>
        <v>0</v>
      </c>
      <c r="D78" s="566">
        <f t="shared" si="91"/>
        <v>0</v>
      </c>
      <c r="E78" s="566">
        <f t="shared" si="91"/>
        <v>0</v>
      </c>
      <c r="F78" s="566">
        <f t="shared" si="91"/>
        <v>0</v>
      </c>
      <c r="G78" s="566">
        <f t="shared" si="91"/>
        <v>0</v>
      </c>
      <c r="H78" s="566">
        <f t="shared" si="91"/>
        <v>0</v>
      </c>
      <c r="I78" s="566">
        <f t="shared" si="91"/>
        <v>0</v>
      </c>
      <c r="J78" s="566">
        <f t="shared" si="91"/>
        <v>0</v>
      </c>
      <c r="K78" s="566">
        <f t="shared" si="91"/>
        <v>0</v>
      </c>
      <c r="L78" s="566">
        <f t="shared" si="91"/>
        <v>0</v>
      </c>
      <c r="M78" s="566">
        <f t="shared" si="91"/>
        <v>0</v>
      </c>
      <c r="N78" s="566">
        <f t="shared" si="91"/>
        <v>0</v>
      </c>
      <c r="O78" s="566">
        <f t="shared" si="91"/>
        <v>0</v>
      </c>
      <c r="P78" s="566">
        <f t="shared" si="91"/>
        <v>0</v>
      </c>
      <c r="Q78" s="566">
        <f t="shared" si="91"/>
        <v>0</v>
      </c>
      <c r="R78" s="566">
        <f t="shared" ref="R78:U78" si="92">MAX(R72-R66,0)</f>
        <v>0</v>
      </c>
      <c r="S78" s="566">
        <f t="shared" si="92"/>
        <v>0</v>
      </c>
      <c r="T78" s="566">
        <f t="shared" si="92"/>
        <v>0</v>
      </c>
      <c r="U78" s="566">
        <f t="shared" si="92"/>
        <v>0</v>
      </c>
      <c r="V78" s="567">
        <f t="shared" ref="V78" si="93">MAX(V72-V66,0)</f>
        <v>0</v>
      </c>
    </row>
    <row r="79" spans="1:22" s="562" customFormat="1" ht="19.5" customHeight="1">
      <c r="A79" s="565" t="s">
        <v>889</v>
      </c>
      <c r="B79" s="566">
        <f>MAX(B66-B72,0)</f>
        <v>0</v>
      </c>
      <c r="C79" s="566">
        <f t="shared" ref="C79:Q79" si="94">MAX(C66-C72,0)</f>
        <v>0</v>
      </c>
      <c r="D79" s="566">
        <f t="shared" si="94"/>
        <v>0</v>
      </c>
      <c r="E79" s="566">
        <f t="shared" si="94"/>
        <v>0</v>
      </c>
      <c r="F79" s="566">
        <f t="shared" si="94"/>
        <v>0</v>
      </c>
      <c r="G79" s="566">
        <f t="shared" si="94"/>
        <v>176</v>
      </c>
      <c r="H79" s="566">
        <f t="shared" si="94"/>
        <v>19</v>
      </c>
      <c r="I79" s="566">
        <f t="shared" si="94"/>
        <v>15</v>
      </c>
      <c r="J79" s="566">
        <f t="shared" si="94"/>
        <v>0</v>
      </c>
      <c r="K79" s="566">
        <f t="shared" si="94"/>
        <v>37</v>
      </c>
      <c r="L79" s="566">
        <f t="shared" si="94"/>
        <v>0</v>
      </c>
      <c r="M79" s="566">
        <f t="shared" si="94"/>
        <v>0</v>
      </c>
      <c r="N79" s="566">
        <f t="shared" si="94"/>
        <v>0</v>
      </c>
      <c r="O79" s="566">
        <f t="shared" si="94"/>
        <v>0</v>
      </c>
      <c r="P79" s="566">
        <f t="shared" si="94"/>
        <v>0</v>
      </c>
      <c r="Q79" s="566">
        <f t="shared" si="94"/>
        <v>0</v>
      </c>
      <c r="R79" s="566">
        <f t="shared" ref="R79:U79" si="95">MAX(R66-R72,0)</f>
        <v>0</v>
      </c>
      <c r="S79" s="566">
        <f t="shared" si="95"/>
        <v>0</v>
      </c>
      <c r="T79" s="566">
        <f t="shared" si="95"/>
        <v>0</v>
      </c>
      <c r="U79" s="566">
        <f t="shared" si="95"/>
        <v>0</v>
      </c>
      <c r="V79" s="567">
        <f t="shared" ref="V79" si="96">MAX(V66-V72,0)</f>
        <v>290</v>
      </c>
    </row>
    <row r="80" spans="1:22" ht="18" customHeight="1">
      <c r="A80" s="556" t="s">
        <v>316</v>
      </c>
      <c r="B80" s="557">
        <f>IF(B64=0,"-",(B68+B69+B70)/(B64*3))</f>
        <v>1</v>
      </c>
      <c r="C80" s="557" t="str">
        <f t="shared" ref="C80:Q80" si="97">IF(C64=0,"-",(C68+C69+C70)/(C64*3))</f>
        <v>-</v>
      </c>
      <c r="D80" s="557">
        <f t="shared" si="97"/>
        <v>1</v>
      </c>
      <c r="E80" s="557">
        <f t="shared" si="97"/>
        <v>0.96226415094339623</v>
      </c>
      <c r="F80" s="557">
        <f t="shared" si="97"/>
        <v>1.3</v>
      </c>
      <c r="G80" s="557">
        <f t="shared" si="97"/>
        <v>0</v>
      </c>
      <c r="H80" s="557">
        <f t="shared" si="97"/>
        <v>0</v>
      </c>
      <c r="I80" s="557">
        <f t="shared" si="97"/>
        <v>0</v>
      </c>
      <c r="J80" s="557">
        <f t="shared" si="97"/>
        <v>0</v>
      </c>
      <c r="K80" s="557">
        <f t="shared" si="97"/>
        <v>0</v>
      </c>
      <c r="L80" s="557" t="str">
        <f t="shared" si="97"/>
        <v>-</v>
      </c>
      <c r="M80" s="557" t="str">
        <f t="shared" si="97"/>
        <v>-</v>
      </c>
      <c r="N80" s="557" t="str">
        <f t="shared" si="97"/>
        <v>-</v>
      </c>
      <c r="O80" s="557" t="str">
        <f t="shared" si="97"/>
        <v>-</v>
      </c>
      <c r="P80" s="557" t="str">
        <f t="shared" si="97"/>
        <v>-</v>
      </c>
      <c r="Q80" s="557">
        <f t="shared" si="97"/>
        <v>0</v>
      </c>
      <c r="R80" s="557" t="str">
        <f t="shared" ref="R80:U80" si="98">IF(R64=0,"-",(R68+R69+R70)/(R64*3))</f>
        <v>-</v>
      </c>
      <c r="S80" s="557" t="str">
        <f t="shared" si="98"/>
        <v>-</v>
      </c>
      <c r="T80" s="557" t="str">
        <f t="shared" si="98"/>
        <v>-</v>
      </c>
      <c r="U80" s="557" t="str">
        <f t="shared" si="98"/>
        <v>-</v>
      </c>
      <c r="V80" s="545">
        <f t="shared" ref="V80" si="99">IF(V64=0,"-",(V68+V69+V70)/(V64*3))</f>
        <v>0.10985915492957747</v>
      </c>
    </row>
    <row r="81" spans="1:22" ht="18" customHeight="1">
      <c r="A81" s="556" t="s">
        <v>892</v>
      </c>
      <c r="B81" s="557">
        <f>IF(B65=0,"-",(B71)/(B65))</f>
        <v>1</v>
      </c>
      <c r="C81" s="557" t="str">
        <f t="shared" ref="C81:Q81" si="100">IF(C65=0,"-",(C71)/(C65))</f>
        <v>-</v>
      </c>
      <c r="D81" s="557">
        <f t="shared" si="100"/>
        <v>1</v>
      </c>
      <c r="E81" s="557">
        <f t="shared" si="100"/>
        <v>0.96226415094339623</v>
      </c>
      <c r="F81" s="557">
        <f t="shared" si="100"/>
        <v>1.3</v>
      </c>
      <c r="G81" s="557">
        <f t="shared" si="100"/>
        <v>0</v>
      </c>
      <c r="H81" s="557">
        <f t="shared" si="100"/>
        <v>0</v>
      </c>
      <c r="I81" s="557">
        <f t="shared" si="100"/>
        <v>0</v>
      </c>
      <c r="J81" s="557">
        <f t="shared" si="100"/>
        <v>0</v>
      </c>
      <c r="K81" s="557">
        <f t="shared" si="100"/>
        <v>0</v>
      </c>
      <c r="L81" s="557" t="str">
        <f t="shared" si="100"/>
        <v>-</v>
      </c>
      <c r="M81" s="557" t="str">
        <f t="shared" si="100"/>
        <v>-</v>
      </c>
      <c r="N81" s="557" t="str">
        <f t="shared" si="100"/>
        <v>-</v>
      </c>
      <c r="O81" s="557" t="str">
        <f t="shared" si="100"/>
        <v>-</v>
      </c>
      <c r="P81" s="557" t="str">
        <f t="shared" si="100"/>
        <v>-</v>
      </c>
      <c r="Q81" s="557">
        <f t="shared" si="100"/>
        <v>0</v>
      </c>
      <c r="R81" s="557" t="str">
        <f t="shared" ref="R81:U81" si="101">IF(R65=0,"-",(R71)/(R65))</f>
        <v>-</v>
      </c>
      <c r="S81" s="557" t="str">
        <f t="shared" si="101"/>
        <v>-</v>
      </c>
      <c r="T81" s="557" t="str">
        <f t="shared" si="101"/>
        <v>-</v>
      </c>
      <c r="U81" s="557" t="str">
        <f t="shared" si="101"/>
        <v>-</v>
      </c>
      <c r="V81" s="545">
        <f t="shared" ref="V81" si="102">IF(V65=0,"-",(V71)/(V65))</f>
        <v>0.19024390243902439</v>
      </c>
    </row>
    <row r="82" spans="1:22" ht="18" customHeight="1">
      <c r="A82" s="556" t="s">
        <v>898</v>
      </c>
      <c r="B82" s="557">
        <f>IF(B66=0,"-",(B72)/(B66))</f>
        <v>1</v>
      </c>
      <c r="C82" s="557" t="str">
        <f t="shared" ref="C82:Q82" si="103">IF(C66=0,"-",(C72)/(C66))</f>
        <v>-</v>
      </c>
      <c r="D82" s="557" t="str">
        <f t="shared" si="103"/>
        <v>-</v>
      </c>
      <c r="E82" s="557" t="str">
        <f t="shared" si="103"/>
        <v>-</v>
      </c>
      <c r="F82" s="557" t="str">
        <f t="shared" si="103"/>
        <v>-</v>
      </c>
      <c r="G82" s="557">
        <f t="shared" si="103"/>
        <v>0</v>
      </c>
      <c r="H82" s="557">
        <f t="shared" si="103"/>
        <v>0</v>
      </c>
      <c r="I82" s="557">
        <f t="shared" si="103"/>
        <v>0</v>
      </c>
      <c r="J82" s="557" t="str">
        <f t="shared" si="103"/>
        <v>-</v>
      </c>
      <c r="K82" s="557">
        <f t="shared" si="103"/>
        <v>0</v>
      </c>
      <c r="L82" s="557" t="str">
        <f t="shared" si="103"/>
        <v>-</v>
      </c>
      <c r="M82" s="557" t="str">
        <f t="shared" si="103"/>
        <v>-</v>
      </c>
      <c r="N82" s="557" t="str">
        <f t="shared" si="103"/>
        <v>-</v>
      </c>
      <c r="O82" s="557" t="str">
        <f t="shared" si="103"/>
        <v>-</v>
      </c>
      <c r="P82" s="557" t="str">
        <f t="shared" si="103"/>
        <v>-</v>
      </c>
      <c r="Q82" s="557" t="str">
        <f t="shared" si="103"/>
        <v>-</v>
      </c>
      <c r="R82" s="557" t="str">
        <f t="shared" ref="R82:U82" si="104">IF(R66=0,"-",(R72)/(R66))</f>
        <v>-</v>
      </c>
      <c r="S82" s="557" t="str">
        <f t="shared" si="104"/>
        <v>-</v>
      </c>
      <c r="T82" s="557" t="str">
        <f t="shared" si="104"/>
        <v>-</v>
      </c>
      <c r="U82" s="557" t="str">
        <f t="shared" si="104"/>
        <v>-</v>
      </c>
      <c r="V82" s="545">
        <f t="shared" ref="V82" si="105">IF(V66=0,"-",(V72)/(V66))</f>
        <v>0</v>
      </c>
    </row>
    <row r="83" spans="1:22" ht="18" customHeight="1">
      <c r="A83" s="612" t="s">
        <v>910</v>
      </c>
      <c r="B83" s="613">
        <f>SUM($B70:B70)</f>
        <v>139</v>
      </c>
      <c r="C83" s="613">
        <f>SUM($B70:C70)</f>
        <v>139</v>
      </c>
      <c r="D83" s="613">
        <f>SUM($B70:D70)</f>
        <v>151</v>
      </c>
      <c r="E83" s="613">
        <f>SUM($B70:E70)</f>
        <v>202</v>
      </c>
      <c r="F83" s="613">
        <f>SUM($B70:F70)</f>
        <v>280</v>
      </c>
      <c r="G83" s="613">
        <f>SUM($B70:G70)</f>
        <v>280</v>
      </c>
      <c r="H83" s="613">
        <f>SUM($B70:H70)</f>
        <v>280</v>
      </c>
      <c r="I83" s="613">
        <f>SUM($B70:I70)</f>
        <v>280</v>
      </c>
      <c r="J83" s="613">
        <f>SUM($B70:J70)</f>
        <v>280</v>
      </c>
      <c r="K83" s="613">
        <f>SUM($B70:K70)</f>
        <v>280</v>
      </c>
      <c r="L83" s="613">
        <f>SUM($B70:L70)</f>
        <v>280</v>
      </c>
      <c r="M83" s="613">
        <f>SUM($B70:M70)</f>
        <v>280</v>
      </c>
      <c r="N83" s="613">
        <f>SUM($B70:N70)</f>
        <v>280</v>
      </c>
      <c r="O83" s="613">
        <f>SUM($B70:O70)</f>
        <v>280</v>
      </c>
      <c r="P83" s="613">
        <f>SUM($B70:P70)</f>
        <v>280</v>
      </c>
      <c r="Q83" s="613">
        <f>SUM($B70:Q70)</f>
        <v>280</v>
      </c>
      <c r="R83" s="613">
        <f>SUM($B70:R70)</f>
        <v>280</v>
      </c>
      <c r="S83" s="613">
        <f>SUM($B70:S70)</f>
        <v>280</v>
      </c>
      <c r="T83" s="613">
        <f>SUM($B70:T70)</f>
        <v>280</v>
      </c>
      <c r="U83" s="613">
        <f>SUM($B70:U70)</f>
        <v>280</v>
      </c>
      <c r="V83" s="544">
        <f>V70</f>
        <v>78</v>
      </c>
    </row>
    <row r="84" spans="1:22" ht="18" customHeight="1">
      <c r="A84" s="612" t="s">
        <v>916</v>
      </c>
      <c r="B84" s="613">
        <f>SUM($B71:B71)</f>
        <v>86</v>
      </c>
      <c r="C84" s="613">
        <f>SUM($B71:C71)</f>
        <v>86</v>
      </c>
      <c r="D84" s="613">
        <f>SUM($B71:D71)</f>
        <v>98</v>
      </c>
      <c r="E84" s="613">
        <f>SUM($B71:E71)</f>
        <v>149</v>
      </c>
      <c r="F84" s="613">
        <f>SUM($B71:F71)</f>
        <v>227</v>
      </c>
      <c r="G84" s="613">
        <f>SUM($B71:G71)</f>
        <v>227</v>
      </c>
      <c r="H84" s="613">
        <f>SUM($B71:H71)</f>
        <v>227</v>
      </c>
      <c r="I84" s="613">
        <f>SUM($B71:I71)</f>
        <v>227</v>
      </c>
      <c r="J84" s="613">
        <f>SUM($B71:J71)</f>
        <v>227</v>
      </c>
      <c r="K84" s="613">
        <f>SUM($B71:K71)</f>
        <v>227</v>
      </c>
      <c r="L84" s="613">
        <f>SUM($B71:L71)</f>
        <v>227</v>
      </c>
      <c r="M84" s="613">
        <f>SUM($B71:M71)</f>
        <v>227</v>
      </c>
      <c r="N84" s="613">
        <f>SUM($B71:N71)</f>
        <v>227</v>
      </c>
      <c r="O84" s="613">
        <f>SUM($B71:O71)</f>
        <v>227</v>
      </c>
      <c r="P84" s="613">
        <f>SUM($B71:P71)</f>
        <v>227</v>
      </c>
      <c r="Q84" s="613">
        <f>SUM($B71:Q71)</f>
        <v>227</v>
      </c>
      <c r="R84" s="613">
        <f>SUM($B71:R71)</f>
        <v>227</v>
      </c>
      <c r="S84" s="613">
        <f>SUM($B71:S71)</f>
        <v>227</v>
      </c>
      <c r="T84" s="613">
        <f>SUM($B71:T71)</f>
        <v>227</v>
      </c>
      <c r="U84" s="613">
        <f>SUM($B71:U71)</f>
        <v>227</v>
      </c>
      <c r="V84" s="544">
        <f>V71</f>
        <v>78</v>
      </c>
    </row>
    <row r="85" spans="1:22" ht="18" customHeight="1">
      <c r="A85" s="612" t="s">
        <v>917</v>
      </c>
      <c r="B85" s="613">
        <f>SUM($B72:B72)</f>
        <v>43</v>
      </c>
      <c r="C85" s="613">
        <f>SUM($B72:C72)</f>
        <v>43</v>
      </c>
      <c r="D85" s="613">
        <f>SUM($B72:D72)</f>
        <v>43</v>
      </c>
      <c r="E85" s="613">
        <f>SUM($B72:E72)</f>
        <v>43</v>
      </c>
      <c r="F85" s="613">
        <f>SUM($B72:F72)</f>
        <v>43</v>
      </c>
      <c r="G85" s="613">
        <f>SUM($B72:G72)</f>
        <v>43</v>
      </c>
      <c r="H85" s="613">
        <f>SUM($B72:H72)</f>
        <v>43</v>
      </c>
      <c r="I85" s="613">
        <f>SUM($B72:I72)</f>
        <v>43</v>
      </c>
      <c r="J85" s="613">
        <f>SUM($B72:J72)</f>
        <v>43</v>
      </c>
      <c r="K85" s="613">
        <f>SUM($B72:K72)</f>
        <v>43</v>
      </c>
      <c r="L85" s="613">
        <f>SUM($B72:L72)</f>
        <v>43</v>
      </c>
      <c r="M85" s="613">
        <f>SUM($B72:M72)</f>
        <v>43</v>
      </c>
      <c r="N85" s="613">
        <f>SUM($B72:N72)</f>
        <v>43</v>
      </c>
      <c r="O85" s="613">
        <f>SUM($B72:O72)</f>
        <v>43</v>
      </c>
      <c r="P85" s="613">
        <f>SUM($B72:P72)</f>
        <v>43</v>
      </c>
      <c r="Q85" s="613">
        <f>SUM($B72:Q72)</f>
        <v>43</v>
      </c>
      <c r="R85" s="613">
        <f>SUM($B72:R72)</f>
        <v>43</v>
      </c>
      <c r="S85" s="613">
        <f>SUM($B72:S72)</f>
        <v>43</v>
      </c>
      <c r="T85" s="613">
        <f>SUM($B72:T72)</f>
        <v>43</v>
      </c>
      <c r="U85" s="613">
        <f>SUM($B72:U72)</f>
        <v>43</v>
      </c>
      <c r="V85" s="544">
        <f>V72</f>
        <v>0</v>
      </c>
    </row>
    <row r="86" spans="1:22" ht="18" customHeight="1">
      <c r="A86" s="612" t="s">
        <v>918</v>
      </c>
      <c r="B86" s="613">
        <f>SUM($B73:B73)</f>
        <v>10</v>
      </c>
      <c r="C86" s="613">
        <f>SUM($B73:C73)</f>
        <v>10</v>
      </c>
      <c r="D86" s="613">
        <f>SUM($B73:D73)</f>
        <v>10</v>
      </c>
      <c r="E86" s="613">
        <f>SUM($B73:E73)</f>
        <v>10</v>
      </c>
      <c r="F86" s="613">
        <f>SUM($B73:F73)</f>
        <v>10</v>
      </c>
      <c r="G86" s="613">
        <f>SUM($B73:G73)</f>
        <v>10</v>
      </c>
      <c r="H86" s="613">
        <f>SUM($B73:H73)</f>
        <v>10</v>
      </c>
      <c r="I86" s="613">
        <f>SUM($B73:I73)</f>
        <v>10</v>
      </c>
      <c r="J86" s="613">
        <f>SUM($B73:J73)</f>
        <v>10</v>
      </c>
      <c r="K86" s="613">
        <f>SUM($B73:K73)</f>
        <v>10</v>
      </c>
      <c r="L86" s="613">
        <f>SUM($B73:L73)</f>
        <v>10</v>
      </c>
      <c r="M86" s="613">
        <f>SUM($B73:M73)</f>
        <v>10</v>
      </c>
      <c r="N86" s="613">
        <f>SUM($B73:N73)</f>
        <v>10</v>
      </c>
      <c r="O86" s="613">
        <f>SUM($B73:O73)</f>
        <v>10</v>
      </c>
      <c r="P86" s="613">
        <f>SUM($B73:P73)</f>
        <v>10</v>
      </c>
      <c r="Q86" s="613">
        <f>SUM($B73:Q73)</f>
        <v>10</v>
      </c>
      <c r="R86" s="613">
        <f>SUM($B73:R73)</f>
        <v>10</v>
      </c>
      <c r="S86" s="613">
        <f>SUM($B73:S73)</f>
        <v>10</v>
      </c>
      <c r="T86" s="613">
        <f>SUM($B73:T73)</f>
        <v>10</v>
      </c>
      <c r="U86" s="613">
        <f>SUM($B73:U73)</f>
        <v>10</v>
      </c>
      <c r="V86" s="544">
        <f>V73</f>
        <v>0</v>
      </c>
    </row>
    <row r="87" spans="1:22" ht="18" customHeight="1">
      <c r="A87" s="614" t="s">
        <v>308</v>
      </c>
      <c r="B87" s="615">
        <f>IF(B64=0,IF(B68=0,"-","100%"),B68/B64)</f>
        <v>1</v>
      </c>
      <c r="C87" s="615" t="str">
        <f t="shared" ref="C87:Q87" si="106">IF(C64=0,IF(C68=0,"-","100%"),C68/C64)</f>
        <v>-</v>
      </c>
      <c r="D87" s="615">
        <f t="shared" si="106"/>
        <v>1</v>
      </c>
      <c r="E87" s="615">
        <f t="shared" si="106"/>
        <v>0.96226415094339623</v>
      </c>
      <c r="F87" s="615">
        <f t="shared" si="106"/>
        <v>1.3</v>
      </c>
      <c r="G87" s="615">
        <f t="shared" si="106"/>
        <v>0</v>
      </c>
      <c r="H87" s="615">
        <f t="shared" si="106"/>
        <v>0</v>
      </c>
      <c r="I87" s="615">
        <f t="shared" si="106"/>
        <v>0</v>
      </c>
      <c r="J87" s="615">
        <f t="shared" si="106"/>
        <v>0</v>
      </c>
      <c r="K87" s="615">
        <f t="shared" si="106"/>
        <v>0</v>
      </c>
      <c r="L87" s="615" t="str">
        <f t="shared" si="106"/>
        <v>-</v>
      </c>
      <c r="M87" s="615" t="str">
        <f t="shared" si="106"/>
        <v>-</v>
      </c>
      <c r="N87" s="615" t="str">
        <f t="shared" si="106"/>
        <v>-</v>
      </c>
      <c r="O87" s="615" t="str">
        <f t="shared" si="106"/>
        <v>-</v>
      </c>
      <c r="P87" s="615" t="str">
        <f t="shared" si="106"/>
        <v>-</v>
      </c>
      <c r="Q87" s="615">
        <f t="shared" si="106"/>
        <v>0</v>
      </c>
      <c r="R87" s="615" t="str">
        <f t="shared" ref="R87:U87" si="107">IF(R64=0,IF(R68=0,"-","100%"),R68/R64)</f>
        <v>-</v>
      </c>
      <c r="S87" s="615" t="str">
        <f t="shared" si="107"/>
        <v>-</v>
      </c>
      <c r="T87" s="615" t="str">
        <f t="shared" si="107"/>
        <v>-</v>
      </c>
      <c r="U87" s="615" t="str">
        <f t="shared" si="107"/>
        <v>-</v>
      </c>
      <c r="V87" s="616">
        <f>IF(V64=0,"-",V68/V64)</f>
        <v>0.10985915492957747</v>
      </c>
    </row>
    <row r="88" spans="1:22" ht="18" customHeight="1">
      <c r="A88" s="614" t="s">
        <v>310</v>
      </c>
      <c r="B88" s="615">
        <f>IF(B64=0,IF(B69=0,"-","100%"),B69/B64)</f>
        <v>1</v>
      </c>
      <c r="C88" s="615" t="str">
        <f t="shared" ref="C88:Q88" si="108">IF(C64=0,IF(C69=0,"-","100%"),C69/C64)</f>
        <v>-</v>
      </c>
      <c r="D88" s="615">
        <f t="shared" si="108"/>
        <v>1</v>
      </c>
      <c r="E88" s="615">
        <f t="shared" si="108"/>
        <v>0.96226415094339623</v>
      </c>
      <c r="F88" s="615">
        <f t="shared" si="108"/>
        <v>1.3</v>
      </c>
      <c r="G88" s="615">
        <f t="shared" si="108"/>
        <v>0</v>
      </c>
      <c r="H88" s="615">
        <f t="shared" si="108"/>
        <v>0</v>
      </c>
      <c r="I88" s="615">
        <f t="shared" si="108"/>
        <v>0</v>
      </c>
      <c r="J88" s="615">
        <f t="shared" si="108"/>
        <v>0</v>
      </c>
      <c r="K88" s="615">
        <f t="shared" si="108"/>
        <v>0</v>
      </c>
      <c r="L88" s="615" t="str">
        <f t="shared" si="108"/>
        <v>-</v>
      </c>
      <c r="M88" s="615" t="str">
        <f t="shared" si="108"/>
        <v>-</v>
      </c>
      <c r="N88" s="615" t="str">
        <f t="shared" si="108"/>
        <v>-</v>
      </c>
      <c r="O88" s="615" t="str">
        <f t="shared" si="108"/>
        <v>-</v>
      </c>
      <c r="P88" s="615" t="str">
        <f t="shared" si="108"/>
        <v>-</v>
      </c>
      <c r="Q88" s="615">
        <f t="shared" si="108"/>
        <v>0</v>
      </c>
      <c r="R88" s="615" t="str">
        <f t="shared" ref="R88:U88" si="109">IF(R64=0,IF(R69=0,"-","100%"),R69/R64)</f>
        <v>-</v>
      </c>
      <c r="S88" s="615" t="str">
        <f t="shared" si="109"/>
        <v>-</v>
      </c>
      <c r="T88" s="615" t="str">
        <f t="shared" si="109"/>
        <v>-</v>
      </c>
      <c r="U88" s="615" t="str">
        <f t="shared" si="109"/>
        <v>-</v>
      </c>
      <c r="V88" s="616">
        <f>IF(V64=0,"-",V69/V64)</f>
        <v>0.10985915492957747</v>
      </c>
    </row>
    <row r="89" spans="1:22" ht="18" customHeight="1">
      <c r="A89" s="614" t="s">
        <v>314</v>
      </c>
      <c r="B89" s="615">
        <f t="shared" ref="B89:Q89" si="110">IF(B64=0,IF(B70=0,"-","100%"),B70/B64)</f>
        <v>1</v>
      </c>
      <c r="C89" s="615" t="str">
        <f t="shared" si="110"/>
        <v>-</v>
      </c>
      <c r="D89" s="615">
        <f t="shared" si="110"/>
        <v>1</v>
      </c>
      <c r="E89" s="615">
        <f t="shared" si="110"/>
        <v>0.96226415094339623</v>
      </c>
      <c r="F89" s="615">
        <f t="shared" si="110"/>
        <v>1.3</v>
      </c>
      <c r="G89" s="615">
        <f t="shared" si="110"/>
        <v>0</v>
      </c>
      <c r="H89" s="615">
        <f t="shared" si="110"/>
        <v>0</v>
      </c>
      <c r="I89" s="615">
        <f t="shared" si="110"/>
        <v>0</v>
      </c>
      <c r="J89" s="615">
        <f t="shared" si="110"/>
        <v>0</v>
      </c>
      <c r="K89" s="615">
        <f t="shared" si="110"/>
        <v>0</v>
      </c>
      <c r="L89" s="615" t="str">
        <f t="shared" si="110"/>
        <v>-</v>
      </c>
      <c r="M89" s="615" t="str">
        <f t="shared" si="110"/>
        <v>-</v>
      </c>
      <c r="N89" s="615" t="str">
        <f t="shared" si="110"/>
        <v>-</v>
      </c>
      <c r="O89" s="615" t="str">
        <f t="shared" si="110"/>
        <v>-</v>
      </c>
      <c r="P89" s="615" t="str">
        <f t="shared" si="110"/>
        <v>-</v>
      </c>
      <c r="Q89" s="615">
        <f t="shared" si="110"/>
        <v>0</v>
      </c>
      <c r="R89" s="615" t="str">
        <f t="shared" ref="R89:U89" si="111">IF(R64=0,IF(R70=0,"-","100%"),R70/R64)</f>
        <v>-</v>
      </c>
      <c r="S89" s="615" t="str">
        <f t="shared" si="111"/>
        <v>-</v>
      </c>
      <c r="T89" s="615" t="str">
        <f t="shared" si="111"/>
        <v>-</v>
      </c>
      <c r="U89" s="615" t="str">
        <f t="shared" si="111"/>
        <v>-</v>
      </c>
      <c r="V89" s="616">
        <f>IF(V64=0,"-",V70/V64)</f>
        <v>0.10985915492957747</v>
      </c>
    </row>
    <row r="90" spans="1:22" ht="18" customHeight="1">
      <c r="A90" s="614" t="s">
        <v>919</v>
      </c>
      <c r="B90" s="615">
        <f t="shared" ref="B90:Q90" si="112">IF(B65=0,IF(B71=0,"-","100%"),B71/B65)</f>
        <v>1</v>
      </c>
      <c r="C90" s="615" t="str">
        <f t="shared" si="112"/>
        <v>-</v>
      </c>
      <c r="D90" s="615">
        <f t="shared" si="112"/>
        <v>1</v>
      </c>
      <c r="E90" s="615">
        <f t="shared" si="112"/>
        <v>0.96226415094339623</v>
      </c>
      <c r="F90" s="615">
        <f t="shared" si="112"/>
        <v>1.3</v>
      </c>
      <c r="G90" s="615">
        <f t="shared" si="112"/>
        <v>0</v>
      </c>
      <c r="H90" s="615">
        <f t="shared" si="112"/>
        <v>0</v>
      </c>
      <c r="I90" s="615">
        <f t="shared" si="112"/>
        <v>0</v>
      </c>
      <c r="J90" s="615">
        <f t="shared" si="112"/>
        <v>0</v>
      </c>
      <c r="K90" s="615">
        <f t="shared" si="112"/>
        <v>0</v>
      </c>
      <c r="L90" s="615" t="str">
        <f t="shared" si="112"/>
        <v>-</v>
      </c>
      <c r="M90" s="615" t="str">
        <f t="shared" si="112"/>
        <v>-</v>
      </c>
      <c r="N90" s="615" t="str">
        <f t="shared" si="112"/>
        <v>-</v>
      </c>
      <c r="O90" s="615" t="str">
        <f t="shared" si="112"/>
        <v>-</v>
      </c>
      <c r="P90" s="615" t="str">
        <f t="shared" si="112"/>
        <v>-</v>
      </c>
      <c r="Q90" s="615">
        <f t="shared" si="112"/>
        <v>0</v>
      </c>
      <c r="R90" s="615" t="str">
        <f t="shared" ref="R90:U90" si="113">IF(R65=0,IF(R71=0,"-","100%"),R71/R65)</f>
        <v>-</v>
      </c>
      <c r="S90" s="615" t="str">
        <f t="shared" si="113"/>
        <v>-</v>
      </c>
      <c r="T90" s="615" t="str">
        <f t="shared" si="113"/>
        <v>-</v>
      </c>
      <c r="U90" s="615" t="str">
        <f t="shared" si="113"/>
        <v>-</v>
      </c>
      <c r="V90" s="616">
        <f>IF(V65=0,"-",V71/V65)</f>
        <v>0.19024390243902439</v>
      </c>
    </row>
    <row r="91" spans="1:22" ht="18" customHeight="1">
      <c r="A91" s="614" t="s">
        <v>920</v>
      </c>
      <c r="B91" s="615">
        <f t="shared" ref="B91:Q91" si="114">IF(B66=0,IF(B72=0,"-","100%"),B72/B66)</f>
        <v>1</v>
      </c>
      <c r="C91" s="615" t="str">
        <f t="shared" si="114"/>
        <v>-</v>
      </c>
      <c r="D91" s="615" t="str">
        <f t="shared" si="114"/>
        <v>-</v>
      </c>
      <c r="E91" s="615" t="str">
        <f t="shared" si="114"/>
        <v>-</v>
      </c>
      <c r="F91" s="615" t="str">
        <f t="shared" si="114"/>
        <v>-</v>
      </c>
      <c r="G91" s="615">
        <f t="shared" si="114"/>
        <v>0</v>
      </c>
      <c r="H91" s="615">
        <f t="shared" si="114"/>
        <v>0</v>
      </c>
      <c r="I91" s="615">
        <f t="shared" si="114"/>
        <v>0</v>
      </c>
      <c r="J91" s="615" t="str">
        <f t="shared" si="114"/>
        <v>-</v>
      </c>
      <c r="K91" s="615">
        <f t="shared" si="114"/>
        <v>0</v>
      </c>
      <c r="L91" s="615" t="str">
        <f t="shared" si="114"/>
        <v>-</v>
      </c>
      <c r="M91" s="615" t="str">
        <f t="shared" si="114"/>
        <v>-</v>
      </c>
      <c r="N91" s="615" t="str">
        <f t="shared" si="114"/>
        <v>-</v>
      </c>
      <c r="O91" s="615" t="str">
        <f t="shared" si="114"/>
        <v>-</v>
      </c>
      <c r="P91" s="615" t="str">
        <f t="shared" si="114"/>
        <v>-</v>
      </c>
      <c r="Q91" s="615" t="str">
        <f t="shared" si="114"/>
        <v>-</v>
      </c>
      <c r="R91" s="615" t="str">
        <f t="shared" ref="R91:U91" si="115">IF(R66=0,IF(R72=0,"-","100%"),R72/R66)</f>
        <v>-</v>
      </c>
      <c r="S91" s="615" t="str">
        <f t="shared" si="115"/>
        <v>-</v>
      </c>
      <c r="T91" s="615" t="str">
        <f t="shared" si="115"/>
        <v>-</v>
      </c>
      <c r="U91" s="615" t="str">
        <f t="shared" si="115"/>
        <v>-</v>
      </c>
      <c r="V91" s="616">
        <f>IF(V66=0,"-",V72/V66)</f>
        <v>0</v>
      </c>
    </row>
    <row r="92" spans="1:22" s="562" customFormat="1" ht="19.5" customHeight="1">
      <c r="A92" s="565" t="s">
        <v>317</v>
      </c>
      <c r="B92" s="566">
        <f>SUM($B64:B64)</f>
        <v>139</v>
      </c>
      <c r="C92" s="566">
        <f>SUM($B64:C64)</f>
        <v>139</v>
      </c>
      <c r="D92" s="566">
        <f>SUM($B64:D64)</f>
        <v>151</v>
      </c>
      <c r="E92" s="566">
        <f>SUM($B64:E64)</f>
        <v>204</v>
      </c>
      <c r="F92" s="566">
        <f>SUM($B64:F64)</f>
        <v>264</v>
      </c>
      <c r="G92" s="566">
        <f>SUM($B64:G64)</f>
        <v>488</v>
      </c>
      <c r="H92" s="566">
        <f>SUM($B64:H64)</f>
        <v>537</v>
      </c>
      <c r="I92" s="566">
        <f>SUM($B64:I64)</f>
        <v>587</v>
      </c>
      <c r="J92" s="566">
        <f>SUM($B64:J64)</f>
        <v>618</v>
      </c>
      <c r="K92" s="566">
        <f>SUM($B64:K64)</f>
        <v>704</v>
      </c>
      <c r="L92" s="566">
        <f>SUM($B64:L64)</f>
        <v>704</v>
      </c>
      <c r="M92" s="566">
        <f>SUM($B64:M64)</f>
        <v>704</v>
      </c>
      <c r="N92" s="566">
        <f>SUM($B64:N64)</f>
        <v>704</v>
      </c>
      <c r="O92" s="566">
        <f>SUM($B64:O64)</f>
        <v>704</v>
      </c>
      <c r="P92" s="566">
        <f>SUM($B64:P64)</f>
        <v>704</v>
      </c>
      <c r="Q92" s="566">
        <f>SUM($B64:Q64)</f>
        <v>710</v>
      </c>
      <c r="R92" s="566">
        <f>SUM($B64:R64)</f>
        <v>710</v>
      </c>
      <c r="S92" s="566">
        <f>SUM($B64:S64)</f>
        <v>710</v>
      </c>
      <c r="T92" s="566">
        <f>SUM($B64:T64)</f>
        <v>710</v>
      </c>
      <c r="U92" s="566">
        <f>SUM($B64:U64)</f>
        <v>710</v>
      </c>
      <c r="V92" s="567">
        <f>V64</f>
        <v>710</v>
      </c>
    </row>
    <row r="93" spans="1:22" s="562" customFormat="1" ht="19.5" customHeight="1">
      <c r="A93" s="565" t="s">
        <v>893</v>
      </c>
      <c r="B93" s="566">
        <f>SUM($B65:B65)</f>
        <v>86</v>
      </c>
      <c r="C93" s="566">
        <f>SUM($B65:C65)</f>
        <v>86</v>
      </c>
      <c r="D93" s="566">
        <f>SUM($B65:D65)</f>
        <v>98</v>
      </c>
      <c r="E93" s="566">
        <f>SUM($B65:E65)</f>
        <v>151</v>
      </c>
      <c r="F93" s="566">
        <f>SUM($B65:F65)</f>
        <v>211</v>
      </c>
      <c r="G93" s="566">
        <f>SUM($B65:G65)</f>
        <v>259</v>
      </c>
      <c r="H93" s="566">
        <f>SUM($B65:H65)</f>
        <v>289</v>
      </c>
      <c r="I93" s="566">
        <f>SUM($B65:I65)</f>
        <v>324</v>
      </c>
      <c r="J93" s="566">
        <f>SUM($B65:J65)</f>
        <v>355</v>
      </c>
      <c r="K93" s="566">
        <f>SUM($B65:K65)</f>
        <v>404</v>
      </c>
      <c r="L93" s="566">
        <f>SUM($B65:L65)</f>
        <v>404</v>
      </c>
      <c r="M93" s="566">
        <f>SUM($B65:M65)</f>
        <v>404</v>
      </c>
      <c r="N93" s="566">
        <f>SUM($B65:N65)</f>
        <v>404</v>
      </c>
      <c r="O93" s="566">
        <f>SUM($B65:O65)</f>
        <v>404</v>
      </c>
      <c r="P93" s="566">
        <f>SUM($B65:P65)</f>
        <v>404</v>
      </c>
      <c r="Q93" s="566">
        <f>SUM($B65:Q65)</f>
        <v>410</v>
      </c>
      <c r="R93" s="566">
        <f>SUM($B65:R65)</f>
        <v>410</v>
      </c>
      <c r="S93" s="566">
        <f>SUM($B65:S65)</f>
        <v>410</v>
      </c>
      <c r="T93" s="566">
        <f>SUM($B65:T65)</f>
        <v>410</v>
      </c>
      <c r="U93" s="566">
        <f>SUM($B65:U65)</f>
        <v>410</v>
      </c>
      <c r="V93" s="567">
        <f>V65</f>
        <v>410</v>
      </c>
    </row>
    <row r="94" spans="1:22" s="562" customFormat="1" ht="19.5" customHeight="1">
      <c r="A94" s="565" t="s">
        <v>899</v>
      </c>
      <c r="B94" s="566">
        <f>SUM($B66:B66)</f>
        <v>43</v>
      </c>
      <c r="C94" s="566">
        <f>SUM($B66:C66)</f>
        <v>43</v>
      </c>
      <c r="D94" s="566">
        <f>SUM($B66:D66)</f>
        <v>43</v>
      </c>
      <c r="E94" s="566">
        <f>SUM($B66:E66)</f>
        <v>43</v>
      </c>
      <c r="F94" s="566">
        <f>SUM($B66:F66)</f>
        <v>43</v>
      </c>
      <c r="G94" s="566">
        <f>SUM($B66:G66)</f>
        <v>219</v>
      </c>
      <c r="H94" s="566">
        <f>SUM($B66:H66)</f>
        <v>238</v>
      </c>
      <c r="I94" s="566">
        <f>SUM($B66:I66)</f>
        <v>253</v>
      </c>
      <c r="J94" s="566">
        <f>SUM($B66:J66)</f>
        <v>253</v>
      </c>
      <c r="K94" s="566">
        <f>SUM($B66:K66)</f>
        <v>290</v>
      </c>
      <c r="L94" s="566">
        <f>SUM($B66:L66)</f>
        <v>290</v>
      </c>
      <c r="M94" s="566">
        <f>SUM($B66:M66)</f>
        <v>290</v>
      </c>
      <c r="N94" s="566">
        <f>SUM($B66:N66)</f>
        <v>290</v>
      </c>
      <c r="O94" s="566">
        <f>SUM($B66:O66)</f>
        <v>290</v>
      </c>
      <c r="P94" s="566">
        <f>SUM($B66:P66)</f>
        <v>290</v>
      </c>
      <c r="Q94" s="566">
        <f>SUM($B66:Q66)</f>
        <v>290</v>
      </c>
      <c r="R94" s="566">
        <f>SUM($B66:R66)</f>
        <v>290</v>
      </c>
      <c r="S94" s="566">
        <f>SUM($B66:S66)</f>
        <v>290</v>
      </c>
      <c r="T94" s="566">
        <f>SUM($B66:T66)</f>
        <v>290</v>
      </c>
      <c r="U94" s="566">
        <f>SUM($B66:U66)</f>
        <v>290</v>
      </c>
      <c r="V94" s="567">
        <f>V66</f>
        <v>290</v>
      </c>
    </row>
    <row r="95" spans="1:22" s="562" customFormat="1" ht="19.5" customHeight="1">
      <c r="A95" s="565" t="s">
        <v>318</v>
      </c>
      <c r="B95" s="566">
        <f>SUM($B70:B70)</f>
        <v>139</v>
      </c>
      <c r="C95" s="566">
        <f>SUM($B70:C70)</f>
        <v>139</v>
      </c>
      <c r="D95" s="566">
        <f>SUM($B70:D70)</f>
        <v>151</v>
      </c>
      <c r="E95" s="566">
        <f>SUM($B70:E70)</f>
        <v>202</v>
      </c>
      <c r="F95" s="566">
        <f>SUM($B70:F70)</f>
        <v>280</v>
      </c>
      <c r="G95" s="566">
        <f>SUM($B70:G70)</f>
        <v>280</v>
      </c>
      <c r="H95" s="566">
        <f>SUM($B70:H70)</f>
        <v>280</v>
      </c>
      <c r="I95" s="566">
        <f>SUM($B70:I70)</f>
        <v>280</v>
      </c>
      <c r="J95" s="566">
        <f>SUM($B70:J70)</f>
        <v>280</v>
      </c>
      <c r="K95" s="566">
        <f>SUM($B70:K70)</f>
        <v>280</v>
      </c>
      <c r="L95" s="566">
        <f>SUM($B70:L70)</f>
        <v>280</v>
      </c>
      <c r="M95" s="566">
        <f>SUM($B70:M70)</f>
        <v>280</v>
      </c>
      <c r="N95" s="566">
        <f>SUM($B70:N70)</f>
        <v>280</v>
      </c>
      <c r="O95" s="566">
        <f>SUM($B70:O70)</f>
        <v>280</v>
      </c>
      <c r="P95" s="566">
        <f>SUM($B70:P70)</f>
        <v>280</v>
      </c>
      <c r="Q95" s="566">
        <f>SUM($B70:Q70)</f>
        <v>280</v>
      </c>
      <c r="R95" s="566">
        <f>SUM($B70:R70)</f>
        <v>280</v>
      </c>
      <c r="S95" s="566">
        <f>SUM($B70:S70)</f>
        <v>280</v>
      </c>
      <c r="T95" s="566">
        <f>SUM($B70:T70)</f>
        <v>280</v>
      </c>
      <c r="U95" s="566">
        <f>SUM($B70:U70)</f>
        <v>280</v>
      </c>
      <c r="V95" s="567">
        <f>V70</f>
        <v>78</v>
      </c>
    </row>
    <row r="96" spans="1:22" s="562" customFormat="1" ht="19.2" customHeight="1">
      <c r="A96" s="565" t="s">
        <v>894</v>
      </c>
      <c r="B96" s="566">
        <f>SUM($B71:B71)</f>
        <v>86</v>
      </c>
      <c r="C96" s="566">
        <f>SUM($B71:C71)</f>
        <v>86</v>
      </c>
      <c r="D96" s="566">
        <f>SUM($B71:D71)</f>
        <v>98</v>
      </c>
      <c r="E96" s="566">
        <f>SUM($B71:E71)</f>
        <v>149</v>
      </c>
      <c r="F96" s="566">
        <f>SUM($B71:F71)</f>
        <v>227</v>
      </c>
      <c r="G96" s="566">
        <f>SUM($B71:G71)</f>
        <v>227</v>
      </c>
      <c r="H96" s="566">
        <f>SUM($B71:H71)</f>
        <v>227</v>
      </c>
      <c r="I96" s="566">
        <f>SUM($B71:I71)</f>
        <v>227</v>
      </c>
      <c r="J96" s="566">
        <f>SUM($B71:J71)</f>
        <v>227</v>
      </c>
      <c r="K96" s="566">
        <f>SUM($B71:K71)</f>
        <v>227</v>
      </c>
      <c r="L96" s="566">
        <f>SUM($B71:L71)</f>
        <v>227</v>
      </c>
      <c r="M96" s="566">
        <f>SUM($B71:M71)</f>
        <v>227</v>
      </c>
      <c r="N96" s="566">
        <f>SUM($B71:N71)</f>
        <v>227</v>
      </c>
      <c r="O96" s="566">
        <f>SUM($B71:O71)</f>
        <v>227</v>
      </c>
      <c r="P96" s="566">
        <f>SUM($B71:P71)</f>
        <v>227</v>
      </c>
      <c r="Q96" s="566">
        <f>SUM($B71:Q71)</f>
        <v>227</v>
      </c>
      <c r="R96" s="566">
        <f>SUM($B71:R71)</f>
        <v>227</v>
      </c>
      <c r="S96" s="566">
        <f>SUM($B71:S71)</f>
        <v>227</v>
      </c>
      <c r="T96" s="566">
        <f>SUM($B71:T71)</f>
        <v>227</v>
      </c>
      <c r="U96" s="566">
        <f>SUM($B71:U71)</f>
        <v>227</v>
      </c>
      <c r="V96" s="567">
        <f>V71</f>
        <v>78</v>
      </c>
    </row>
    <row r="97" spans="1:22" s="562" customFormat="1" ht="19.2" customHeight="1">
      <c r="A97" s="565" t="s">
        <v>900</v>
      </c>
      <c r="B97" s="566">
        <f>SUM($B72:B72)</f>
        <v>43</v>
      </c>
      <c r="C97" s="566">
        <f>SUM($B72:C72)</f>
        <v>43</v>
      </c>
      <c r="D97" s="566">
        <f>SUM($B72:D72)</f>
        <v>43</v>
      </c>
      <c r="E97" s="566">
        <f>SUM($B72:E72)</f>
        <v>43</v>
      </c>
      <c r="F97" s="566">
        <f>SUM($B72:F72)</f>
        <v>43</v>
      </c>
      <c r="G97" s="566">
        <f>SUM($B72:G72)</f>
        <v>43</v>
      </c>
      <c r="H97" s="566">
        <f>SUM($B72:H72)</f>
        <v>43</v>
      </c>
      <c r="I97" s="566">
        <f>SUM($B72:I72)</f>
        <v>43</v>
      </c>
      <c r="J97" s="566">
        <f>SUM($B72:J72)</f>
        <v>43</v>
      </c>
      <c r="K97" s="566">
        <f>SUM($B72:K72)</f>
        <v>43</v>
      </c>
      <c r="L97" s="566">
        <f>SUM($B72:L72)</f>
        <v>43</v>
      </c>
      <c r="M97" s="566">
        <f>SUM($B72:M72)</f>
        <v>43</v>
      </c>
      <c r="N97" s="566">
        <f>SUM($B72:N72)</f>
        <v>43</v>
      </c>
      <c r="O97" s="566">
        <f>SUM($B72:O72)</f>
        <v>43</v>
      </c>
      <c r="P97" s="566">
        <f>SUM($B72:P72)</f>
        <v>43</v>
      </c>
      <c r="Q97" s="566">
        <f>SUM($B72:Q72)</f>
        <v>43</v>
      </c>
      <c r="R97" s="566">
        <f>SUM($B72:R72)</f>
        <v>43</v>
      </c>
      <c r="S97" s="566">
        <f>SUM($B72:S72)</f>
        <v>43</v>
      </c>
      <c r="T97" s="566">
        <f>SUM($B72:T72)</f>
        <v>43</v>
      </c>
      <c r="U97" s="566">
        <f>SUM($B72:U72)</f>
        <v>43</v>
      </c>
      <c r="V97" s="567">
        <f>V72</f>
        <v>0</v>
      </c>
    </row>
    <row r="98" spans="1:22" s="562" customFormat="1" ht="19.5" customHeight="1">
      <c r="A98" s="559" t="s">
        <v>319</v>
      </c>
      <c r="B98" s="560">
        <f t="shared" ref="B98:C98" si="116">IF($V$64=0,"-",B95/$V$64)</f>
        <v>0.19577464788732393</v>
      </c>
      <c r="C98" s="560">
        <f t="shared" si="116"/>
        <v>0.19577464788732393</v>
      </c>
      <c r="D98" s="560">
        <f>IF($V$64=0,"-",D95/$V$64)</f>
        <v>0.21267605633802816</v>
      </c>
      <c r="E98" s="560">
        <f t="shared" ref="E98:U98" si="117">IF($V$64=0,"-",E95/$V$64)</f>
        <v>0.28450704225352114</v>
      </c>
      <c r="F98" s="560">
        <f t="shared" si="117"/>
        <v>0.39436619718309857</v>
      </c>
      <c r="G98" s="560">
        <f t="shared" si="117"/>
        <v>0.39436619718309857</v>
      </c>
      <c r="H98" s="560">
        <f t="shared" si="117"/>
        <v>0.39436619718309857</v>
      </c>
      <c r="I98" s="560">
        <f t="shared" si="117"/>
        <v>0.39436619718309857</v>
      </c>
      <c r="J98" s="560">
        <f t="shared" si="117"/>
        <v>0.39436619718309857</v>
      </c>
      <c r="K98" s="560">
        <f t="shared" si="117"/>
        <v>0.39436619718309857</v>
      </c>
      <c r="L98" s="560">
        <f t="shared" si="117"/>
        <v>0.39436619718309857</v>
      </c>
      <c r="M98" s="560">
        <f t="shared" si="117"/>
        <v>0.39436619718309857</v>
      </c>
      <c r="N98" s="560">
        <f t="shared" si="117"/>
        <v>0.39436619718309857</v>
      </c>
      <c r="O98" s="560">
        <f t="shared" si="117"/>
        <v>0.39436619718309857</v>
      </c>
      <c r="P98" s="560">
        <f t="shared" si="117"/>
        <v>0.39436619718309857</v>
      </c>
      <c r="Q98" s="560">
        <f t="shared" si="117"/>
        <v>0.39436619718309857</v>
      </c>
      <c r="R98" s="560">
        <f t="shared" si="117"/>
        <v>0.39436619718309857</v>
      </c>
      <c r="S98" s="560">
        <f t="shared" si="117"/>
        <v>0.39436619718309857</v>
      </c>
      <c r="T98" s="560">
        <f t="shared" si="117"/>
        <v>0.39436619718309857</v>
      </c>
      <c r="U98" s="560">
        <f t="shared" si="117"/>
        <v>0.39436619718309857</v>
      </c>
      <c r="V98" s="616">
        <f t="shared" ref="V98" si="118">IF($V$64=0,"-",V95/$V$64)</f>
        <v>0.10985915492957747</v>
      </c>
    </row>
    <row r="99" spans="1:22" s="562" customFormat="1" ht="19.5" customHeight="1">
      <c r="A99" s="559" t="s">
        <v>921</v>
      </c>
      <c r="B99" s="560">
        <f t="shared" ref="B99:C99" si="119">IF($V$65=0,"-",B96/$V$65)</f>
        <v>0.2097560975609756</v>
      </c>
      <c r="C99" s="560">
        <f t="shared" si="119"/>
        <v>0.2097560975609756</v>
      </c>
      <c r="D99" s="560">
        <f>IF($V$65=0,"-",D96/$V$65)</f>
        <v>0.23902439024390243</v>
      </c>
      <c r="E99" s="560">
        <f t="shared" ref="E99:U99" si="120">IF($V$65=0,"-",E96/$V$65)</f>
        <v>0.36341463414634145</v>
      </c>
      <c r="F99" s="560">
        <f t="shared" si="120"/>
        <v>0.5536585365853659</v>
      </c>
      <c r="G99" s="560">
        <f t="shared" si="120"/>
        <v>0.5536585365853659</v>
      </c>
      <c r="H99" s="560">
        <f t="shared" si="120"/>
        <v>0.5536585365853659</v>
      </c>
      <c r="I99" s="560">
        <f t="shared" si="120"/>
        <v>0.5536585365853659</v>
      </c>
      <c r="J99" s="560">
        <f t="shared" si="120"/>
        <v>0.5536585365853659</v>
      </c>
      <c r="K99" s="560">
        <f t="shared" si="120"/>
        <v>0.5536585365853659</v>
      </c>
      <c r="L99" s="560">
        <f t="shared" si="120"/>
        <v>0.5536585365853659</v>
      </c>
      <c r="M99" s="560">
        <f t="shared" si="120"/>
        <v>0.5536585365853659</v>
      </c>
      <c r="N99" s="560">
        <f t="shared" si="120"/>
        <v>0.5536585365853659</v>
      </c>
      <c r="O99" s="560">
        <f t="shared" si="120"/>
        <v>0.5536585365853659</v>
      </c>
      <c r="P99" s="560">
        <f t="shared" si="120"/>
        <v>0.5536585365853659</v>
      </c>
      <c r="Q99" s="560">
        <f t="shared" si="120"/>
        <v>0.5536585365853659</v>
      </c>
      <c r="R99" s="560">
        <f t="shared" si="120"/>
        <v>0.5536585365853659</v>
      </c>
      <c r="S99" s="560">
        <f t="shared" si="120"/>
        <v>0.5536585365853659</v>
      </c>
      <c r="T99" s="560">
        <f t="shared" si="120"/>
        <v>0.5536585365853659</v>
      </c>
      <c r="U99" s="560">
        <f t="shared" si="120"/>
        <v>0.5536585365853659</v>
      </c>
      <c r="V99" s="616">
        <f t="shared" ref="V99" si="121">IF($V$65=0,"-",V96/$V$65)</f>
        <v>0.19024390243902439</v>
      </c>
    </row>
    <row r="100" spans="1:22" s="562" customFormat="1" ht="19.5" customHeight="1">
      <c r="A100" s="559" t="s">
        <v>922</v>
      </c>
      <c r="B100" s="560">
        <f t="shared" ref="B100:C100" si="122">IF($V$66=0,"-",B97/$V$66)</f>
        <v>0.14827586206896551</v>
      </c>
      <c r="C100" s="560">
        <f t="shared" si="122"/>
        <v>0.14827586206896551</v>
      </c>
      <c r="D100" s="560">
        <f>IF($V$66=0,"-",D97/$V$66)</f>
        <v>0.14827586206896551</v>
      </c>
      <c r="E100" s="560">
        <f t="shared" ref="E100:U100" si="123">IF($V$66=0,"-",E97/$V$66)</f>
        <v>0.14827586206896551</v>
      </c>
      <c r="F100" s="560">
        <f t="shared" si="123"/>
        <v>0.14827586206896551</v>
      </c>
      <c r="G100" s="560">
        <f t="shared" si="123"/>
        <v>0.14827586206896551</v>
      </c>
      <c r="H100" s="560">
        <f t="shared" si="123"/>
        <v>0.14827586206896551</v>
      </c>
      <c r="I100" s="560">
        <f t="shared" si="123"/>
        <v>0.14827586206896551</v>
      </c>
      <c r="J100" s="560">
        <f t="shared" si="123"/>
        <v>0.14827586206896551</v>
      </c>
      <c r="K100" s="560">
        <f t="shared" si="123"/>
        <v>0.14827586206896551</v>
      </c>
      <c r="L100" s="560">
        <f t="shared" si="123"/>
        <v>0.14827586206896551</v>
      </c>
      <c r="M100" s="560">
        <f t="shared" si="123"/>
        <v>0.14827586206896551</v>
      </c>
      <c r="N100" s="560">
        <f t="shared" si="123"/>
        <v>0.14827586206896551</v>
      </c>
      <c r="O100" s="560">
        <f t="shared" si="123"/>
        <v>0.14827586206896551</v>
      </c>
      <c r="P100" s="560">
        <f t="shared" si="123"/>
        <v>0.14827586206896551</v>
      </c>
      <c r="Q100" s="560">
        <f t="shared" si="123"/>
        <v>0.14827586206896551</v>
      </c>
      <c r="R100" s="560">
        <f t="shared" si="123"/>
        <v>0.14827586206896551</v>
      </c>
      <c r="S100" s="560">
        <f t="shared" si="123"/>
        <v>0.14827586206896551</v>
      </c>
      <c r="T100" s="560">
        <f t="shared" si="123"/>
        <v>0.14827586206896551</v>
      </c>
      <c r="U100" s="560">
        <f t="shared" si="123"/>
        <v>0.14827586206896551</v>
      </c>
      <c r="V100" s="616">
        <f t="shared" ref="V100" si="124">IF($V$66=0,"-",V97/$V$66)</f>
        <v>0</v>
      </c>
    </row>
    <row r="101" spans="1:22" s="562" customFormat="1" ht="19.5" customHeight="1">
      <c r="A101" s="563" t="s">
        <v>320</v>
      </c>
      <c r="B101" s="564">
        <f t="shared" ref="B101:C101" si="125">IF($V$64=0,"-",B92/$V$64)</f>
        <v>0.19577464788732393</v>
      </c>
      <c r="C101" s="564">
        <f t="shared" si="125"/>
        <v>0.19577464788732393</v>
      </c>
      <c r="D101" s="564">
        <f>IF($V$64=0,"-",D92/$V$64)</f>
        <v>0.21267605633802816</v>
      </c>
      <c r="E101" s="564">
        <f t="shared" ref="E101:U101" si="126">IF($V$64=0,"-",E92/$V$64)</f>
        <v>0.28732394366197184</v>
      </c>
      <c r="F101" s="564">
        <f t="shared" si="126"/>
        <v>0.37183098591549296</v>
      </c>
      <c r="G101" s="564">
        <f t="shared" si="126"/>
        <v>0.6873239436619718</v>
      </c>
      <c r="H101" s="564">
        <f t="shared" si="126"/>
        <v>0.75633802816901408</v>
      </c>
      <c r="I101" s="564">
        <f t="shared" si="126"/>
        <v>0.8267605633802817</v>
      </c>
      <c r="J101" s="564">
        <f t="shared" si="126"/>
        <v>0.87042253521126756</v>
      </c>
      <c r="K101" s="564">
        <f t="shared" si="126"/>
        <v>0.9915492957746479</v>
      </c>
      <c r="L101" s="564">
        <f t="shared" si="126"/>
        <v>0.9915492957746479</v>
      </c>
      <c r="M101" s="564">
        <f t="shared" si="126"/>
        <v>0.9915492957746479</v>
      </c>
      <c r="N101" s="564">
        <f t="shared" si="126"/>
        <v>0.9915492957746479</v>
      </c>
      <c r="O101" s="564">
        <f t="shared" si="126"/>
        <v>0.9915492957746479</v>
      </c>
      <c r="P101" s="564">
        <f t="shared" si="126"/>
        <v>0.9915492957746479</v>
      </c>
      <c r="Q101" s="564">
        <f t="shared" si="126"/>
        <v>1</v>
      </c>
      <c r="R101" s="564">
        <f t="shared" si="126"/>
        <v>1</v>
      </c>
      <c r="S101" s="564">
        <f t="shared" si="126"/>
        <v>1</v>
      </c>
      <c r="T101" s="564">
        <f t="shared" si="126"/>
        <v>1</v>
      </c>
      <c r="U101" s="564">
        <f t="shared" si="126"/>
        <v>1</v>
      </c>
      <c r="V101" s="616">
        <f t="shared" ref="V101" si="127">IF($V$64=0,"-",V92/$V$64)</f>
        <v>1</v>
      </c>
    </row>
    <row r="102" spans="1:22" s="562" customFormat="1" ht="19.5" customHeight="1">
      <c r="A102" s="563" t="s">
        <v>896</v>
      </c>
      <c r="B102" s="564">
        <f t="shared" ref="B102:C102" si="128">IF($V$65=0,"-",B93/$V$65)</f>
        <v>0.2097560975609756</v>
      </c>
      <c r="C102" s="564">
        <f t="shared" si="128"/>
        <v>0.2097560975609756</v>
      </c>
      <c r="D102" s="564">
        <f>IF($V$65=0,"-",D93/$V$65)</f>
        <v>0.23902439024390243</v>
      </c>
      <c r="E102" s="564">
        <f t="shared" ref="E102:U102" si="129">IF($V$65=0,"-",E93/$V$65)</f>
        <v>0.36829268292682926</v>
      </c>
      <c r="F102" s="564">
        <f t="shared" si="129"/>
        <v>0.51463414634146343</v>
      </c>
      <c r="G102" s="564">
        <f t="shared" si="129"/>
        <v>0.63170731707317074</v>
      </c>
      <c r="H102" s="564">
        <f t="shared" si="129"/>
        <v>0.70487804878048776</v>
      </c>
      <c r="I102" s="564">
        <f t="shared" si="129"/>
        <v>0.79024390243902443</v>
      </c>
      <c r="J102" s="564">
        <f t="shared" si="129"/>
        <v>0.86585365853658536</v>
      </c>
      <c r="K102" s="564">
        <f t="shared" si="129"/>
        <v>0.98536585365853657</v>
      </c>
      <c r="L102" s="564">
        <f t="shared" si="129"/>
        <v>0.98536585365853657</v>
      </c>
      <c r="M102" s="564">
        <f t="shared" si="129"/>
        <v>0.98536585365853657</v>
      </c>
      <c r="N102" s="564">
        <f t="shared" si="129"/>
        <v>0.98536585365853657</v>
      </c>
      <c r="O102" s="564">
        <f t="shared" si="129"/>
        <v>0.98536585365853657</v>
      </c>
      <c r="P102" s="564">
        <f t="shared" si="129"/>
        <v>0.98536585365853657</v>
      </c>
      <c r="Q102" s="564">
        <f t="shared" si="129"/>
        <v>1</v>
      </c>
      <c r="R102" s="564">
        <f t="shared" si="129"/>
        <v>1</v>
      </c>
      <c r="S102" s="564">
        <f t="shared" si="129"/>
        <v>1</v>
      </c>
      <c r="T102" s="564">
        <f t="shared" si="129"/>
        <v>1</v>
      </c>
      <c r="U102" s="564">
        <f t="shared" si="129"/>
        <v>1</v>
      </c>
      <c r="V102" s="616">
        <f t="shared" ref="V102" si="130">IF($V$65=0,"-",V93/$V$65)</f>
        <v>1</v>
      </c>
    </row>
    <row r="103" spans="1:22" s="562" customFormat="1" ht="19.5" customHeight="1">
      <c r="A103" s="563" t="s">
        <v>902</v>
      </c>
      <c r="B103" s="564">
        <f t="shared" ref="B103:C103" si="131">IF($V$66=0,"-",B94/$V$66)</f>
        <v>0.14827586206896551</v>
      </c>
      <c r="C103" s="564">
        <f t="shared" si="131"/>
        <v>0.14827586206896551</v>
      </c>
      <c r="D103" s="564">
        <f>IF($V$66=0,"-",D94/$V$66)</f>
        <v>0.14827586206896551</v>
      </c>
      <c r="E103" s="564">
        <f t="shared" ref="E103:U103" si="132">IF($V$66=0,"-",E94/$V$66)</f>
        <v>0.14827586206896551</v>
      </c>
      <c r="F103" s="564">
        <f t="shared" si="132"/>
        <v>0.14827586206896551</v>
      </c>
      <c r="G103" s="564">
        <f t="shared" si="132"/>
        <v>0.7551724137931034</v>
      </c>
      <c r="H103" s="564">
        <f t="shared" si="132"/>
        <v>0.82068965517241377</v>
      </c>
      <c r="I103" s="564">
        <f t="shared" si="132"/>
        <v>0.87241379310344824</v>
      </c>
      <c r="J103" s="564">
        <f t="shared" si="132"/>
        <v>0.87241379310344824</v>
      </c>
      <c r="K103" s="564">
        <f t="shared" si="132"/>
        <v>1</v>
      </c>
      <c r="L103" s="564">
        <f t="shared" si="132"/>
        <v>1</v>
      </c>
      <c r="M103" s="564">
        <f t="shared" si="132"/>
        <v>1</v>
      </c>
      <c r="N103" s="564">
        <f t="shared" si="132"/>
        <v>1</v>
      </c>
      <c r="O103" s="564">
        <f t="shared" si="132"/>
        <v>1</v>
      </c>
      <c r="P103" s="564">
        <f t="shared" si="132"/>
        <v>1</v>
      </c>
      <c r="Q103" s="564">
        <f t="shared" si="132"/>
        <v>1</v>
      </c>
      <c r="R103" s="564">
        <f t="shared" si="132"/>
        <v>1</v>
      </c>
      <c r="S103" s="564">
        <f t="shared" si="132"/>
        <v>1</v>
      </c>
      <c r="T103" s="564">
        <f t="shared" si="132"/>
        <v>1</v>
      </c>
      <c r="U103" s="564">
        <f t="shared" si="132"/>
        <v>1</v>
      </c>
      <c r="V103" s="616">
        <f t="shared" ref="V103" si="133">IF($V$66=0,"-",V94/$V$66)</f>
        <v>1</v>
      </c>
    </row>
    <row r="104" spans="1:22" ht="4.5" customHeight="1"/>
    <row r="105" spans="1:22" ht="24" customHeight="1">
      <c r="A105" s="970" t="s">
        <v>924</v>
      </c>
      <c r="B105" s="971"/>
      <c r="C105" s="971"/>
      <c r="D105" s="971"/>
      <c r="E105" s="971"/>
      <c r="F105" s="971"/>
      <c r="G105" s="971"/>
      <c r="H105" s="971"/>
      <c r="I105" s="971"/>
      <c r="J105" s="971"/>
      <c r="K105" s="971"/>
      <c r="L105" s="971"/>
      <c r="M105" s="971"/>
      <c r="N105" s="971"/>
      <c r="O105" s="971"/>
      <c r="P105" s="971"/>
      <c r="Q105" s="971"/>
      <c r="R105" s="971"/>
      <c r="S105" s="971"/>
      <c r="T105" s="971"/>
      <c r="U105" s="971"/>
      <c r="V105" s="971"/>
    </row>
    <row r="106" spans="1:22" ht="18" customHeight="1">
      <c r="A106" s="542" t="s">
        <v>303</v>
      </c>
      <c r="B106" s="543" cm="1">
        <f t="array" ref="B106">SUMPRODUCT((SVB!$R$2:$R$740&gt;=B311)*(SVB!$R$2:$R$740&lt;=B312)*(SVB!$B$2:$B$740="D1-091")*(ISNUMBER(SVB!$F$2:$F$740))*(SVB!$F$2:$F$740))</f>
        <v>2</v>
      </c>
      <c r="C106" s="543" cm="1">
        <f t="array" ref="C106">SUMPRODUCT((SVB!$R$2:$R$740&gt;=C311)*(SVB!$R$2:$R$740&lt;=C312)*(SVB!$B$2:$B$740="D1-091")*(ISNUMBER(SVB!$F$2:$F$740))*(SVB!$F$2:$F$740))</f>
        <v>0</v>
      </c>
      <c r="D106" s="543" cm="1">
        <f t="array" ref="D106">SUMPRODUCT((SVB!$R$2:$R$740&gt;=D311)*(SVB!$R$2:$R$740&lt;=D312)*(SVB!$B$2:$B$740="D1-091")*(ISNUMBER(SVB!$F$2:$F$740))*(SVB!$F$2:$F$740))</f>
        <v>0</v>
      </c>
      <c r="E106" s="543" cm="1">
        <f t="array" ref="E106">SUMPRODUCT((SVB!$R$2:$R$740&gt;=E311)*(SVB!$R$2:$R$740&lt;=E312)*(SVB!$B$2:$B$740="D1-091")*(ISNUMBER(SVB!$F$2:$F$740))*(SVB!$F$2:$F$740))</f>
        <v>0</v>
      </c>
      <c r="F106" s="543" cm="1">
        <f t="array" ref="F106">SUMPRODUCT((SVB!$R$2:$R$740&gt;=F311)*(SVB!$R$2:$R$740&lt;=F312)*(SVB!$B$2:$B$740="D1-091")*(ISNUMBER(SVB!$F$2:$F$740))*(SVB!$F$2:$F$740))</f>
        <v>0</v>
      </c>
      <c r="G106" s="543" cm="1">
        <f t="array" ref="G106">SUMPRODUCT((SVB!$R$2:$R$740&gt;=G311)*(SVB!$R$2:$R$740&lt;=G312)*(SVB!$B$2:$B$740="D1-091")*(ISNUMBER(SVB!$F$2:$F$740))*(SVB!$F$2:$F$740))</f>
        <v>0</v>
      </c>
      <c r="H106" s="543" cm="1">
        <f t="array" ref="H106">SUMPRODUCT((SVB!$R$2:$R$740&gt;=H311)*(SVB!$R$2:$R$740&lt;=H312)*(SVB!$B$2:$B$740="D1-091")*(ISNUMBER(SVB!$F$2:$F$740))*(SVB!$F$2:$F$740))</f>
        <v>0</v>
      </c>
      <c r="I106" s="543" cm="1">
        <f t="array" ref="I106">SUMPRODUCT((SVB!$R$2:$R$740&gt;=I311)*(SVB!$R$2:$R$740&lt;=I312)*(SVB!$B$2:$B$740="D1-091")*(ISNUMBER(SVB!$F$2:$F$740))*(SVB!$F$2:$F$740))</f>
        <v>0</v>
      </c>
      <c r="J106" s="543" cm="1">
        <f t="array" ref="J106">SUMPRODUCT((SVB!$R$2:$R$740&gt;=J311)*(SVB!$R$2:$R$740&lt;=J312)*(SVB!$B$2:$B$740="D1-091")*(ISNUMBER(SVB!$F$2:$F$740))*(SVB!$F$2:$F$740))</f>
        <v>0</v>
      </c>
      <c r="K106" s="543" cm="1">
        <f t="array" ref="K106">SUMPRODUCT((SVB!$R$2:$R$740&gt;=K311)*(SVB!$R$2:$R$740&lt;=K312)*(SVB!$B$2:$B$740="D1-091")*(ISNUMBER(SVB!$F$2:$F$740))*(SVB!$F$2:$F$740))</f>
        <v>0</v>
      </c>
      <c r="L106" s="543" cm="1">
        <f t="array" ref="L106">SUMPRODUCT((SVB!$R$2:$R$740&gt;=L311)*(SVB!$R$2:$R$740&lt;=L312)*(SVB!$B$2:$B$740="D1-091")*(ISNUMBER(SVB!$F$2:$F$740))*(SVB!$F$2:$F$740))</f>
        <v>0</v>
      </c>
      <c r="M106" s="543" cm="1">
        <f t="array" ref="M106">SUMPRODUCT((SVB!$R$2:$R$740&gt;=M311)*(SVB!$R$2:$R$740&lt;=M312)*(SVB!$B$2:$B$740="D1-091")*(ISNUMBER(SVB!$F$2:$F$740))*(SVB!$F$2:$F$740))</f>
        <v>0</v>
      </c>
      <c r="N106" s="543" cm="1">
        <f t="array" ref="N106">SUMPRODUCT((SVB!$R$2:$R$740&gt;=N311)*(SVB!$R$2:$R$740&lt;=N312)*(SVB!$B$2:$B$740="D1-091")*(ISNUMBER(SVB!$F$2:$F$740))*(SVB!$F$2:$F$740))</f>
        <v>0</v>
      </c>
      <c r="O106" s="543" cm="1">
        <f t="array" ref="O106">SUMPRODUCT((SVB!$R$2:$R$740&gt;=O311)*(SVB!$R$2:$R$740&lt;=O312)*(SVB!$B$2:$B$740="D1-091")*(ISNUMBER(SVB!$F$2:$F$740))*(SVB!$F$2:$F$740))</f>
        <v>0</v>
      </c>
      <c r="P106" s="543" cm="1">
        <f t="array" ref="P106">SUMPRODUCT((SVB!$R$2:$R$740&gt;=P311)*(SVB!$R$2:$R$740&lt;=P312)*(SVB!$B$2:$B$740="D1-091")*(ISNUMBER(SVB!$F$2:$F$740))*(SVB!$F$2:$F$740))</f>
        <v>50</v>
      </c>
      <c r="Q106" s="543" cm="1">
        <f t="array" ref="Q106">SUMPRODUCT((SVB!$R$2:$R$740&gt;=Q311)*(SVB!$R$2:$R$740&lt;=Q312)*(SVB!$B$2:$B$740="D1-091")*(ISNUMBER(SVB!$F$2:$F$740))*(SVB!$F$2:$F$740))</f>
        <v>91</v>
      </c>
      <c r="R106" s="543" cm="1">
        <f t="array" ref="R106">SUMPRODUCT((SVB!$R$2:$R$740&gt;=R311)*(SVB!$R$2:$R$740&lt;=R312)*(SVB!$B$2:$B$740="D1-091")*(ISNUMBER(SVB!$F$2:$F$740))*(SVB!$F$2:$F$740))</f>
        <v>4</v>
      </c>
      <c r="S106" s="543" cm="1">
        <f t="array" ref="S106">SUMPRODUCT((SVB!$R$2:$R$740&gt;=S311)*(SVB!$R$2:$R$740&lt;=S312)*(SVB!$B$2:$B$740="D1-091")*(ISNUMBER(SVB!$F$2:$F$740))*(SVB!$F$2:$F$740))</f>
        <v>0</v>
      </c>
      <c r="T106" s="543" cm="1">
        <f t="array" ref="T106">SUMPRODUCT((SVB!$R$2:$R$740&gt;=T311)*(SVB!$R$2:$R$740&lt;=T312)*(SVB!$B$2:$B$740="D1-091")*(ISNUMBER(SVB!$F$2:$F$740))*(SVB!$F$2:$F$740))</f>
        <v>0</v>
      </c>
      <c r="U106" s="543" cm="1">
        <f t="array" ref="U106">SUMPRODUCT((SVB!$R$2:$R$740&gt;=U311)*(SVB!$R$2:$R$740&lt;=U312)*(SVB!$B$2:$B$740="D1-091")*(ISNUMBER(SVB!$F$2:$F$740))*(SVB!$F$2:$F$740))</f>
        <v>0</v>
      </c>
      <c r="V106" s="544" cm="1">
        <f t="array" ref="V106">SUMPRODUCT((SVB!$B$2:$B$740="D1-091")*(ISNUMBER(SVB!$F$2:$F$740))*(SVB!$F$2:$F$740))</f>
        <v>147</v>
      </c>
    </row>
    <row r="107" spans="1:22" ht="18" customHeight="1">
      <c r="A107" s="449" t="s">
        <v>907</v>
      </c>
      <c r="B107" s="450" cm="1">
        <f t="array" ref="B107">SUMPRODUCT((SVB!$S$2:$S$740&gt;=B311)*(SVB!$S$2:$S$740&lt;=B312)*(SVB!$B$2:$B$740="D1-091")*(ISNUMBER(SVB!$M$2:$M$740))*(SVB!$M$2:$M$740))</f>
        <v>2</v>
      </c>
      <c r="C107" s="450" cm="1">
        <f t="array" ref="C107">SUMPRODUCT((SVB!$S$2:$S$740&gt;=C311)*(SVB!$S$2:$S$740&lt;=C312)*(SVB!$B$2:$B$740="D1-091")*(ISNUMBER(SVB!$M$2:$M$740))*(SVB!$M$2:$M$740))</f>
        <v>0</v>
      </c>
      <c r="D107" s="450" cm="1">
        <f t="array" ref="D107">SUMPRODUCT((SVB!$S$2:$S$740&gt;=D311)*(SVB!$S$2:$S$740&lt;=D312)*(SVB!$B$2:$B$740="D1-091")*(ISNUMBER(SVB!$M$2:$M$740))*(SVB!$M$2:$M$740))</f>
        <v>0</v>
      </c>
      <c r="E107" s="450" cm="1">
        <f t="array" ref="E107">SUMPRODUCT((SVB!$S$2:$S$740&gt;=E311)*(SVB!$S$2:$S$740&lt;=E312)*(SVB!$B$2:$B$740="D1-091")*(ISNUMBER(SVB!$M$2:$M$740))*(SVB!$M$2:$M$740))</f>
        <v>0</v>
      </c>
      <c r="F107" s="450" cm="1">
        <f t="array" ref="F107">SUMPRODUCT((SVB!$S$2:$S$740&gt;=F311)*(SVB!$S$2:$S$740&lt;=F312)*(SVB!$B$2:$B$740="D1-091")*(ISNUMBER(SVB!$M$2:$M$740))*(SVB!$M$2:$M$740))</f>
        <v>0</v>
      </c>
      <c r="G107" s="450" cm="1">
        <f t="array" ref="G107">SUMPRODUCT((SVB!$S$2:$S$740&gt;=G311)*(SVB!$S$2:$S$740&lt;=G312)*(SVB!$B$2:$B$740="D1-091")*(ISNUMBER(SVB!$M$2:$M$740))*(SVB!$M$2:$M$740))</f>
        <v>0</v>
      </c>
      <c r="H107" s="450" cm="1">
        <f t="array" ref="H107">SUMPRODUCT((SVB!$S$2:$S$740&gt;=H311)*(SVB!$S$2:$S$740&lt;=H312)*(SVB!$B$2:$B$740="D1-091")*(ISNUMBER(SVB!$M$2:$M$740))*(SVB!$M$2:$M$740))</f>
        <v>0</v>
      </c>
      <c r="I107" s="450" cm="1">
        <f t="array" ref="I107">SUMPRODUCT((SVB!$S$2:$S$740&gt;=I311)*(SVB!$S$2:$S$740&lt;=I312)*(SVB!$B$2:$B$740="D1-091")*(ISNUMBER(SVB!$M$2:$M$740))*(SVB!$M$2:$M$740))</f>
        <v>0</v>
      </c>
      <c r="J107" s="450" cm="1">
        <f t="array" ref="J107">SUMPRODUCT((SVB!$S$2:$S$740&gt;=J311)*(SVB!$S$2:$S$740&lt;=J312)*(SVB!$B$2:$B$740="D1-091")*(ISNUMBER(SVB!$M$2:$M$740))*(SVB!$M$2:$M$740))</f>
        <v>0</v>
      </c>
      <c r="K107" s="450" cm="1">
        <f t="array" ref="K107">SUMPRODUCT((SVB!$S$2:$S$740&gt;=K311)*(SVB!$S$2:$S$740&lt;=K312)*(SVB!$B$2:$B$740="D1-091")*(ISNUMBER(SVB!$M$2:$M$740))*(SVB!$M$2:$M$740))</f>
        <v>0</v>
      </c>
      <c r="L107" s="450" cm="1">
        <f t="array" ref="L107">SUMPRODUCT((SVB!$S$2:$S$740&gt;=L311)*(SVB!$S$2:$S$740&lt;=L312)*(SVB!$B$2:$B$740="D1-091")*(ISNUMBER(SVB!$M$2:$M$740))*(SVB!$M$2:$M$740))</f>
        <v>0</v>
      </c>
      <c r="M107" s="450" cm="1">
        <f t="array" ref="M107">SUMPRODUCT((SVB!$S$2:$S$740&gt;=M311)*(SVB!$S$2:$S$740&lt;=M312)*(SVB!$B$2:$B$740="D1-091")*(ISNUMBER(SVB!$M$2:$M$740))*(SVB!$M$2:$M$740))</f>
        <v>0</v>
      </c>
      <c r="N107" s="450" cm="1">
        <f t="array" ref="N107">SUMPRODUCT((SVB!$S$2:$S$740&gt;=N311)*(SVB!$S$2:$S$740&lt;=N312)*(SVB!$B$2:$B$740="D1-091")*(ISNUMBER(SVB!$M$2:$M$740))*(SVB!$M$2:$M$740))</f>
        <v>0</v>
      </c>
      <c r="O107" s="450" cm="1">
        <f t="array" ref="O107">SUMPRODUCT((SVB!$S$2:$S$740&gt;=O311)*(SVB!$S$2:$S$740&lt;=O312)*(SVB!$B$2:$B$740="D1-091")*(ISNUMBER(SVB!$M$2:$M$740))*(SVB!$M$2:$M$740))</f>
        <v>0</v>
      </c>
      <c r="P107" s="450" cm="1">
        <f t="array" ref="P107">SUMPRODUCT((SVB!$S$2:$S$740&gt;=P311)*(SVB!$S$2:$S$740&lt;=P312)*(SVB!$B$2:$B$740="D1-091")*(ISNUMBER(SVB!$M$2:$M$740))*(SVB!$M$2:$M$740))</f>
        <v>0</v>
      </c>
      <c r="Q107" s="450" cm="1">
        <f t="array" ref="Q107">SUMPRODUCT((SVB!$S$2:$S$740&gt;=Q311)*(SVB!$S$2:$S$740&lt;=Q312)*(SVB!$B$2:$B$740="D1-091")*(ISNUMBER(SVB!$M$2:$M$740))*(SVB!$M$2:$M$740))</f>
        <v>0</v>
      </c>
      <c r="R107" s="450" cm="1">
        <f t="array" ref="R107">SUMPRODUCT((SVB!$S$2:$S$740&gt;=R311)*(SVB!$S$2:$S$740&lt;=R312)*(SVB!$B$2:$B$740="D1-091")*(ISNUMBER(SVB!$M$2:$M$740))*(SVB!$M$2:$M$740))</f>
        <v>0</v>
      </c>
      <c r="S107" s="450" cm="1">
        <f t="array" ref="S107">SUMPRODUCT((SVB!$S$2:$S$740&gt;=S311)*(SVB!$S$2:$S$740&lt;=S312)*(SVB!$B$2:$B$740="D1-091")*(ISNUMBER(SVB!$M$2:$M$740))*(SVB!$M$2:$M$740))</f>
        <v>0</v>
      </c>
      <c r="T107" s="450" cm="1">
        <f t="array" ref="T107">SUMPRODUCT((SVB!$S$2:$S$740&gt;=T311)*(SVB!$S$2:$S$740&lt;=T312)*(SVB!$B$2:$B$740="D1-091")*(ISNUMBER(SVB!$M$2:$M$740))*(SVB!$M$2:$M$740))</f>
        <v>0</v>
      </c>
      <c r="U107" s="450" cm="1">
        <f t="array" ref="U107">SUMPRODUCT((SVB!$S$2:$S$740&gt;=U311)*(SVB!$S$2:$S$740&lt;=U312)*(SVB!$B$2:$B$740="D1-091")*(ISNUMBER(SVB!$M$2:$M$740))*(SVB!$M$2:$M$740))</f>
        <v>0</v>
      </c>
      <c r="V107" s="544">
        <f>SUM(F107:U107)</f>
        <v>0</v>
      </c>
    </row>
    <row r="108" spans="1:22" ht="18" customHeight="1">
      <c r="A108" s="449" t="s">
        <v>908</v>
      </c>
      <c r="B108" s="450" cm="1">
        <f t="array" ref="B108">SUMPRODUCT((SVB!$S$2:$S$740&gt;=B311)*(SVB!$S$2:$S$740&lt;=B312)*(SVB!$B$2:$B$740="D1-091")*(ISNUMBER(SVB!$N$2:$N$740))*(SVB!$N$2:$N$740))</f>
        <v>2</v>
      </c>
      <c r="C108" s="450" cm="1">
        <f t="array" ref="C108">SUMPRODUCT((SVB!$S$2:$S$740&gt;=C311)*(SVB!$S$2:$S$740&lt;=C312)*(SVB!$B$2:$B$740="D1-091")*(ISNUMBER(SVB!$N$2:$N$740))*(SVB!$N$2:$N$740))</f>
        <v>0</v>
      </c>
      <c r="D108" s="450" cm="1">
        <f t="array" ref="D108">SUMPRODUCT((SVB!$S$2:$S$740&gt;=D311)*(SVB!$S$2:$S$740&lt;=D312)*(SVB!$B$2:$B$740="D1-091")*(ISNUMBER(SVB!$N$2:$N$740))*(SVB!$N$2:$N$740))</f>
        <v>0</v>
      </c>
      <c r="E108" s="450" cm="1">
        <f t="array" ref="E108">SUMPRODUCT((SVB!$S$2:$S$740&gt;=E311)*(SVB!$S$2:$S$740&lt;=E312)*(SVB!$B$2:$B$740="D1-091")*(ISNUMBER(SVB!$N$2:$N$740))*(SVB!$N$2:$N$740))</f>
        <v>0</v>
      </c>
      <c r="F108" s="450" cm="1">
        <f t="array" ref="F108">SUMPRODUCT((SVB!$S$2:$S$740&gt;=F311)*(SVB!$S$2:$S$740&lt;=F312)*(SVB!$B$2:$B$740="D1-091")*(ISNUMBER(SVB!$N$2:$N$740))*(SVB!$N$2:$N$740))</f>
        <v>0</v>
      </c>
      <c r="G108" s="450" cm="1">
        <f t="array" ref="G108">SUMPRODUCT((SVB!$S$2:$S$740&gt;=G311)*(SVB!$S$2:$S$740&lt;=G312)*(SVB!$B$2:$B$740="D1-091")*(ISNUMBER(SVB!$N$2:$N$740))*(SVB!$N$2:$N$740))</f>
        <v>0</v>
      </c>
      <c r="H108" s="450" cm="1">
        <f t="array" ref="H108">SUMPRODUCT((SVB!$S$2:$S$740&gt;=H311)*(SVB!$S$2:$S$740&lt;=H312)*(SVB!$B$2:$B$740="D1-091")*(ISNUMBER(SVB!$N$2:$N$740))*(SVB!$N$2:$N$740))</f>
        <v>0</v>
      </c>
      <c r="I108" s="450" cm="1">
        <f t="array" ref="I108">SUMPRODUCT((SVB!$S$2:$S$740&gt;=I311)*(SVB!$S$2:$S$740&lt;=I312)*(SVB!$B$2:$B$740="D1-091")*(ISNUMBER(SVB!$N$2:$N$740))*(SVB!$N$2:$N$740))</f>
        <v>0</v>
      </c>
      <c r="J108" s="450" cm="1">
        <f t="array" ref="J108">SUMPRODUCT((SVB!$S$2:$S$740&gt;=J311)*(SVB!$S$2:$S$740&lt;=J312)*(SVB!$B$2:$B$740="D1-091")*(ISNUMBER(SVB!$N$2:$N$740))*(SVB!$N$2:$N$740))</f>
        <v>0</v>
      </c>
      <c r="K108" s="450" cm="1">
        <f t="array" ref="K108">SUMPRODUCT((SVB!$S$2:$S$740&gt;=K311)*(SVB!$S$2:$S$740&lt;=K312)*(SVB!$B$2:$B$740="D1-091")*(ISNUMBER(SVB!$N$2:$N$740))*(SVB!$N$2:$N$740))</f>
        <v>0</v>
      </c>
      <c r="L108" s="450" cm="1">
        <f t="array" ref="L108">SUMPRODUCT((SVB!$S$2:$S$740&gt;=L311)*(SVB!$S$2:$S$740&lt;=L312)*(SVB!$B$2:$B$740="D1-091")*(ISNUMBER(SVB!$N$2:$N$740))*(SVB!$N$2:$N$740))</f>
        <v>0</v>
      </c>
      <c r="M108" s="450" cm="1">
        <f t="array" ref="M108">SUMPRODUCT((SVB!$S$2:$S$740&gt;=M311)*(SVB!$S$2:$S$740&lt;=M312)*(SVB!$B$2:$B$740="D1-091")*(ISNUMBER(SVB!$N$2:$N$740))*(SVB!$N$2:$N$740))</f>
        <v>0</v>
      </c>
      <c r="N108" s="450" cm="1">
        <f t="array" ref="N108">SUMPRODUCT((SVB!$S$2:$S$740&gt;=N311)*(SVB!$S$2:$S$740&lt;=N312)*(SVB!$B$2:$B$740="D1-091")*(ISNUMBER(SVB!$N$2:$N$740))*(SVB!$N$2:$N$740))</f>
        <v>0</v>
      </c>
      <c r="O108" s="450" cm="1">
        <f t="array" ref="O108">SUMPRODUCT((SVB!$S$2:$S$740&gt;=O311)*(SVB!$S$2:$S$740&lt;=O312)*(SVB!$B$2:$B$740="D1-091")*(ISNUMBER(SVB!$N$2:$N$740))*(SVB!$N$2:$N$740))</f>
        <v>0</v>
      </c>
      <c r="P108" s="450" cm="1">
        <f t="array" ref="P108">SUMPRODUCT((SVB!$S$2:$S$740&gt;=P311)*(SVB!$S$2:$S$740&lt;=P312)*(SVB!$B$2:$B$740="D1-091")*(ISNUMBER(SVB!$N$2:$N$740))*(SVB!$N$2:$N$740))</f>
        <v>0</v>
      </c>
      <c r="Q108" s="450" cm="1">
        <f t="array" ref="Q108">SUMPRODUCT((SVB!$S$2:$S$740&gt;=Q311)*(SVB!$S$2:$S$740&lt;=Q312)*(SVB!$B$2:$B$740="D1-091")*(ISNUMBER(SVB!$N$2:$N$740))*(SVB!$N$2:$N$740))</f>
        <v>0</v>
      </c>
      <c r="R108" s="450" cm="1">
        <f t="array" ref="R108">SUMPRODUCT((SVB!$S$2:$S$740&gt;=R311)*(SVB!$S$2:$S$740&lt;=R312)*(SVB!$B$2:$B$740="D1-091")*(ISNUMBER(SVB!$N$2:$N$740))*(SVB!$N$2:$N$740))</f>
        <v>0</v>
      </c>
      <c r="S108" s="450" cm="1">
        <f t="array" ref="S108">SUMPRODUCT((SVB!$S$2:$S$740&gt;=S311)*(SVB!$S$2:$S$740&lt;=S312)*(SVB!$B$2:$B$740="D1-091")*(ISNUMBER(SVB!$N$2:$N$740))*(SVB!$N$2:$N$740))</f>
        <v>0</v>
      </c>
      <c r="T108" s="450" cm="1">
        <f t="array" ref="T108">SUMPRODUCT((SVB!$S$2:$S$740&gt;=T311)*(SVB!$S$2:$S$740&lt;=T312)*(SVB!$B$2:$B$740="D1-091")*(ISNUMBER(SVB!$N$2:$N$740))*(SVB!$N$2:$N$740))</f>
        <v>0</v>
      </c>
      <c r="U108" s="450" cm="1">
        <f t="array" ref="U108">SUMPRODUCT((SVB!$S$2:$S$740&gt;=U311)*(SVB!$S$2:$S$740&lt;=U312)*(SVB!$B$2:$B$740="D1-091")*(ISNUMBER(SVB!$N$2:$N$740))*(SVB!$N$2:$N$740))</f>
        <v>0</v>
      </c>
      <c r="V108" s="544">
        <f>SUM(F108:U108)</f>
        <v>0</v>
      </c>
    </row>
    <row r="109" spans="1:22" ht="18" customHeight="1">
      <c r="A109" s="449" t="s">
        <v>909</v>
      </c>
      <c r="B109" s="450" cm="1">
        <f t="array" ref="B109">SUMPRODUCT((SVB!$S$2:$S$740&gt;=B311)*(SVB!$S$2:$S$740&lt;=B312)*(SVB!$B$2:$B$740="D1-091")*(ISNUMBER(SVB!$O$2:$O$740))*(SVB!$O$2:$O$740))</f>
        <v>2</v>
      </c>
      <c r="C109" s="450" cm="1">
        <f t="array" ref="C109">SUMPRODUCT((SVB!$S$2:$S$740&gt;=C311)*(SVB!$S$2:$S$740&lt;=C312)*(SVB!$B$2:$B$740="D1-091")*(ISNUMBER(SVB!$O$2:$O$740))*(SVB!$O$2:$O$740))</f>
        <v>0</v>
      </c>
      <c r="D109" s="450" cm="1">
        <f t="array" ref="D109">SUMPRODUCT((SVB!$S$2:$S$740&gt;=D311)*(SVB!$S$2:$S$740&lt;=D312)*(SVB!$B$2:$B$740="D1-091")*(ISNUMBER(SVB!$O$2:$O$740))*(SVB!$O$2:$O$740))</f>
        <v>0</v>
      </c>
      <c r="E109" s="450" cm="1">
        <f t="array" ref="E109">SUMPRODUCT((SVB!$S$2:$S$740&gt;=E311)*(SVB!$S$2:$S$740&lt;=E312)*(SVB!$B$2:$B$740="D1-091")*(ISNUMBER(SVB!$O$2:$O$740))*(SVB!$O$2:$O$740))</f>
        <v>0</v>
      </c>
      <c r="F109" s="450" cm="1">
        <f t="array" ref="F109">SUMPRODUCT((SVB!$S$2:$S$740&gt;=F311)*(SVB!$S$2:$S$740&lt;=F312)*(SVB!$B$2:$B$740="D1-091")*(ISNUMBER(SVB!$O$2:$O$740))*(SVB!$O$2:$O$740))</f>
        <v>0</v>
      </c>
      <c r="G109" s="450" cm="1">
        <f t="array" ref="G109">SUMPRODUCT((SVB!$S$2:$S$740&gt;=G311)*(SVB!$S$2:$S$740&lt;=G312)*(SVB!$B$2:$B$740="D1-091")*(ISNUMBER(SVB!$O$2:$O$740))*(SVB!$O$2:$O$740))</f>
        <v>0</v>
      </c>
      <c r="H109" s="450" cm="1">
        <f t="array" ref="H109">SUMPRODUCT((SVB!$S$2:$S$740&gt;=H311)*(SVB!$S$2:$S$740&lt;=H312)*(SVB!$B$2:$B$740="D1-091")*(ISNUMBER(SVB!$O$2:$O$740))*(SVB!$O$2:$O$740))</f>
        <v>0</v>
      </c>
      <c r="I109" s="450" cm="1">
        <f t="array" ref="I109">SUMPRODUCT((SVB!$S$2:$S$740&gt;=I311)*(SVB!$S$2:$S$740&lt;=I312)*(SVB!$B$2:$B$740="D1-091")*(ISNUMBER(SVB!$O$2:$O$740))*(SVB!$O$2:$O$740))</f>
        <v>0</v>
      </c>
      <c r="J109" s="450" cm="1">
        <f t="array" ref="J109">SUMPRODUCT((SVB!$S$2:$S$740&gt;=J311)*(SVB!$S$2:$S$740&lt;=J312)*(SVB!$B$2:$B$740="D1-091")*(ISNUMBER(SVB!$O$2:$O$740))*(SVB!$O$2:$O$740))</f>
        <v>0</v>
      </c>
      <c r="K109" s="450" cm="1">
        <f t="array" ref="K109">SUMPRODUCT((SVB!$S$2:$S$740&gt;=K311)*(SVB!$S$2:$S$740&lt;=K312)*(SVB!$B$2:$B$740="D1-091")*(ISNUMBER(SVB!$O$2:$O$740))*(SVB!$O$2:$O$740))</f>
        <v>0</v>
      </c>
      <c r="L109" s="450" cm="1">
        <f t="array" ref="L109">SUMPRODUCT((SVB!$S$2:$S$740&gt;=L311)*(SVB!$S$2:$S$740&lt;=L312)*(SVB!$B$2:$B$740="D1-091")*(ISNUMBER(SVB!$O$2:$O$740))*(SVB!$O$2:$O$740))</f>
        <v>0</v>
      </c>
      <c r="M109" s="450" cm="1">
        <f t="array" ref="M109">SUMPRODUCT((SVB!$S$2:$S$740&gt;=M311)*(SVB!$S$2:$S$740&lt;=M312)*(SVB!$B$2:$B$740="D1-091")*(ISNUMBER(SVB!$O$2:$O$740))*(SVB!$O$2:$O$740))</f>
        <v>0</v>
      </c>
      <c r="N109" s="450" cm="1">
        <f t="array" ref="N109">SUMPRODUCT((SVB!$S$2:$S$740&gt;=N311)*(SVB!$S$2:$S$740&lt;=N312)*(SVB!$B$2:$B$740="D1-091")*(ISNUMBER(SVB!$O$2:$O$740))*(SVB!$O$2:$O$740))</f>
        <v>0</v>
      </c>
      <c r="O109" s="450" cm="1">
        <f t="array" ref="O109">SUMPRODUCT((SVB!$S$2:$S$740&gt;=O311)*(SVB!$S$2:$S$740&lt;=O312)*(SVB!$B$2:$B$740="D1-091")*(ISNUMBER(SVB!$O$2:$O$740))*(SVB!$O$2:$O$740))</f>
        <v>0</v>
      </c>
      <c r="P109" s="450" cm="1">
        <f t="array" ref="P109">SUMPRODUCT((SVB!$S$2:$S$740&gt;=P311)*(SVB!$S$2:$S$740&lt;=P312)*(SVB!$B$2:$B$740="D1-091")*(ISNUMBER(SVB!$O$2:$O$740))*(SVB!$O$2:$O$740))</f>
        <v>0</v>
      </c>
      <c r="Q109" s="450" cm="1">
        <f t="array" ref="Q109">SUMPRODUCT((SVB!$S$2:$S$740&gt;=Q311)*(SVB!$S$2:$S$740&lt;=Q312)*(SVB!$B$2:$B$740="D1-091")*(ISNUMBER(SVB!$O$2:$O$740))*(SVB!$O$2:$O$740))</f>
        <v>0</v>
      </c>
      <c r="R109" s="450" cm="1">
        <f t="array" ref="R109">SUMPRODUCT((SVB!$S$2:$S$740&gt;=R311)*(SVB!$S$2:$S$740&lt;=R312)*(SVB!$B$2:$B$740="D1-091")*(ISNUMBER(SVB!$O$2:$O$740))*(SVB!$O$2:$O$740))</f>
        <v>0</v>
      </c>
      <c r="S109" s="450" cm="1">
        <f t="array" ref="S109">SUMPRODUCT((SVB!$S$2:$S$740&gt;=S311)*(SVB!$S$2:$S$740&lt;=S312)*(SVB!$B$2:$B$740="D1-091")*(ISNUMBER(SVB!$O$2:$O$740))*(SVB!$O$2:$O$740))</f>
        <v>0</v>
      </c>
      <c r="T109" s="450" cm="1">
        <f t="array" ref="T109">SUMPRODUCT((SVB!$S$2:$S$740&gt;=T311)*(SVB!$S$2:$S$740&lt;=T312)*(SVB!$B$2:$B$740="D1-091")*(ISNUMBER(SVB!$O$2:$O$740))*(SVB!$O$2:$O$740))</f>
        <v>0</v>
      </c>
      <c r="U109" s="450" cm="1">
        <f t="array" ref="U109">SUMPRODUCT((SVB!$S$2:$S$740&gt;=U311)*(SVB!$S$2:$S$740&lt;=U312)*(SVB!$B$2:$B$740="D1-091")*(ISNUMBER(SVB!$O$2:$O$740))*(SVB!$O$2:$O$740))</f>
        <v>0</v>
      </c>
      <c r="V109" s="544">
        <f>SUM(F109:U109)</f>
        <v>0</v>
      </c>
    </row>
    <row r="110" spans="1:22" s="562" customFormat="1" ht="19.5" customHeight="1">
      <c r="A110" s="565" t="s">
        <v>312</v>
      </c>
      <c r="B110" s="566">
        <f>MAX(B109-B106,0)</f>
        <v>0</v>
      </c>
      <c r="C110" s="566">
        <f t="shared" ref="C110" si="134">MAX(C109-C106,0)</f>
        <v>0</v>
      </c>
      <c r="D110" s="566">
        <f t="shared" ref="D110" si="135">MAX(D109-D106,0)</f>
        <v>0</v>
      </c>
      <c r="E110" s="566">
        <f t="shared" ref="E110" si="136">MAX(E109-E106,0)</f>
        <v>0</v>
      </c>
      <c r="F110" s="566">
        <f t="shared" ref="F110" si="137">MAX(F109-F106,0)</f>
        <v>0</v>
      </c>
      <c r="G110" s="566">
        <f t="shared" ref="G110" si="138">MAX(G109-G106,0)</f>
        <v>0</v>
      </c>
      <c r="H110" s="566">
        <f t="shared" ref="H110" si="139">MAX(H109-H106,0)</f>
        <v>0</v>
      </c>
      <c r="I110" s="566">
        <f t="shared" ref="I110" si="140">MAX(I109-I106,0)</f>
        <v>0</v>
      </c>
      <c r="J110" s="566">
        <f t="shared" ref="J110" si="141">MAX(J109-J106,0)</f>
        <v>0</v>
      </c>
      <c r="K110" s="566">
        <f t="shared" ref="K110" si="142">MAX(K109-K106,0)</f>
        <v>0</v>
      </c>
      <c r="L110" s="566">
        <f t="shared" ref="L110" si="143">MAX(L109-L106,0)</f>
        <v>0</v>
      </c>
      <c r="M110" s="566">
        <f t="shared" ref="M110" si="144">MAX(M109-M106,0)</f>
        <v>0</v>
      </c>
      <c r="N110" s="566">
        <f t="shared" ref="N110" si="145">MAX(N109-N106,0)</f>
        <v>0</v>
      </c>
      <c r="O110" s="566">
        <f t="shared" ref="O110" si="146">MAX(O109-O106,0)</f>
        <v>0</v>
      </c>
      <c r="P110" s="566">
        <f t="shared" ref="P110" si="147">MAX(P109-P106,0)</f>
        <v>0</v>
      </c>
      <c r="Q110" s="566">
        <f t="shared" ref="Q110:U110" si="148">MAX(Q109-Q106,0)</f>
        <v>0</v>
      </c>
      <c r="R110" s="566">
        <f t="shared" si="148"/>
        <v>0</v>
      </c>
      <c r="S110" s="566">
        <f t="shared" si="148"/>
        <v>0</v>
      </c>
      <c r="T110" s="566">
        <f t="shared" si="148"/>
        <v>0</v>
      </c>
      <c r="U110" s="566">
        <f t="shared" si="148"/>
        <v>0</v>
      </c>
      <c r="V110" s="567">
        <f>MAX(V109-V106,0)</f>
        <v>0</v>
      </c>
    </row>
    <row r="111" spans="1:22" s="562" customFormat="1" ht="19.5" customHeight="1">
      <c r="A111" s="565" t="s">
        <v>313</v>
      </c>
      <c r="B111" s="566">
        <f>MAX(B106-B109,0)</f>
        <v>0</v>
      </c>
      <c r="C111" s="566">
        <f t="shared" ref="C111:Q111" si="149">MAX(C106-C109,0)</f>
        <v>0</v>
      </c>
      <c r="D111" s="566">
        <f t="shared" si="149"/>
        <v>0</v>
      </c>
      <c r="E111" s="566">
        <f t="shared" si="149"/>
        <v>0</v>
      </c>
      <c r="F111" s="566">
        <f t="shared" si="149"/>
        <v>0</v>
      </c>
      <c r="G111" s="566">
        <f t="shared" si="149"/>
        <v>0</v>
      </c>
      <c r="H111" s="566">
        <f t="shared" si="149"/>
        <v>0</v>
      </c>
      <c r="I111" s="566">
        <f t="shared" si="149"/>
        <v>0</v>
      </c>
      <c r="J111" s="566">
        <f t="shared" si="149"/>
        <v>0</v>
      </c>
      <c r="K111" s="566">
        <f t="shared" si="149"/>
        <v>0</v>
      </c>
      <c r="L111" s="566">
        <f t="shared" si="149"/>
        <v>0</v>
      </c>
      <c r="M111" s="566">
        <f t="shared" si="149"/>
        <v>0</v>
      </c>
      <c r="N111" s="566">
        <f t="shared" si="149"/>
        <v>0</v>
      </c>
      <c r="O111" s="566">
        <f t="shared" si="149"/>
        <v>0</v>
      </c>
      <c r="P111" s="566">
        <f t="shared" si="149"/>
        <v>50</v>
      </c>
      <c r="Q111" s="566">
        <f t="shared" si="149"/>
        <v>91</v>
      </c>
      <c r="R111" s="566">
        <f t="shared" ref="R111:U111" si="150">MAX(R106-R109,0)</f>
        <v>4</v>
      </c>
      <c r="S111" s="566">
        <f t="shared" si="150"/>
        <v>0</v>
      </c>
      <c r="T111" s="566">
        <f t="shared" si="150"/>
        <v>0</v>
      </c>
      <c r="U111" s="566">
        <f t="shared" si="150"/>
        <v>0</v>
      </c>
      <c r="V111" s="567">
        <f>MAX(V106-V109,0)</f>
        <v>147</v>
      </c>
    </row>
    <row r="112" spans="1:22" ht="18" customHeight="1">
      <c r="A112" s="556" t="s">
        <v>316</v>
      </c>
      <c r="B112" s="557">
        <f t="shared" ref="B112:Q112" si="151">IF(B106=0,"-",(B107+B108+B109)/(B106*3))</f>
        <v>1</v>
      </c>
      <c r="C112" s="557" t="str">
        <f t="shared" si="151"/>
        <v>-</v>
      </c>
      <c r="D112" s="557" t="str">
        <f t="shared" si="151"/>
        <v>-</v>
      </c>
      <c r="E112" s="557" t="str">
        <f t="shared" si="151"/>
        <v>-</v>
      </c>
      <c r="F112" s="557" t="str">
        <f t="shared" si="151"/>
        <v>-</v>
      </c>
      <c r="G112" s="557" t="str">
        <f t="shared" si="151"/>
        <v>-</v>
      </c>
      <c r="H112" s="557" t="str">
        <f t="shared" si="151"/>
        <v>-</v>
      </c>
      <c r="I112" s="557" t="str">
        <f t="shared" si="151"/>
        <v>-</v>
      </c>
      <c r="J112" s="557" t="str">
        <f t="shared" si="151"/>
        <v>-</v>
      </c>
      <c r="K112" s="557" t="str">
        <f t="shared" si="151"/>
        <v>-</v>
      </c>
      <c r="L112" s="557" t="str">
        <f t="shared" si="151"/>
        <v>-</v>
      </c>
      <c r="M112" s="557" t="str">
        <f t="shared" si="151"/>
        <v>-</v>
      </c>
      <c r="N112" s="557" t="str">
        <f t="shared" si="151"/>
        <v>-</v>
      </c>
      <c r="O112" s="557" t="str">
        <f t="shared" si="151"/>
        <v>-</v>
      </c>
      <c r="P112" s="557">
        <f t="shared" si="151"/>
        <v>0</v>
      </c>
      <c r="Q112" s="557">
        <f t="shared" si="151"/>
        <v>0</v>
      </c>
      <c r="R112" s="557">
        <f t="shared" ref="R112:U112" si="152">IF(R106=0,"-",(R107+R108+R109)/(R106*3))</f>
        <v>0</v>
      </c>
      <c r="S112" s="557" t="str">
        <f t="shared" si="152"/>
        <v>-</v>
      </c>
      <c r="T112" s="557" t="str">
        <f t="shared" si="152"/>
        <v>-</v>
      </c>
      <c r="U112" s="557" t="str">
        <f t="shared" si="152"/>
        <v>-</v>
      </c>
      <c r="V112" s="545">
        <f t="shared" ref="V112" si="153">IF(V106=0,"-",(V107+V108+V109)/(V106*3))</f>
        <v>0</v>
      </c>
    </row>
    <row r="113" spans="1:22" ht="18" customHeight="1">
      <c r="A113" s="612" t="s">
        <v>910</v>
      </c>
      <c r="B113" s="613">
        <f>SUM($B109:B109)</f>
        <v>2</v>
      </c>
      <c r="C113" s="613">
        <f>SUM($B109:C109)</f>
        <v>2</v>
      </c>
      <c r="D113" s="613">
        <f>SUM($B109:D109)</f>
        <v>2</v>
      </c>
      <c r="E113" s="613">
        <f>SUM($B109:E109)</f>
        <v>2</v>
      </c>
      <c r="F113" s="613">
        <f>SUM($B109:F109)</f>
        <v>2</v>
      </c>
      <c r="G113" s="613">
        <f>SUM($B109:G109)</f>
        <v>2</v>
      </c>
      <c r="H113" s="613">
        <f>SUM($B109:H109)</f>
        <v>2</v>
      </c>
      <c r="I113" s="613">
        <f>SUM($B109:I109)</f>
        <v>2</v>
      </c>
      <c r="J113" s="613">
        <f>SUM($B109:J109)</f>
        <v>2</v>
      </c>
      <c r="K113" s="613">
        <f>SUM($B109:K109)</f>
        <v>2</v>
      </c>
      <c r="L113" s="613">
        <f>SUM($B109:L109)</f>
        <v>2</v>
      </c>
      <c r="M113" s="613">
        <f>SUM($B109:M109)</f>
        <v>2</v>
      </c>
      <c r="N113" s="613">
        <f>SUM($B109:N109)</f>
        <v>2</v>
      </c>
      <c r="O113" s="613">
        <f>SUM($B109:O109)</f>
        <v>2</v>
      </c>
      <c r="P113" s="613">
        <f>SUM($B109:P109)</f>
        <v>2</v>
      </c>
      <c r="Q113" s="613">
        <f>SUM($B109:Q109)</f>
        <v>2</v>
      </c>
      <c r="R113" s="613">
        <f>SUM($B109:R109)</f>
        <v>2</v>
      </c>
      <c r="S113" s="613">
        <f>SUM($B109:S109)</f>
        <v>2</v>
      </c>
      <c r="T113" s="613">
        <f>SUM($B109:T109)</f>
        <v>2</v>
      </c>
      <c r="U113" s="613">
        <f>SUM($B109:U109)</f>
        <v>2</v>
      </c>
      <c r="V113" s="544">
        <f>V109</f>
        <v>0</v>
      </c>
    </row>
    <row r="114" spans="1:22" ht="18" customHeight="1">
      <c r="A114" s="614" t="s">
        <v>308</v>
      </c>
      <c r="B114" s="615">
        <f>IF(B106=0,IF(B107=0,"-","100%"),B107/B106)</f>
        <v>1</v>
      </c>
      <c r="C114" s="615" t="str">
        <f t="shared" ref="C114:Q114" si="154">IF(C106=0,IF(C107=0,"-","100%"),C107/C106)</f>
        <v>-</v>
      </c>
      <c r="D114" s="615" t="str">
        <f t="shared" si="154"/>
        <v>-</v>
      </c>
      <c r="E114" s="615" t="str">
        <f t="shared" si="154"/>
        <v>-</v>
      </c>
      <c r="F114" s="615" t="str">
        <f t="shared" si="154"/>
        <v>-</v>
      </c>
      <c r="G114" s="615" t="str">
        <f t="shared" si="154"/>
        <v>-</v>
      </c>
      <c r="H114" s="615" t="str">
        <f t="shared" si="154"/>
        <v>-</v>
      </c>
      <c r="I114" s="615" t="str">
        <f t="shared" si="154"/>
        <v>-</v>
      </c>
      <c r="J114" s="615" t="str">
        <f t="shared" si="154"/>
        <v>-</v>
      </c>
      <c r="K114" s="615" t="str">
        <f t="shared" si="154"/>
        <v>-</v>
      </c>
      <c r="L114" s="615" t="str">
        <f t="shared" si="154"/>
        <v>-</v>
      </c>
      <c r="M114" s="615" t="str">
        <f t="shared" si="154"/>
        <v>-</v>
      </c>
      <c r="N114" s="615" t="str">
        <f t="shared" si="154"/>
        <v>-</v>
      </c>
      <c r="O114" s="615" t="str">
        <f t="shared" si="154"/>
        <v>-</v>
      </c>
      <c r="P114" s="615">
        <f t="shared" si="154"/>
        <v>0</v>
      </c>
      <c r="Q114" s="615">
        <f t="shared" si="154"/>
        <v>0</v>
      </c>
      <c r="R114" s="615">
        <f t="shared" ref="R114:U114" si="155">IF(R106=0,IF(R107=0,"-","100%"),R107/R106)</f>
        <v>0</v>
      </c>
      <c r="S114" s="615" t="str">
        <f t="shared" si="155"/>
        <v>-</v>
      </c>
      <c r="T114" s="615" t="str">
        <f t="shared" si="155"/>
        <v>-</v>
      </c>
      <c r="U114" s="615" t="str">
        <f t="shared" si="155"/>
        <v>-</v>
      </c>
      <c r="V114" s="616">
        <f>IF(V106=0,"-",V107/V106)</f>
        <v>0</v>
      </c>
    </row>
    <row r="115" spans="1:22" ht="18" customHeight="1">
      <c r="A115" s="614" t="s">
        <v>310</v>
      </c>
      <c r="B115" s="615">
        <f>IF(B106=0,IF(B108=0,"-","100%"),B108/B106)</f>
        <v>1</v>
      </c>
      <c r="C115" s="615" t="str">
        <f t="shared" ref="C115:Q115" si="156">IF(C106=0,IF(C108=0,"-","100%"),C108/C106)</f>
        <v>-</v>
      </c>
      <c r="D115" s="615" t="str">
        <f t="shared" si="156"/>
        <v>-</v>
      </c>
      <c r="E115" s="615" t="str">
        <f t="shared" si="156"/>
        <v>-</v>
      </c>
      <c r="F115" s="615" t="str">
        <f t="shared" si="156"/>
        <v>-</v>
      </c>
      <c r="G115" s="615" t="str">
        <f t="shared" si="156"/>
        <v>-</v>
      </c>
      <c r="H115" s="615" t="str">
        <f t="shared" si="156"/>
        <v>-</v>
      </c>
      <c r="I115" s="615" t="str">
        <f t="shared" si="156"/>
        <v>-</v>
      </c>
      <c r="J115" s="615" t="str">
        <f t="shared" si="156"/>
        <v>-</v>
      </c>
      <c r="K115" s="615" t="str">
        <f t="shared" si="156"/>
        <v>-</v>
      </c>
      <c r="L115" s="615" t="str">
        <f t="shared" si="156"/>
        <v>-</v>
      </c>
      <c r="M115" s="615" t="str">
        <f t="shared" si="156"/>
        <v>-</v>
      </c>
      <c r="N115" s="615" t="str">
        <f t="shared" si="156"/>
        <v>-</v>
      </c>
      <c r="O115" s="615" t="str">
        <f t="shared" si="156"/>
        <v>-</v>
      </c>
      <c r="P115" s="615">
        <f t="shared" si="156"/>
        <v>0</v>
      </c>
      <c r="Q115" s="615">
        <f t="shared" si="156"/>
        <v>0</v>
      </c>
      <c r="R115" s="615">
        <f t="shared" ref="R115:U115" si="157">IF(R106=0,IF(R108=0,"-","100%"),R108/R106)</f>
        <v>0</v>
      </c>
      <c r="S115" s="615" t="str">
        <f t="shared" si="157"/>
        <v>-</v>
      </c>
      <c r="T115" s="615" t="str">
        <f t="shared" si="157"/>
        <v>-</v>
      </c>
      <c r="U115" s="615" t="str">
        <f t="shared" si="157"/>
        <v>-</v>
      </c>
      <c r="V115" s="616">
        <f>IF(V106=0,"-",V108/V106)</f>
        <v>0</v>
      </c>
    </row>
    <row r="116" spans="1:22" ht="18" customHeight="1">
      <c r="A116" s="614" t="s">
        <v>314</v>
      </c>
      <c r="B116" s="615">
        <f>IF(B106=0,IF(B109=0,"-","100%"),B109/B106)</f>
        <v>1</v>
      </c>
      <c r="C116" s="615" t="str">
        <f t="shared" ref="C116:Q116" si="158">IF(C106=0,IF(C109=0,"-","100%"),C109/C106)</f>
        <v>-</v>
      </c>
      <c r="D116" s="615" t="str">
        <f t="shared" si="158"/>
        <v>-</v>
      </c>
      <c r="E116" s="615" t="str">
        <f t="shared" si="158"/>
        <v>-</v>
      </c>
      <c r="F116" s="615" t="str">
        <f t="shared" si="158"/>
        <v>-</v>
      </c>
      <c r="G116" s="615" t="str">
        <f t="shared" si="158"/>
        <v>-</v>
      </c>
      <c r="H116" s="615" t="str">
        <f t="shared" si="158"/>
        <v>-</v>
      </c>
      <c r="I116" s="615" t="str">
        <f t="shared" si="158"/>
        <v>-</v>
      </c>
      <c r="J116" s="615" t="str">
        <f t="shared" si="158"/>
        <v>-</v>
      </c>
      <c r="K116" s="615" t="str">
        <f t="shared" si="158"/>
        <v>-</v>
      </c>
      <c r="L116" s="615" t="str">
        <f t="shared" si="158"/>
        <v>-</v>
      </c>
      <c r="M116" s="615" t="str">
        <f t="shared" si="158"/>
        <v>-</v>
      </c>
      <c r="N116" s="615" t="str">
        <f t="shared" si="158"/>
        <v>-</v>
      </c>
      <c r="O116" s="615" t="str">
        <f t="shared" si="158"/>
        <v>-</v>
      </c>
      <c r="P116" s="615">
        <f t="shared" si="158"/>
        <v>0</v>
      </c>
      <c r="Q116" s="615">
        <f t="shared" si="158"/>
        <v>0</v>
      </c>
      <c r="R116" s="615">
        <f t="shared" ref="R116:U116" si="159">IF(R106=0,IF(R109=0,"-","100%"),R109/R106)</f>
        <v>0</v>
      </c>
      <c r="S116" s="615" t="str">
        <f t="shared" si="159"/>
        <v>-</v>
      </c>
      <c r="T116" s="615" t="str">
        <f t="shared" si="159"/>
        <v>-</v>
      </c>
      <c r="U116" s="615" t="str">
        <f t="shared" si="159"/>
        <v>-</v>
      </c>
      <c r="V116" s="616">
        <f>IF(V106=0,"-",V109/V106)</f>
        <v>0</v>
      </c>
    </row>
    <row r="117" spans="1:22" s="562" customFormat="1" ht="19.5" customHeight="1">
      <c r="A117" s="565" t="s">
        <v>317</v>
      </c>
      <c r="B117" s="566">
        <f>SUM($B106:B106)</f>
        <v>2</v>
      </c>
      <c r="C117" s="566">
        <f>SUM($B106:C106)</f>
        <v>2</v>
      </c>
      <c r="D117" s="566">
        <f>SUM($B106:D106)</f>
        <v>2</v>
      </c>
      <c r="E117" s="566">
        <f>SUM($B106:E106)</f>
        <v>2</v>
      </c>
      <c r="F117" s="566">
        <f>SUM($B106:F106)</f>
        <v>2</v>
      </c>
      <c r="G117" s="566">
        <f>SUM($B106:G106)</f>
        <v>2</v>
      </c>
      <c r="H117" s="566">
        <f>SUM($B106:H106)</f>
        <v>2</v>
      </c>
      <c r="I117" s="566">
        <f>SUM($B106:I106)</f>
        <v>2</v>
      </c>
      <c r="J117" s="566">
        <f>SUM($B106:J106)</f>
        <v>2</v>
      </c>
      <c r="K117" s="566">
        <f>SUM($B106:K106)</f>
        <v>2</v>
      </c>
      <c r="L117" s="566">
        <f>SUM($B106:L106)</f>
        <v>2</v>
      </c>
      <c r="M117" s="566">
        <f>SUM($B106:M106)</f>
        <v>2</v>
      </c>
      <c r="N117" s="566">
        <f>SUM($B106:N106)</f>
        <v>2</v>
      </c>
      <c r="O117" s="566">
        <f>SUM($B106:O106)</f>
        <v>2</v>
      </c>
      <c r="P117" s="566">
        <f>SUM($B106:P106)</f>
        <v>52</v>
      </c>
      <c r="Q117" s="566">
        <f>SUM($B106:Q106)</f>
        <v>143</v>
      </c>
      <c r="R117" s="566">
        <f>SUM($B106:R106)</f>
        <v>147</v>
      </c>
      <c r="S117" s="566">
        <f>SUM($B106:S106)</f>
        <v>147</v>
      </c>
      <c r="T117" s="566">
        <f>SUM($B106:T106)</f>
        <v>147</v>
      </c>
      <c r="U117" s="566">
        <f>SUM($B106:U106)</f>
        <v>147</v>
      </c>
      <c r="V117" s="567">
        <f>V106</f>
        <v>147</v>
      </c>
    </row>
    <row r="118" spans="1:22" s="562" customFormat="1" ht="19.5" customHeight="1">
      <c r="A118" s="565" t="s">
        <v>318</v>
      </c>
      <c r="B118" s="566">
        <f>SUM($B109:B109)</f>
        <v>2</v>
      </c>
      <c r="C118" s="566">
        <f>SUM($B109:C109)</f>
        <v>2</v>
      </c>
      <c r="D118" s="566">
        <f>SUM($B109:D109)</f>
        <v>2</v>
      </c>
      <c r="E118" s="566">
        <f>SUM($B109:E109)</f>
        <v>2</v>
      </c>
      <c r="F118" s="566">
        <f>SUM($B109:F109)</f>
        <v>2</v>
      </c>
      <c r="G118" s="566">
        <f>SUM($B109:G109)</f>
        <v>2</v>
      </c>
      <c r="H118" s="566">
        <f>SUM($B109:H109)</f>
        <v>2</v>
      </c>
      <c r="I118" s="566">
        <f>SUM($B109:I109)</f>
        <v>2</v>
      </c>
      <c r="J118" s="566">
        <f>SUM($B109:J109)</f>
        <v>2</v>
      </c>
      <c r="K118" s="566">
        <f>SUM($B109:K109)</f>
        <v>2</v>
      </c>
      <c r="L118" s="566">
        <f>SUM($B109:L109)</f>
        <v>2</v>
      </c>
      <c r="M118" s="566">
        <f>SUM($B109:M109)</f>
        <v>2</v>
      </c>
      <c r="N118" s="566">
        <f>SUM($B109:N109)</f>
        <v>2</v>
      </c>
      <c r="O118" s="566">
        <f>SUM($B109:O109)</f>
        <v>2</v>
      </c>
      <c r="P118" s="566">
        <f>SUM($B109:P109)</f>
        <v>2</v>
      </c>
      <c r="Q118" s="566">
        <f>SUM($B109:Q109)</f>
        <v>2</v>
      </c>
      <c r="R118" s="566">
        <f>SUM($B109:R109)</f>
        <v>2</v>
      </c>
      <c r="S118" s="566">
        <f>SUM($B109:S109)</f>
        <v>2</v>
      </c>
      <c r="T118" s="566">
        <f>SUM($B109:T109)</f>
        <v>2</v>
      </c>
      <c r="U118" s="566">
        <f>SUM($B109:U109)</f>
        <v>2</v>
      </c>
      <c r="V118" s="567">
        <f>V109</f>
        <v>0</v>
      </c>
    </row>
    <row r="119" spans="1:22" s="562" customFormat="1" ht="19.5" customHeight="1">
      <c r="A119" s="559" t="s">
        <v>319</v>
      </c>
      <c r="B119" s="560" t="e">
        <f>IF(#REF!=0,"-",B118/#REF!)</f>
        <v>#REF!</v>
      </c>
      <c r="C119" s="560" t="e">
        <f>IF(#REF!=0,"-",C118/#REF!)</f>
        <v>#REF!</v>
      </c>
      <c r="D119" s="560" t="e">
        <f>IF(#REF!=0,"-",D118/#REF!)</f>
        <v>#REF!</v>
      </c>
      <c r="E119" s="560" t="e">
        <f>IF(#REF!=0,"-",E118/#REF!)</f>
        <v>#REF!</v>
      </c>
      <c r="F119" s="560" t="e">
        <f>IF(#REF!=0,"-",F118/#REF!)</f>
        <v>#REF!</v>
      </c>
      <c r="G119" s="560" t="e">
        <f>IF(#REF!=0,"-",G118/#REF!)</f>
        <v>#REF!</v>
      </c>
      <c r="H119" s="560" t="e">
        <f>IF(#REF!=0,"-",H118/#REF!)</f>
        <v>#REF!</v>
      </c>
      <c r="I119" s="560" t="e">
        <f>IF(#REF!=0,"-",I118/#REF!)</f>
        <v>#REF!</v>
      </c>
      <c r="J119" s="560" t="e">
        <f>IF(#REF!=0,"-",J118/#REF!)</f>
        <v>#REF!</v>
      </c>
      <c r="K119" s="560" t="e">
        <f>IF(#REF!=0,"-",K118/#REF!)</f>
        <v>#REF!</v>
      </c>
      <c r="L119" s="560" t="e">
        <f>IF(#REF!=0,"-",L118/#REF!)</f>
        <v>#REF!</v>
      </c>
      <c r="M119" s="560" t="e">
        <f>IF(#REF!=0,"-",M118/#REF!)</f>
        <v>#REF!</v>
      </c>
      <c r="N119" s="560" t="e">
        <f>IF(#REF!=0,"-",N118/#REF!)</f>
        <v>#REF!</v>
      </c>
      <c r="O119" s="560" t="e">
        <f>IF(#REF!=0,"-",O118/#REF!)</f>
        <v>#REF!</v>
      </c>
      <c r="P119" s="560" t="e">
        <f>IF(#REF!=0,"-",P118/#REF!)</f>
        <v>#REF!</v>
      </c>
      <c r="Q119" s="560" t="e">
        <f>IF(#REF!=0,"-",Q118/#REF!)</f>
        <v>#REF!</v>
      </c>
      <c r="R119" s="560" t="e">
        <f>IF(#REF!=0,"-",R118/#REF!)</f>
        <v>#REF!</v>
      </c>
      <c r="S119" s="560" t="e">
        <f>IF(#REF!=0,"-",S118/#REF!)</f>
        <v>#REF!</v>
      </c>
      <c r="T119" s="560" t="e">
        <f>IF(#REF!=0,"-",T118/#REF!)</f>
        <v>#REF!</v>
      </c>
      <c r="U119" s="560" t="e">
        <f>IF(#REF!=0,"-",U118/#REF!)</f>
        <v>#REF!</v>
      </c>
      <c r="V119" s="561" t="e">
        <f>IF(#REF!=0,"-",V118/#REF!)</f>
        <v>#REF!</v>
      </c>
    </row>
    <row r="120" spans="1:22" s="562" customFormat="1" ht="19.5" customHeight="1">
      <c r="A120" s="563" t="s">
        <v>320</v>
      </c>
      <c r="B120" s="564" t="e">
        <f>IF(#REF!=0,"-",B117/#REF!)</f>
        <v>#REF!</v>
      </c>
      <c r="C120" s="564" t="e">
        <f>IF(#REF!=0,"-",C117/#REF!)</f>
        <v>#REF!</v>
      </c>
      <c r="D120" s="564" t="e">
        <f>IF(#REF!=0,"-",D117/#REF!)</f>
        <v>#REF!</v>
      </c>
      <c r="E120" s="564" t="e">
        <f>IF(#REF!=0,"-",E117/#REF!)</f>
        <v>#REF!</v>
      </c>
      <c r="F120" s="564" t="e">
        <f>IF(#REF!=0,"-",F117/#REF!)</f>
        <v>#REF!</v>
      </c>
      <c r="G120" s="564" t="e">
        <f>IF(#REF!=0,"-",G117/#REF!)</f>
        <v>#REF!</v>
      </c>
      <c r="H120" s="564" t="e">
        <f>IF(#REF!=0,"-",H117/#REF!)</f>
        <v>#REF!</v>
      </c>
      <c r="I120" s="564" t="e">
        <f>IF(#REF!=0,"-",I117/#REF!)</f>
        <v>#REF!</v>
      </c>
      <c r="J120" s="564" t="e">
        <f>IF(#REF!=0,"-",J117/#REF!)</f>
        <v>#REF!</v>
      </c>
      <c r="K120" s="564" t="e">
        <f>IF(#REF!=0,"-",K117/#REF!)</f>
        <v>#REF!</v>
      </c>
      <c r="L120" s="564" t="e">
        <f>IF(#REF!=0,"-",L117/#REF!)</f>
        <v>#REF!</v>
      </c>
      <c r="M120" s="564" t="e">
        <f>IF(#REF!=0,"-",M117/#REF!)</f>
        <v>#REF!</v>
      </c>
      <c r="N120" s="564" t="e">
        <f>IF(#REF!=0,"-",N117/#REF!)</f>
        <v>#REF!</v>
      </c>
      <c r="O120" s="564" t="e">
        <f>IF(#REF!=0,"-",O117/#REF!)</f>
        <v>#REF!</v>
      </c>
      <c r="P120" s="564" t="e">
        <f>IF(#REF!=0,"-",P117/#REF!)</f>
        <v>#REF!</v>
      </c>
      <c r="Q120" s="564" t="e">
        <f>IF(#REF!=0,"-",Q117/#REF!)</f>
        <v>#REF!</v>
      </c>
      <c r="R120" s="564" t="e">
        <f>IF(#REF!=0,"-",R117/#REF!)</f>
        <v>#REF!</v>
      </c>
      <c r="S120" s="564" t="e">
        <f>IF(#REF!=0,"-",S117/#REF!)</f>
        <v>#REF!</v>
      </c>
      <c r="T120" s="564" t="e">
        <f>IF(#REF!=0,"-",T117/#REF!)</f>
        <v>#REF!</v>
      </c>
      <c r="U120" s="564" t="e">
        <f>IF(#REF!=0,"-",U117/#REF!)</f>
        <v>#REF!</v>
      </c>
      <c r="V120" s="561" t="e">
        <f>IF(#REF!=0,"-",V117/#REF!)</f>
        <v>#REF!</v>
      </c>
    </row>
    <row r="121" spans="1:22" ht="4.5" customHeight="1"/>
    <row r="122" spans="1:22" ht="24" customHeight="1">
      <c r="A122" s="972" t="s">
        <v>925</v>
      </c>
      <c r="B122" s="973"/>
      <c r="C122" s="973"/>
      <c r="D122" s="973"/>
      <c r="E122" s="973"/>
      <c r="F122" s="973"/>
      <c r="G122" s="973"/>
      <c r="H122" s="973"/>
      <c r="I122" s="973"/>
      <c r="J122" s="973"/>
      <c r="K122" s="973"/>
      <c r="L122" s="973"/>
      <c r="M122" s="973"/>
      <c r="N122" s="973"/>
      <c r="O122" s="973"/>
      <c r="P122" s="973"/>
      <c r="Q122" s="973"/>
      <c r="R122" s="973"/>
      <c r="S122" s="973"/>
      <c r="T122" s="973"/>
      <c r="U122" s="973"/>
      <c r="V122" s="973"/>
    </row>
    <row r="123" spans="1:22" ht="18" customHeight="1">
      <c r="A123" s="542" t="s">
        <v>303</v>
      </c>
      <c r="B123" s="543" cm="1">
        <f t="array" ref="B123">SUMPRODUCT((SVB!$R$2:$R$740&gt;=B311)*(SVB!$R$2:$R$740&lt;=B312)*(SVB!$B$2:$B$740="PPW")*(ISNUMBER(SVB!$F$2:$F$740))*(SVB!$F$2:$F$740))</f>
        <v>2</v>
      </c>
      <c r="C123" s="543" cm="1">
        <f t="array" ref="C123">SUMPRODUCT((SVB!$R$2:$R$740&gt;=C311)*(SVB!$R$2:$R$740&lt;=C312)*(SVB!$B$2:$B$740="PPW")*(ISNUMBER(SVB!$F$2:$F$740))*(SVB!$F$2:$F$740))</f>
        <v>0</v>
      </c>
      <c r="D123" s="543" cm="1">
        <f t="array" ref="D123">SUMPRODUCT((SVB!$R$2:$R$740&gt;=D311)*(SVB!$R$2:$R$740&lt;=D312)*(SVB!$B$2:$B$740="PPW")*(ISNUMBER(SVB!$F$2:$F$740))*(SVB!$F$2:$F$740))</f>
        <v>0</v>
      </c>
      <c r="E123" s="543" cm="1">
        <f t="array" ref="E123">SUMPRODUCT((SVB!$R$2:$R$740&gt;=E311)*(SVB!$R$2:$R$740&lt;=E312)*(SVB!$B$2:$B$740="PPW")*(ISNUMBER(SVB!$F$2:$F$740))*(SVB!$F$2:$F$740))</f>
        <v>0</v>
      </c>
      <c r="F123" s="543" cm="1">
        <f t="array" ref="F123">SUMPRODUCT((SVB!$R$2:$R$740&gt;=F311)*(SVB!$R$2:$R$740&lt;=F312)*(SVB!$B$2:$B$740="PPW")*(ISNUMBER(SVB!$F$2:$F$740))*(SVB!$F$2:$F$740))</f>
        <v>0</v>
      </c>
      <c r="G123" s="543" cm="1">
        <f t="array" ref="G123">SUMPRODUCT((SVB!$R$2:$R$740&gt;=G311)*(SVB!$R$2:$R$740&lt;=G312)*(SVB!$B$2:$B$740="PPW")*(ISNUMBER(SVB!$F$2:$F$740))*(SVB!$F$2:$F$740))</f>
        <v>0</v>
      </c>
      <c r="H123" s="543" cm="1">
        <f t="array" ref="H123">SUMPRODUCT((SVB!$R$2:$R$740&gt;=H311)*(SVB!$R$2:$R$740&lt;=H312)*(SVB!$B$2:$B$740="PPW")*(ISNUMBER(SVB!$F$2:$F$740))*(SVB!$F$2:$F$740))</f>
        <v>0</v>
      </c>
      <c r="I123" s="543" cm="1">
        <f t="array" ref="I123">SUMPRODUCT((SVB!$R$2:$R$740&gt;=I311)*(SVB!$R$2:$R$740&lt;=I312)*(SVB!$B$2:$B$740="PPW")*(ISNUMBER(SVB!$F$2:$F$740))*(SVB!$F$2:$F$740))</f>
        <v>0</v>
      </c>
      <c r="J123" s="543" cm="1">
        <f t="array" ref="J123">SUMPRODUCT((SVB!$R$2:$R$740&gt;=J311)*(SVB!$R$2:$R$740&lt;=J312)*(SVB!$B$2:$B$740="PPW")*(ISNUMBER(SVB!$F$2:$F$740))*(SVB!$F$2:$F$740))</f>
        <v>0</v>
      </c>
      <c r="K123" s="543" cm="1">
        <f t="array" ref="K123">SUMPRODUCT((SVB!$R$2:$R$740&gt;=K311)*(SVB!$R$2:$R$740&lt;=K312)*(SVB!$B$2:$B$740="PPW")*(ISNUMBER(SVB!$F$2:$F$740))*(SVB!$F$2:$F$740))</f>
        <v>0</v>
      </c>
      <c r="L123" s="543" cm="1">
        <f t="array" ref="L123">SUMPRODUCT((SVB!$R$2:$R$740&gt;=L311)*(SVB!$R$2:$R$740&lt;=L312)*(SVB!$B$2:$B$740="PPW")*(ISNUMBER(SVB!$F$2:$F$740))*(SVB!$F$2:$F$740))</f>
        <v>0</v>
      </c>
      <c r="M123" s="543" cm="1">
        <f t="array" ref="M123">SUMPRODUCT((SVB!$R$2:$R$740&gt;=M311)*(SVB!$R$2:$R$740&lt;=M312)*(SVB!$B$2:$B$740="PPW")*(ISNUMBER(SVB!$F$2:$F$740))*(SVB!$F$2:$F$740))</f>
        <v>0</v>
      </c>
      <c r="N123" s="543" cm="1">
        <f t="array" ref="N123">SUMPRODUCT((SVB!$R$2:$R$740&gt;=N311)*(SVB!$R$2:$R$740&lt;=N312)*(SVB!$B$2:$B$740="PPW")*(ISNUMBER(SVB!$F$2:$F$740))*(SVB!$F$2:$F$740))</f>
        <v>0</v>
      </c>
      <c r="O123" s="543" cm="1">
        <f t="array" ref="O123">SUMPRODUCT((SVB!$R$2:$R$740&gt;=O311)*(SVB!$R$2:$R$740&lt;=O312)*(SVB!$B$2:$B$740="PPW")*(ISNUMBER(SVB!$F$2:$F$740))*(SVB!$F$2:$F$740))</f>
        <v>0</v>
      </c>
      <c r="P123" s="543" cm="1">
        <f t="array" ref="P123">SUMPRODUCT((SVB!$R$2:$R$740&gt;=P311)*(SVB!$R$2:$R$740&lt;=P312)*(SVB!$B$2:$B$740="PPW")*(ISNUMBER(SVB!$F$2:$F$740))*(SVB!$F$2:$F$740))</f>
        <v>0</v>
      </c>
      <c r="Q123" s="543" cm="1">
        <f t="array" ref="Q123">SUMPRODUCT((SVB!$R$2:$R$740&gt;=Q311)*(SVB!$R$2:$R$740&lt;=Q312)*(SVB!$B$2:$B$740="PPW")*(ISNUMBER(SVB!$F$2:$F$740))*(SVB!$F$2:$F$740))</f>
        <v>0</v>
      </c>
      <c r="R123" s="543" cm="1">
        <f t="array" ref="R123">SUMPRODUCT((SVB!$R$2:$R$740&gt;=R311)*(SVB!$R$2:$R$740&lt;=R312)*(SVB!$B$2:$B$740="PPW")*(ISNUMBER(SVB!$F$2:$F$740))*(SVB!$F$2:$F$740))</f>
        <v>0</v>
      </c>
      <c r="S123" s="543" cm="1">
        <f t="array" ref="S123">SUMPRODUCT((SVB!$R$2:$R$740&gt;=S311)*(SVB!$R$2:$R$740&lt;=S312)*(SVB!$B$2:$B$740="PPW")*(ISNUMBER(SVB!$F$2:$F$740))*(SVB!$F$2:$F$740))</f>
        <v>0</v>
      </c>
      <c r="T123" s="543" cm="1">
        <f t="array" ref="T123">SUMPRODUCT((SVB!$R$2:$R$740&gt;=T311)*(SVB!$R$2:$R$740&lt;=T312)*(SVB!$B$2:$B$740="PPW")*(ISNUMBER(SVB!$F$2:$F$740))*(SVB!$F$2:$F$740))</f>
        <v>6</v>
      </c>
      <c r="U123" s="543" cm="1">
        <f t="array" ref="U123">SUMPRODUCT((SVB!$R$2:$R$740&gt;=U311)*(SVB!$R$2:$R$740&lt;=U312)*(SVB!$B$2:$B$740="PPW")*(ISNUMBER(SVB!$F$2:$F$740))*(SVB!$F$2:$F$740))</f>
        <v>0</v>
      </c>
      <c r="V123" s="544" cm="1">
        <f t="array" ref="V123">SUMPRODUCT((SVB!$B$2:$B$740="PPW")*(ISNUMBER(SVB!$F$2:$F$740))*(SVB!$F$2:$F$740))</f>
        <v>8</v>
      </c>
    </row>
    <row r="124" spans="1:22" ht="18" customHeight="1">
      <c r="A124" s="449" t="s">
        <v>907</v>
      </c>
      <c r="B124" s="450" cm="1">
        <f t="array" ref="B124">SUMPRODUCT((SVB!$S$2:$S$740&gt;=B311)*(SVB!$S$2:$S$740&lt;=B312)*(SVB!$B$2:$B$740="PPW")*(ISNUMBER(SVB!$M$2:$M$740))*(SVB!$M$2:$M$740))</f>
        <v>2</v>
      </c>
      <c r="C124" s="450" cm="1">
        <f t="array" ref="C124">SUMPRODUCT((SVB!$S$2:$S$740&gt;=C311)*(SVB!$S$2:$S$740&lt;=C312)*(SVB!$B$2:$B$740="PPW")*(ISNUMBER(SVB!$M$2:$M$740))*(SVB!$M$2:$M$740))</f>
        <v>0</v>
      </c>
      <c r="D124" s="450" cm="1">
        <f t="array" ref="D124">SUMPRODUCT((SVB!$S$2:$S$740&gt;=D311)*(SVB!$S$2:$S$740&lt;=D312)*(SVB!$B$2:$B$740="PPW")*(ISNUMBER(SVB!$M$2:$M$740))*(SVB!$M$2:$M$740))</f>
        <v>0</v>
      </c>
      <c r="E124" s="450" cm="1">
        <f t="array" ref="E124">SUMPRODUCT((SVB!$S$2:$S$740&gt;=E311)*(SVB!$S$2:$S$740&lt;=E312)*(SVB!$B$2:$B$740="PPW")*(ISNUMBER(SVB!$M$2:$M$740))*(SVB!$M$2:$M$740))</f>
        <v>0</v>
      </c>
      <c r="F124" s="450" cm="1">
        <f t="array" ref="F124">SUMPRODUCT((SVB!$S$2:$S$740&gt;=F311)*(SVB!$S$2:$S$740&lt;=F312)*(SVB!$B$2:$B$740="PPW")*(ISNUMBER(SVB!$M$2:$M$740))*(SVB!$M$2:$M$740))</f>
        <v>0</v>
      </c>
      <c r="G124" s="450" cm="1">
        <f t="array" ref="G124">SUMPRODUCT((SVB!$S$2:$S$740&gt;=G311)*(SVB!$S$2:$S$740&lt;=G312)*(SVB!$B$2:$B$740="PPW")*(ISNUMBER(SVB!$M$2:$M$740))*(SVB!$M$2:$M$740))</f>
        <v>0</v>
      </c>
      <c r="H124" s="450" cm="1">
        <f t="array" ref="H124">SUMPRODUCT((SVB!$S$2:$S$740&gt;=H311)*(SVB!$S$2:$S$740&lt;=H312)*(SVB!$B$2:$B$740="PPW")*(ISNUMBER(SVB!$M$2:$M$740))*(SVB!$M$2:$M$740))</f>
        <v>0</v>
      </c>
      <c r="I124" s="450" cm="1">
        <f t="array" ref="I124">SUMPRODUCT((SVB!$S$2:$S$740&gt;=I311)*(SVB!$S$2:$S$740&lt;=I312)*(SVB!$B$2:$B$740="PPW")*(ISNUMBER(SVB!$M$2:$M$740))*(SVB!$M$2:$M$740))</f>
        <v>0</v>
      </c>
      <c r="J124" s="450" cm="1">
        <f t="array" ref="J124">SUMPRODUCT((SVB!$S$2:$S$740&gt;=J311)*(SVB!$S$2:$S$740&lt;=J312)*(SVB!$B$2:$B$740="PPW")*(ISNUMBER(SVB!$M$2:$M$740))*(SVB!$M$2:$M$740))</f>
        <v>0</v>
      </c>
      <c r="K124" s="450" cm="1">
        <f t="array" ref="K124">SUMPRODUCT((SVB!$S$2:$S$740&gt;=K311)*(SVB!$S$2:$S$740&lt;=K312)*(SVB!$B$2:$B$740="PPW")*(ISNUMBER(SVB!$M$2:$M$740))*(SVB!$M$2:$M$740))</f>
        <v>0</v>
      </c>
      <c r="L124" s="450" cm="1">
        <f t="array" ref="L124">SUMPRODUCT((SVB!$S$2:$S$740&gt;=L311)*(SVB!$S$2:$S$740&lt;=L312)*(SVB!$B$2:$B$740="PPW")*(ISNUMBER(SVB!$M$2:$M$740))*(SVB!$M$2:$M$740))</f>
        <v>0</v>
      </c>
      <c r="M124" s="450" cm="1">
        <f t="array" ref="M124">SUMPRODUCT((SVB!$S$2:$S$740&gt;=M311)*(SVB!$S$2:$S$740&lt;=M312)*(SVB!$B$2:$B$740="PPW")*(ISNUMBER(SVB!$M$2:$M$740))*(SVB!$M$2:$M$740))</f>
        <v>0</v>
      </c>
      <c r="N124" s="450" cm="1">
        <f t="array" ref="N124">SUMPRODUCT((SVB!$S$2:$S$740&gt;=N311)*(SVB!$S$2:$S$740&lt;=N312)*(SVB!$B$2:$B$740="PPW")*(ISNUMBER(SVB!$M$2:$M$740))*(SVB!$M$2:$M$740))</f>
        <v>0</v>
      </c>
      <c r="O124" s="450" cm="1">
        <f t="array" ref="O124">SUMPRODUCT((SVB!$S$2:$S$740&gt;=O311)*(SVB!$S$2:$S$740&lt;=O312)*(SVB!$B$2:$B$740="PPW")*(ISNUMBER(SVB!$M$2:$M$740))*(SVB!$M$2:$M$740))</f>
        <v>0</v>
      </c>
      <c r="P124" s="450" cm="1">
        <f t="array" ref="P124">SUMPRODUCT((SVB!$S$2:$S$740&gt;=P311)*(SVB!$S$2:$S$740&lt;=P312)*(SVB!$B$2:$B$740="PPW")*(ISNUMBER(SVB!$M$2:$M$740))*(SVB!$M$2:$M$740))</f>
        <v>0</v>
      </c>
      <c r="Q124" s="450" cm="1">
        <f t="array" ref="Q124">SUMPRODUCT((SVB!$S$2:$S$740&gt;=Q311)*(SVB!$S$2:$S$740&lt;=Q312)*(SVB!$B$2:$B$740="PPW")*(ISNUMBER(SVB!$M$2:$M$740))*(SVB!$M$2:$M$740))</f>
        <v>0</v>
      </c>
      <c r="R124" s="450" cm="1">
        <f t="array" ref="R124">SUMPRODUCT((SVB!$S$2:$S$740&gt;=R311)*(SVB!$S$2:$S$740&lt;=R312)*(SVB!$B$2:$B$740="PPW")*(ISNUMBER(SVB!$M$2:$M$740))*(SVB!$M$2:$M$740))</f>
        <v>0</v>
      </c>
      <c r="S124" s="450" cm="1">
        <f t="array" ref="S124">SUMPRODUCT((SVB!$S$2:$S$740&gt;=S311)*(SVB!$S$2:$S$740&lt;=S312)*(SVB!$B$2:$B$740="PPW")*(ISNUMBER(SVB!$M$2:$M$740))*(SVB!$M$2:$M$740))</f>
        <v>0</v>
      </c>
      <c r="T124" s="450" cm="1">
        <f t="array" ref="T124">SUMPRODUCT((SVB!$S$2:$S$740&gt;=T311)*(SVB!$S$2:$S$740&lt;=T312)*(SVB!$B$2:$B$740="PPW")*(ISNUMBER(SVB!$M$2:$M$740))*(SVB!$M$2:$M$740))</f>
        <v>0</v>
      </c>
      <c r="U124" s="450" cm="1">
        <f t="array" ref="U124">SUMPRODUCT((SVB!$S$2:$S$740&gt;=U311)*(SVB!$S$2:$S$740&lt;=U312)*(SVB!$B$2:$B$740="PPW")*(ISNUMBER(SVB!$M$2:$M$740))*(SVB!$M$2:$M$740))</f>
        <v>0</v>
      </c>
      <c r="V124" s="544">
        <f>SUM(F124:U124)</f>
        <v>0</v>
      </c>
    </row>
    <row r="125" spans="1:22" ht="18" customHeight="1">
      <c r="A125" s="449" t="s">
        <v>908</v>
      </c>
      <c r="B125" s="450" cm="1">
        <f t="array" ref="B125">SUMPRODUCT((SVB!$S$2:$S$740&gt;=B311)*(SVB!$S$2:$S$740&lt;=B312)*(SVB!$B$2:$B$740="PPW")*(ISNUMBER(SVB!$N$2:$N$740))*(SVB!$N$2:$N$740))</f>
        <v>2</v>
      </c>
      <c r="C125" s="450" cm="1">
        <f t="array" ref="C125">SUMPRODUCT((SVB!$S$2:$S$740&gt;=C311)*(SVB!$S$2:$S$740&lt;=C312)*(SVB!$B$2:$B$740="PPW")*(ISNUMBER(SVB!$N$2:$N$740))*(SVB!$N$2:$N$740))</f>
        <v>0</v>
      </c>
      <c r="D125" s="450" cm="1">
        <f t="array" ref="D125">SUMPRODUCT((SVB!$S$2:$S$740&gt;=D311)*(SVB!$S$2:$S$740&lt;=D312)*(SVB!$B$2:$B$740="PPW")*(ISNUMBER(SVB!$N$2:$N$740))*(SVB!$N$2:$N$740))</f>
        <v>0</v>
      </c>
      <c r="E125" s="450" cm="1">
        <f t="array" ref="E125">SUMPRODUCT((SVB!$S$2:$S$740&gt;=E311)*(SVB!$S$2:$S$740&lt;=E312)*(SVB!$B$2:$B$740="PPW")*(ISNUMBER(SVB!$N$2:$N$740))*(SVB!$N$2:$N$740))</f>
        <v>0</v>
      </c>
      <c r="F125" s="450" cm="1">
        <f t="array" ref="F125">SUMPRODUCT((SVB!$S$2:$S$740&gt;=F311)*(SVB!$S$2:$S$740&lt;=F312)*(SVB!$B$2:$B$740="PPW")*(ISNUMBER(SVB!$N$2:$N$740))*(SVB!$N$2:$N$740))</f>
        <v>0</v>
      </c>
      <c r="G125" s="450" cm="1">
        <f t="array" ref="G125">SUMPRODUCT((SVB!$S$2:$S$740&gt;=G311)*(SVB!$S$2:$S$740&lt;=G312)*(SVB!$B$2:$B$740="PPW")*(ISNUMBER(SVB!$N$2:$N$740))*(SVB!$N$2:$N$740))</f>
        <v>0</v>
      </c>
      <c r="H125" s="450" cm="1">
        <f t="array" ref="H125">SUMPRODUCT((SVB!$S$2:$S$740&gt;=H311)*(SVB!$S$2:$S$740&lt;=H312)*(SVB!$B$2:$B$740="PPW")*(ISNUMBER(SVB!$N$2:$N$740))*(SVB!$N$2:$N$740))</f>
        <v>0</v>
      </c>
      <c r="I125" s="450" cm="1">
        <f t="array" ref="I125">SUMPRODUCT((SVB!$S$2:$S$740&gt;=I311)*(SVB!$S$2:$S$740&lt;=I312)*(SVB!$B$2:$B$740="PPW")*(ISNUMBER(SVB!$N$2:$N$740))*(SVB!$N$2:$N$740))</f>
        <v>0</v>
      </c>
      <c r="J125" s="450" cm="1">
        <f t="array" ref="J125">SUMPRODUCT((SVB!$S$2:$S$740&gt;=J311)*(SVB!$S$2:$S$740&lt;=J312)*(SVB!$B$2:$B$740="PPW")*(ISNUMBER(SVB!$N$2:$N$740))*(SVB!$N$2:$N$740))</f>
        <v>0</v>
      </c>
      <c r="K125" s="450" cm="1">
        <f t="array" ref="K125">SUMPRODUCT((SVB!$S$2:$S$740&gt;=K311)*(SVB!$S$2:$S$740&lt;=K312)*(SVB!$B$2:$B$740="PPW")*(ISNUMBER(SVB!$N$2:$N$740))*(SVB!$N$2:$N$740))</f>
        <v>0</v>
      </c>
      <c r="L125" s="450" cm="1">
        <f t="array" ref="L125">SUMPRODUCT((SVB!$S$2:$S$740&gt;=L311)*(SVB!$S$2:$S$740&lt;=L312)*(SVB!$B$2:$B$740="PPW")*(ISNUMBER(SVB!$N$2:$N$740))*(SVB!$N$2:$N$740))</f>
        <v>0</v>
      </c>
      <c r="M125" s="450" cm="1">
        <f t="array" ref="M125">SUMPRODUCT((SVB!$S$2:$S$740&gt;=M311)*(SVB!$S$2:$S$740&lt;=M312)*(SVB!$B$2:$B$740="PPW")*(ISNUMBER(SVB!$N$2:$N$740))*(SVB!$N$2:$N$740))</f>
        <v>0</v>
      </c>
      <c r="N125" s="450" cm="1">
        <f t="array" ref="N125">SUMPRODUCT((SVB!$S$2:$S$740&gt;=N311)*(SVB!$S$2:$S$740&lt;=N312)*(SVB!$B$2:$B$740="PPW")*(ISNUMBER(SVB!$N$2:$N$740))*(SVB!$N$2:$N$740))</f>
        <v>0</v>
      </c>
      <c r="O125" s="450" cm="1">
        <f t="array" ref="O125">SUMPRODUCT((SVB!$S$2:$S$740&gt;=O311)*(SVB!$S$2:$S$740&lt;=O312)*(SVB!$B$2:$B$740="PPW")*(ISNUMBER(SVB!$N$2:$N$740))*(SVB!$N$2:$N$740))</f>
        <v>0</v>
      </c>
      <c r="P125" s="450" cm="1">
        <f t="array" ref="P125">SUMPRODUCT((SVB!$S$2:$S$740&gt;=P311)*(SVB!$S$2:$S$740&lt;=P312)*(SVB!$B$2:$B$740="PPW")*(ISNUMBER(SVB!$N$2:$N$740))*(SVB!$N$2:$N$740))</f>
        <v>0</v>
      </c>
      <c r="Q125" s="450" cm="1">
        <f t="array" ref="Q125">SUMPRODUCT((SVB!$S$2:$S$740&gt;=Q311)*(SVB!$S$2:$S$740&lt;=Q312)*(SVB!$B$2:$B$740="PPW")*(ISNUMBER(SVB!$N$2:$N$740))*(SVB!$N$2:$N$740))</f>
        <v>0</v>
      </c>
      <c r="R125" s="450" cm="1">
        <f t="array" ref="R125">SUMPRODUCT((SVB!$S$2:$S$740&gt;=R311)*(SVB!$S$2:$S$740&lt;=R312)*(SVB!$B$2:$B$740="PPW")*(ISNUMBER(SVB!$N$2:$N$740))*(SVB!$N$2:$N$740))</f>
        <v>0</v>
      </c>
      <c r="S125" s="450" cm="1">
        <f t="array" ref="S125">SUMPRODUCT((SVB!$S$2:$S$740&gt;=S311)*(SVB!$S$2:$S$740&lt;=S312)*(SVB!$B$2:$B$740="PPW")*(ISNUMBER(SVB!$N$2:$N$740))*(SVB!$N$2:$N$740))</f>
        <v>0</v>
      </c>
      <c r="T125" s="450" cm="1">
        <f t="array" ref="T125">SUMPRODUCT((SVB!$S$2:$S$740&gt;=T311)*(SVB!$S$2:$S$740&lt;=T312)*(SVB!$B$2:$B$740="PPW")*(ISNUMBER(SVB!$N$2:$N$740))*(SVB!$N$2:$N$740))</f>
        <v>0</v>
      </c>
      <c r="U125" s="450" cm="1">
        <f t="array" ref="U125">SUMPRODUCT((SVB!$S$2:$S$740&gt;=U311)*(SVB!$S$2:$S$740&lt;=U312)*(SVB!$B$2:$B$740="PPW")*(ISNUMBER(SVB!$N$2:$N$740))*(SVB!$N$2:$N$740))</f>
        <v>0</v>
      </c>
      <c r="V125" s="544">
        <f>SUM(F125:U125)</f>
        <v>0</v>
      </c>
    </row>
    <row r="126" spans="1:22" ht="18" customHeight="1">
      <c r="A126" s="449" t="s">
        <v>909</v>
      </c>
      <c r="B126" s="450" cm="1">
        <f t="array" ref="B126">SUMPRODUCT((SVB!$S$2:$S$740&gt;=B311)*(SVB!$S$2:$S$740&lt;=B312)*(SVB!$B$2:$B$740="PPW")*(ISNUMBER(SVB!$O$2:$O$740))*(SVB!$O$2:$O$740))</f>
        <v>2</v>
      </c>
      <c r="C126" s="450" cm="1">
        <f t="array" ref="C126">SUMPRODUCT((SVB!$S$2:$S$740&gt;=C311)*(SVB!$S$2:$S$740&lt;=C312)*(SVB!$B$2:$B$740="PPW")*(ISNUMBER(SVB!$O$2:$O$740))*(SVB!$O$2:$O$740))</f>
        <v>0</v>
      </c>
      <c r="D126" s="450" cm="1">
        <f t="array" ref="D126">SUMPRODUCT((SVB!$S$2:$S$740&gt;=D311)*(SVB!$S$2:$S$740&lt;=D312)*(SVB!$B$2:$B$740="PPW")*(ISNUMBER(SVB!$O$2:$O$740))*(SVB!$O$2:$O$740))</f>
        <v>0</v>
      </c>
      <c r="E126" s="450" cm="1">
        <f t="array" ref="E126">SUMPRODUCT((SVB!$S$2:$S$740&gt;=E311)*(SVB!$S$2:$S$740&lt;=E312)*(SVB!$B$2:$B$740="PPW")*(ISNUMBER(SVB!$O$2:$O$740))*(SVB!$O$2:$O$740))</f>
        <v>0</v>
      </c>
      <c r="F126" s="450" cm="1">
        <f t="array" ref="F126">SUMPRODUCT((SVB!$S$2:$S$740&gt;=F311)*(SVB!$S$2:$S$740&lt;=F312)*(SVB!$B$2:$B$740="PPW")*(ISNUMBER(SVB!$O$2:$O$740))*(SVB!$O$2:$O$740))</f>
        <v>0</v>
      </c>
      <c r="G126" s="450" cm="1">
        <f t="array" ref="G126">SUMPRODUCT((SVB!$S$2:$S$740&gt;=G311)*(SVB!$S$2:$S$740&lt;=G312)*(SVB!$B$2:$B$740="PPW")*(ISNUMBER(SVB!$O$2:$O$740))*(SVB!$O$2:$O$740))</f>
        <v>0</v>
      </c>
      <c r="H126" s="450" cm="1">
        <f t="array" ref="H126">SUMPRODUCT((SVB!$S$2:$S$740&gt;=H311)*(SVB!$S$2:$S$740&lt;=H312)*(SVB!$B$2:$B$740="PPW")*(ISNUMBER(SVB!$O$2:$O$740))*(SVB!$O$2:$O$740))</f>
        <v>0</v>
      </c>
      <c r="I126" s="450" cm="1">
        <f t="array" ref="I126">SUMPRODUCT((SVB!$S$2:$S$740&gt;=I311)*(SVB!$S$2:$S$740&lt;=I312)*(SVB!$B$2:$B$740="PPW")*(ISNUMBER(SVB!$O$2:$O$740))*(SVB!$O$2:$O$740))</f>
        <v>0</v>
      </c>
      <c r="J126" s="450" cm="1">
        <f t="array" ref="J126">SUMPRODUCT((SVB!$S$2:$S$740&gt;=J311)*(SVB!$S$2:$S$740&lt;=J312)*(SVB!$B$2:$B$740="PPW")*(ISNUMBER(SVB!$O$2:$O$740))*(SVB!$O$2:$O$740))</f>
        <v>0</v>
      </c>
      <c r="K126" s="450" cm="1">
        <f t="array" ref="K126">SUMPRODUCT((SVB!$S$2:$S$740&gt;=K311)*(SVB!$S$2:$S$740&lt;=K312)*(SVB!$B$2:$B$740="PPW")*(ISNUMBER(SVB!$O$2:$O$740))*(SVB!$O$2:$O$740))</f>
        <v>0</v>
      </c>
      <c r="L126" s="450" cm="1">
        <f t="array" ref="L126">SUMPRODUCT((SVB!$S$2:$S$740&gt;=L311)*(SVB!$S$2:$S$740&lt;=L312)*(SVB!$B$2:$B$740="PPW")*(ISNUMBER(SVB!$O$2:$O$740))*(SVB!$O$2:$O$740))</f>
        <v>0</v>
      </c>
      <c r="M126" s="450" cm="1">
        <f t="array" ref="M126">SUMPRODUCT((SVB!$S$2:$S$740&gt;=M311)*(SVB!$S$2:$S$740&lt;=M312)*(SVB!$B$2:$B$740="PPW")*(ISNUMBER(SVB!$O$2:$O$740))*(SVB!$O$2:$O$740))</f>
        <v>0</v>
      </c>
      <c r="N126" s="450" cm="1">
        <f t="array" ref="N126">SUMPRODUCT((SVB!$S$2:$S$740&gt;=N311)*(SVB!$S$2:$S$740&lt;=N312)*(SVB!$B$2:$B$740="PPW")*(ISNUMBER(SVB!$O$2:$O$740))*(SVB!$O$2:$O$740))</f>
        <v>0</v>
      </c>
      <c r="O126" s="450" cm="1">
        <f t="array" ref="O126">SUMPRODUCT((SVB!$S$2:$S$740&gt;=O311)*(SVB!$S$2:$S$740&lt;=O312)*(SVB!$B$2:$B$740="PPW")*(ISNUMBER(SVB!$O$2:$O$740))*(SVB!$O$2:$O$740))</f>
        <v>0</v>
      </c>
      <c r="P126" s="450" cm="1">
        <f t="array" ref="P126">SUMPRODUCT((SVB!$S$2:$S$740&gt;=P311)*(SVB!$S$2:$S$740&lt;=P312)*(SVB!$B$2:$B$740="PPW")*(ISNUMBER(SVB!$O$2:$O$740))*(SVB!$O$2:$O$740))</f>
        <v>0</v>
      </c>
      <c r="Q126" s="450" cm="1">
        <f t="array" ref="Q126">SUMPRODUCT((SVB!$S$2:$S$740&gt;=Q311)*(SVB!$S$2:$S$740&lt;=Q312)*(SVB!$B$2:$B$740="PPW")*(ISNUMBER(SVB!$O$2:$O$740))*(SVB!$O$2:$O$740))</f>
        <v>0</v>
      </c>
      <c r="R126" s="450" cm="1">
        <f t="array" ref="R126">SUMPRODUCT((SVB!$S$2:$S$740&gt;=R311)*(SVB!$S$2:$S$740&lt;=R312)*(SVB!$B$2:$B$740="PPW")*(ISNUMBER(SVB!$O$2:$O$740))*(SVB!$O$2:$O$740))</f>
        <v>0</v>
      </c>
      <c r="S126" s="450" cm="1">
        <f t="array" ref="S126">SUMPRODUCT((SVB!$S$2:$S$740&gt;=S311)*(SVB!$S$2:$S$740&lt;=S312)*(SVB!$B$2:$B$740="PPW")*(ISNUMBER(SVB!$O$2:$O$740))*(SVB!$O$2:$O$740))</f>
        <v>0</v>
      </c>
      <c r="T126" s="450" cm="1">
        <f t="array" ref="T126">SUMPRODUCT((SVB!$S$2:$S$740&gt;=T311)*(SVB!$S$2:$S$740&lt;=T312)*(SVB!$B$2:$B$740="PPW")*(ISNUMBER(SVB!$O$2:$O$740))*(SVB!$O$2:$O$740))</f>
        <v>0</v>
      </c>
      <c r="U126" s="450" cm="1">
        <f t="array" ref="U126">SUMPRODUCT((SVB!$S$2:$S$740&gt;=U311)*(SVB!$S$2:$S$740&lt;=U312)*(SVB!$B$2:$B$740="PPW")*(ISNUMBER(SVB!$O$2:$O$740))*(SVB!$O$2:$O$740))</f>
        <v>0</v>
      </c>
      <c r="V126" s="544">
        <f>SUM(F126:U126)</f>
        <v>0</v>
      </c>
    </row>
    <row r="127" spans="1:22" s="562" customFormat="1" ht="19.5" customHeight="1">
      <c r="A127" s="565" t="s">
        <v>312</v>
      </c>
      <c r="B127" s="566">
        <f>MAX(B126-B123,0)</f>
        <v>0</v>
      </c>
      <c r="C127" s="566">
        <f t="shared" ref="C127" si="160">MAX(C126-C123,0)</f>
        <v>0</v>
      </c>
      <c r="D127" s="566">
        <f t="shared" ref="D127" si="161">MAX(D126-D123,0)</f>
        <v>0</v>
      </c>
      <c r="E127" s="566">
        <f t="shared" ref="E127" si="162">MAX(E126-E123,0)</f>
        <v>0</v>
      </c>
      <c r="F127" s="566">
        <f t="shared" ref="F127" si="163">MAX(F126-F123,0)</f>
        <v>0</v>
      </c>
      <c r="G127" s="566">
        <f t="shared" ref="G127" si="164">MAX(G126-G123,0)</f>
        <v>0</v>
      </c>
      <c r="H127" s="566">
        <f t="shared" ref="H127" si="165">MAX(H126-H123,0)</f>
        <v>0</v>
      </c>
      <c r="I127" s="566">
        <f t="shared" ref="I127" si="166">MAX(I126-I123,0)</f>
        <v>0</v>
      </c>
      <c r="J127" s="566">
        <f t="shared" ref="J127" si="167">MAX(J126-J123,0)</f>
        <v>0</v>
      </c>
      <c r="K127" s="566">
        <f t="shared" ref="K127" si="168">MAX(K126-K123,0)</f>
        <v>0</v>
      </c>
      <c r="L127" s="566">
        <f t="shared" ref="L127" si="169">MAX(L126-L123,0)</f>
        <v>0</v>
      </c>
      <c r="M127" s="566">
        <f t="shared" ref="M127" si="170">MAX(M126-M123,0)</f>
        <v>0</v>
      </c>
      <c r="N127" s="566">
        <f t="shared" ref="N127" si="171">MAX(N126-N123,0)</f>
        <v>0</v>
      </c>
      <c r="O127" s="566">
        <f t="shared" ref="O127" si="172">MAX(O126-O123,0)</f>
        <v>0</v>
      </c>
      <c r="P127" s="566">
        <f t="shared" ref="P127" si="173">MAX(P126-P123,0)</f>
        <v>0</v>
      </c>
      <c r="Q127" s="566">
        <f t="shared" ref="Q127:U127" si="174">MAX(Q126-Q123,0)</f>
        <v>0</v>
      </c>
      <c r="R127" s="566">
        <f t="shared" si="174"/>
        <v>0</v>
      </c>
      <c r="S127" s="566">
        <f t="shared" si="174"/>
        <v>0</v>
      </c>
      <c r="T127" s="566">
        <f t="shared" si="174"/>
        <v>0</v>
      </c>
      <c r="U127" s="566">
        <f t="shared" si="174"/>
        <v>0</v>
      </c>
      <c r="V127" s="567">
        <f>MAX(V126-V123,0)</f>
        <v>0</v>
      </c>
    </row>
    <row r="128" spans="1:22" s="562" customFormat="1" ht="19.5" customHeight="1">
      <c r="A128" s="565" t="s">
        <v>313</v>
      </c>
      <c r="B128" s="566">
        <f>MAX(B123-B126,0)</f>
        <v>0</v>
      </c>
      <c r="C128" s="566">
        <f t="shared" ref="C128:Q128" si="175">MAX(C123-C126,0)</f>
        <v>0</v>
      </c>
      <c r="D128" s="566">
        <f t="shared" si="175"/>
        <v>0</v>
      </c>
      <c r="E128" s="566">
        <f t="shared" si="175"/>
        <v>0</v>
      </c>
      <c r="F128" s="566">
        <f t="shared" si="175"/>
        <v>0</v>
      </c>
      <c r="G128" s="566">
        <f t="shared" si="175"/>
        <v>0</v>
      </c>
      <c r="H128" s="566">
        <f t="shared" si="175"/>
        <v>0</v>
      </c>
      <c r="I128" s="566">
        <f t="shared" si="175"/>
        <v>0</v>
      </c>
      <c r="J128" s="566">
        <f t="shared" si="175"/>
        <v>0</v>
      </c>
      <c r="K128" s="566">
        <f t="shared" si="175"/>
        <v>0</v>
      </c>
      <c r="L128" s="566">
        <f t="shared" si="175"/>
        <v>0</v>
      </c>
      <c r="M128" s="566">
        <f t="shared" si="175"/>
        <v>0</v>
      </c>
      <c r="N128" s="566">
        <f t="shared" si="175"/>
        <v>0</v>
      </c>
      <c r="O128" s="566">
        <f t="shared" si="175"/>
        <v>0</v>
      </c>
      <c r="P128" s="566">
        <f t="shared" si="175"/>
        <v>0</v>
      </c>
      <c r="Q128" s="566">
        <f t="shared" si="175"/>
        <v>0</v>
      </c>
      <c r="R128" s="566">
        <f t="shared" ref="R128:U128" si="176">MAX(R123-R126,0)</f>
        <v>0</v>
      </c>
      <c r="S128" s="566">
        <f t="shared" si="176"/>
        <v>0</v>
      </c>
      <c r="T128" s="566">
        <f t="shared" si="176"/>
        <v>6</v>
      </c>
      <c r="U128" s="566">
        <f t="shared" si="176"/>
        <v>0</v>
      </c>
      <c r="V128" s="567">
        <f>MAX(V123-V126,0)</f>
        <v>8</v>
      </c>
    </row>
    <row r="129" spans="1:22" ht="18" customHeight="1">
      <c r="A129" s="556" t="s">
        <v>316</v>
      </c>
      <c r="B129" s="557">
        <f t="shared" ref="B129:Q129" si="177">IF(B123=0,"-",(B124+B125+B126)/(B123*3))</f>
        <v>1</v>
      </c>
      <c r="C129" s="557" t="str">
        <f t="shared" si="177"/>
        <v>-</v>
      </c>
      <c r="D129" s="557" t="str">
        <f t="shared" si="177"/>
        <v>-</v>
      </c>
      <c r="E129" s="557" t="str">
        <f t="shared" si="177"/>
        <v>-</v>
      </c>
      <c r="F129" s="557" t="str">
        <f t="shared" si="177"/>
        <v>-</v>
      </c>
      <c r="G129" s="557" t="str">
        <f t="shared" si="177"/>
        <v>-</v>
      </c>
      <c r="H129" s="557" t="str">
        <f t="shared" si="177"/>
        <v>-</v>
      </c>
      <c r="I129" s="557" t="str">
        <f t="shared" si="177"/>
        <v>-</v>
      </c>
      <c r="J129" s="557" t="str">
        <f t="shared" si="177"/>
        <v>-</v>
      </c>
      <c r="K129" s="557" t="str">
        <f t="shared" si="177"/>
        <v>-</v>
      </c>
      <c r="L129" s="557" t="str">
        <f t="shared" si="177"/>
        <v>-</v>
      </c>
      <c r="M129" s="557" t="str">
        <f t="shared" si="177"/>
        <v>-</v>
      </c>
      <c r="N129" s="557" t="str">
        <f t="shared" si="177"/>
        <v>-</v>
      </c>
      <c r="O129" s="557" t="str">
        <f t="shared" si="177"/>
        <v>-</v>
      </c>
      <c r="P129" s="557" t="str">
        <f t="shared" si="177"/>
        <v>-</v>
      </c>
      <c r="Q129" s="557" t="str">
        <f t="shared" si="177"/>
        <v>-</v>
      </c>
      <c r="R129" s="557" t="str">
        <f t="shared" ref="R129:U129" si="178">IF(R123=0,"-",(R124+R125+R126)/(R123*3))</f>
        <v>-</v>
      </c>
      <c r="S129" s="557" t="str">
        <f t="shared" si="178"/>
        <v>-</v>
      </c>
      <c r="T129" s="557">
        <f t="shared" si="178"/>
        <v>0</v>
      </c>
      <c r="U129" s="557" t="str">
        <f t="shared" si="178"/>
        <v>-</v>
      </c>
      <c r="V129" s="545">
        <f t="shared" ref="V129" si="179">IF(V123=0,"-",(V124+V125+V126)/(V123*3))</f>
        <v>0</v>
      </c>
    </row>
    <row r="130" spans="1:22" ht="18" customHeight="1">
      <c r="A130" s="612" t="s">
        <v>910</v>
      </c>
      <c r="B130" s="613">
        <f>SUM($B126:B126)</f>
        <v>2</v>
      </c>
      <c r="C130" s="613">
        <f>SUM($B126:C126)</f>
        <v>2</v>
      </c>
      <c r="D130" s="613">
        <f>SUM($B126:D126)</f>
        <v>2</v>
      </c>
      <c r="E130" s="613">
        <f>SUM($B126:E126)</f>
        <v>2</v>
      </c>
      <c r="F130" s="613">
        <f>SUM($B126:F126)</f>
        <v>2</v>
      </c>
      <c r="G130" s="613">
        <f>SUM($B126:G126)</f>
        <v>2</v>
      </c>
      <c r="H130" s="613">
        <f>SUM($B126:H126)</f>
        <v>2</v>
      </c>
      <c r="I130" s="613">
        <f>SUM($B126:I126)</f>
        <v>2</v>
      </c>
      <c r="J130" s="613">
        <f>SUM($B126:J126)</f>
        <v>2</v>
      </c>
      <c r="K130" s="613">
        <f>SUM($B126:K126)</f>
        <v>2</v>
      </c>
      <c r="L130" s="613">
        <f>SUM($B126:L126)</f>
        <v>2</v>
      </c>
      <c r="M130" s="613">
        <f>SUM($B126:M126)</f>
        <v>2</v>
      </c>
      <c r="N130" s="613">
        <f>SUM($B126:N126)</f>
        <v>2</v>
      </c>
      <c r="O130" s="613">
        <f>SUM($B126:O126)</f>
        <v>2</v>
      </c>
      <c r="P130" s="613">
        <f>SUM($B126:P126)</f>
        <v>2</v>
      </c>
      <c r="Q130" s="613">
        <f>SUM($B126:Q126)</f>
        <v>2</v>
      </c>
      <c r="R130" s="613">
        <f>SUM($B126:R126)</f>
        <v>2</v>
      </c>
      <c r="S130" s="613">
        <f>SUM($B126:S126)</f>
        <v>2</v>
      </c>
      <c r="T130" s="613">
        <f>SUM($B126:T126)</f>
        <v>2</v>
      </c>
      <c r="U130" s="613">
        <f>SUM($B126:U126)</f>
        <v>2</v>
      </c>
      <c r="V130" s="544">
        <f>V126</f>
        <v>0</v>
      </c>
    </row>
    <row r="131" spans="1:22" ht="18" customHeight="1">
      <c r="A131" s="614" t="s">
        <v>308</v>
      </c>
      <c r="B131" s="615">
        <f>IF(B123=0,IF(B124=0,"-","100%"),B124/B123)</f>
        <v>1</v>
      </c>
      <c r="C131" s="615" t="str">
        <f t="shared" ref="C131:Q131" si="180">IF(C123=0,IF(C124=0,"-","100%"),C124/C123)</f>
        <v>-</v>
      </c>
      <c r="D131" s="615" t="str">
        <f t="shared" si="180"/>
        <v>-</v>
      </c>
      <c r="E131" s="615" t="str">
        <f t="shared" si="180"/>
        <v>-</v>
      </c>
      <c r="F131" s="615" t="str">
        <f t="shared" si="180"/>
        <v>-</v>
      </c>
      <c r="G131" s="615" t="str">
        <f t="shared" si="180"/>
        <v>-</v>
      </c>
      <c r="H131" s="615" t="str">
        <f t="shared" si="180"/>
        <v>-</v>
      </c>
      <c r="I131" s="615" t="str">
        <f t="shared" si="180"/>
        <v>-</v>
      </c>
      <c r="J131" s="615" t="str">
        <f t="shared" si="180"/>
        <v>-</v>
      </c>
      <c r="K131" s="615" t="str">
        <f t="shared" si="180"/>
        <v>-</v>
      </c>
      <c r="L131" s="615" t="str">
        <f t="shared" si="180"/>
        <v>-</v>
      </c>
      <c r="M131" s="615" t="str">
        <f t="shared" si="180"/>
        <v>-</v>
      </c>
      <c r="N131" s="615" t="str">
        <f t="shared" si="180"/>
        <v>-</v>
      </c>
      <c r="O131" s="615" t="str">
        <f t="shared" si="180"/>
        <v>-</v>
      </c>
      <c r="P131" s="615" t="str">
        <f t="shared" si="180"/>
        <v>-</v>
      </c>
      <c r="Q131" s="615" t="str">
        <f t="shared" si="180"/>
        <v>-</v>
      </c>
      <c r="R131" s="615" t="str">
        <f t="shared" ref="R131:U131" si="181">IF(R123=0,IF(R124=0,"-","100%"),R124/R123)</f>
        <v>-</v>
      </c>
      <c r="S131" s="615" t="str">
        <f t="shared" si="181"/>
        <v>-</v>
      </c>
      <c r="T131" s="615">
        <f t="shared" si="181"/>
        <v>0</v>
      </c>
      <c r="U131" s="615" t="str">
        <f t="shared" si="181"/>
        <v>-</v>
      </c>
      <c r="V131" s="616">
        <f>IF(V123=0,"-",V124/V123)</f>
        <v>0</v>
      </c>
    </row>
    <row r="132" spans="1:22" ht="18" customHeight="1">
      <c r="A132" s="614" t="s">
        <v>310</v>
      </c>
      <c r="B132" s="615">
        <f>IF(B123=0,IF(B125=0,"-","100%"),B125/B123)</f>
        <v>1</v>
      </c>
      <c r="C132" s="615" t="str">
        <f t="shared" ref="C132:Q132" si="182">IF(C123=0,IF(C125=0,"-","100%"),C125/C123)</f>
        <v>-</v>
      </c>
      <c r="D132" s="615" t="str">
        <f t="shared" si="182"/>
        <v>-</v>
      </c>
      <c r="E132" s="615" t="str">
        <f t="shared" si="182"/>
        <v>-</v>
      </c>
      <c r="F132" s="615" t="str">
        <f t="shared" si="182"/>
        <v>-</v>
      </c>
      <c r="G132" s="615" t="str">
        <f t="shared" si="182"/>
        <v>-</v>
      </c>
      <c r="H132" s="615" t="str">
        <f t="shared" si="182"/>
        <v>-</v>
      </c>
      <c r="I132" s="615" t="str">
        <f t="shared" si="182"/>
        <v>-</v>
      </c>
      <c r="J132" s="615" t="str">
        <f t="shared" si="182"/>
        <v>-</v>
      </c>
      <c r="K132" s="615" t="str">
        <f t="shared" si="182"/>
        <v>-</v>
      </c>
      <c r="L132" s="615" t="str">
        <f t="shared" si="182"/>
        <v>-</v>
      </c>
      <c r="M132" s="615" t="str">
        <f t="shared" si="182"/>
        <v>-</v>
      </c>
      <c r="N132" s="615" t="str">
        <f t="shared" si="182"/>
        <v>-</v>
      </c>
      <c r="O132" s="615" t="str">
        <f t="shared" si="182"/>
        <v>-</v>
      </c>
      <c r="P132" s="615" t="str">
        <f t="shared" si="182"/>
        <v>-</v>
      </c>
      <c r="Q132" s="615" t="str">
        <f t="shared" si="182"/>
        <v>-</v>
      </c>
      <c r="R132" s="615" t="str">
        <f t="shared" ref="R132:U132" si="183">IF(R123=0,IF(R125=0,"-","100%"),R125/R123)</f>
        <v>-</v>
      </c>
      <c r="S132" s="615" t="str">
        <f t="shared" si="183"/>
        <v>-</v>
      </c>
      <c r="T132" s="615">
        <f t="shared" si="183"/>
        <v>0</v>
      </c>
      <c r="U132" s="615" t="str">
        <f t="shared" si="183"/>
        <v>-</v>
      </c>
      <c r="V132" s="616">
        <f>IF(V123=0,"-",V125/V123)</f>
        <v>0</v>
      </c>
    </row>
    <row r="133" spans="1:22" ht="18" customHeight="1">
      <c r="A133" s="614" t="s">
        <v>314</v>
      </c>
      <c r="B133" s="615">
        <f>IF(B123=0,IF(B126=0,"-","100%"),B126/B123)</f>
        <v>1</v>
      </c>
      <c r="C133" s="615" t="str">
        <f t="shared" ref="C133:Q133" si="184">IF(C123=0,IF(C126=0,"-","100%"),C126/C123)</f>
        <v>-</v>
      </c>
      <c r="D133" s="615" t="str">
        <f t="shared" si="184"/>
        <v>-</v>
      </c>
      <c r="E133" s="615" t="str">
        <f t="shared" si="184"/>
        <v>-</v>
      </c>
      <c r="F133" s="615" t="str">
        <f t="shared" si="184"/>
        <v>-</v>
      </c>
      <c r="G133" s="615" t="str">
        <f t="shared" si="184"/>
        <v>-</v>
      </c>
      <c r="H133" s="615" t="str">
        <f t="shared" si="184"/>
        <v>-</v>
      </c>
      <c r="I133" s="615" t="str">
        <f t="shared" si="184"/>
        <v>-</v>
      </c>
      <c r="J133" s="615" t="str">
        <f t="shared" si="184"/>
        <v>-</v>
      </c>
      <c r="K133" s="615" t="str">
        <f t="shared" si="184"/>
        <v>-</v>
      </c>
      <c r="L133" s="615" t="str">
        <f t="shared" si="184"/>
        <v>-</v>
      </c>
      <c r="M133" s="615" t="str">
        <f t="shared" si="184"/>
        <v>-</v>
      </c>
      <c r="N133" s="615" t="str">
        <f t="shared" si="184"/>
        <v>-</v>
      </c>
      <c r="O133" s="615" t="str">
        <f t="shared" si="184"/>
        <v>-</v>
      </c>
      <c r="P133" s="615" t="str">
        <f t="shared" si="184"/>
        <v>-</v>
      </c>
      <c r="Q133" s="615" t="str">
        <f t="shared" si="184"/>
        <v>-</v>
      </c>
      <c r="R133" s="615" t="str">
        <f t="shared" ref="R133:U133" si="185">IF(R123=0,IF(R126=0,"-","100%"),R126/R123)</f>
        <v>-</v>
      </c>
      <c r="S133" s="615" t="str">
        <f t="shared" si="185"/>
        <v>-</v>
      </c>
      <c r="T133" s="615">
        <f t="shared" si="185"/>
        <v>0</v>
      </c>
      <c r="U133" s="615" t="str">
        <f t="shared" si="185"/>
        <v>-</v>
      </c>
      <c r="V133" s="616">
        <f>IF(V123=0,"-",V126/V123)</f>
        <v>0</v>
      </c>
    </row>
    <row r="134" spans="1:22" s="562" customFormat="1" ht="19.5" customHeight="1">
      <c r="A134" s="565" t="s">
        <v>317</v>
      </c>
      <c r="B134" s="566">
        <f>SUM($B123:B123)</f>
        <v>2</v>
      </c>
      <c r="C134" s="566">
        <f>SUM($B123:C123)</f>
        <v>2</v>
      </c>
      <c r="D134" s="566">
        <f>SUM($B123:D123)</f>
        <v>2</v>
      </c>
      <c r="E134" s="566">
        <f>SUM($B123:E123)</f>
        <v>2</v>
      </c>
      <c r="F134" s="566">
        <f>SUM($B123:F123)</f>
        <v>2</v>
      </c>
      <c r="G134" s="566">
        <f>SUM($B123:G123)</f>
        <v>2</v>
      </c>
      <c r="H134" s="566">
        <f>SUM($B123:H123)</f>
        <v>2</v>
      </c>
      <c r="I134" s="566">
        <f>SUM($B123:I123)</f>
        <v>2</v>
      </c>
      <c r="J134" s="566">
        <f>SUM($B123:J123)</f>
        <v>2</v>
      </c>
      <c r="K134" s="566">
        <f>SUM($B123:K123)</f>
        <v>2</v>
      </c>
      <c r="L134" s="566">
        <f>SUM($B123:L123)</f>
        <v>2</v>
      </c>
      <c r="M134" s="566">
        <f>SUM($B123:M123)</f>
        <v>2</v>
      </c>
      <c r="N134" s="566">
        <f>SUM($B123:N123)</f>
        <v>2</v>
      </c>
      <c r="O134" s="566">
        <f>SUM($B123:O123)</f>
        <v>2</v>
      </c>
      <c r="P134" s="566">
        <f>SUM($B123:P123)</f>
        <v>2</v>
      </c>
      <c r="Q134" s="566">
        <f>SUM($B123:Q123)</f>
        <v>2</v>
      </c>
      <c r="R134" s="566">
        <f>SUM($B123:R123)</f>
        <v>2</v>
      </c>
      <c r="S134" s="566">
        <f>SUM($B123:S123)</f>
        <v>2</v>
      </c>
      <c r="T134" s="566">
        <f>SUM($B123:T123)</f>
        <v>8</v>
      </c>
      <c r="U134" s="566">
        <f>SUM($B123:U123)</f>
        <v>8</v>
      </c>
      <c r="V134" s="567">
        <f>V123</f>
        <v>8</v>
      </c>
    </row>
    <row r="135" spans="1:22" s="562" customFormat="1" ht="19.5" customHeight="1">
      <c r="A135" s="565" t="s">
        <v>318</v>
      </c>
      <c r="B135" s="566">
        <f>SUM($B126:B126)</f>
        <v>2</v>
      </c>
      <c r="C135" s="566">
        <f>SUM($B126:C126)</f>
        <v>2</v>
      </c>
      <c r="D135" s="566">
        <f>SUM($B126:D126)</f>
        <v>2</v>
      </c>
      <c r="E135" s="566">
        <f>SUM($B126:E126)</f>
        <v>2</v>
      </c>
      <c r="F135" s="566">
        <f>SUM($B126:F126)</f>
        <v>2</v>
      </c>
      <c r="G135" s="566">
        <f>SUM($B126:G126)</f>
        <v>2</v>
      </c>
      <c r="H135" s="566">
        <f>SUM($B126:H126)</f>
        <v>2</v>
      </c>
      <c r="I135" s="566">
        <f>SUM($B126:I126)</f>
        <v>2</v>
      </c>
      <c r="J135" s="566">
        <f>SUM($B126:J126)</f>
        <v>2</v>
      </c>
      <c r="K135" s="566">
        <f>SUM($B126:K126)</f>
        <v>2</v>
      </c>
      <c r="L135" s="566">
        <f>SUM($B126:L126)</f>
        <v>2</v>
      </c>
      <c r="M135" s="566">
        <f>SUM($B126:M126)</f>
        <v>2</v>
      </c>
      <c r="N135" s="566">
        <f>SUM($B126:N126)</f>
        <v>2</v>
      </c>
      <c r="O135" s="566">
        <f>SUM($B126:O126)</f>
        <v>2</v>
      </c>
      <c r="P135" s="566">
        <f>SUM($B126:P126)</f>
        <v>2</v>
      </c>
      <c r="Q135" s="566">
        <f>SUM($B126:Q126)</f>
        <v>2</v>
      </c>
      <c r="R135" s="566">
        <f>SUM($B126:R126)</f>
        <v>2</v>
      </c>
      <c r="S135" s="566">
        <f>SUM($B126:S126)</f>
        <v>2</v>
      </c>
      <c r="T135" s="566">
        <f>SUM($B126:T126)</f>
        <v>2</v>
      </c>
      <c r="U135" s="566">
        <f>SUM($B126:U126)</f>
        <v>2</v>
      </c>
      <c r="V135" s="567">
        <f>V126</f>
        <v>0</v>
      </c>
    </row>
    <row r="136" spans="1:22" s="562" customFormat="1" ht="19.5" customHeight="1">
      <c r="A136" s="559" t="s">
        <v>319</v>
      </c>
      <c r="B136" s="560" t="e">
        <f>IF(#REF!=0,"-",B135/#REF!)</f>
        <v>#REF!</v>
      </c>
      <c r="C136" s="560" t="e">
        <f>IF(#REF!=0,"-",C135/#REF!)</f>
        <v>#REF!</v>
      </c>
      <c r="D136" s="560" t="e">
        <f>IF(#REF!=0,"-",D135/#REF!)</f>
        <v>#REF!</v>
      </c>
      <c r="E136" s="560" t="e">
        <f>IF(#REF!=0,"-",E135/#REF!)</f>
        <v>#REF!</v>
      </c>
      <c r="F136" s="560" t="e">
        <f>IF(#REF!=0,"-",F135/#REF!)</f>
        <v>#REF!</v>
      </c>
      <c r="G136" s="560" t="e">
        <f>IF(#REF!=0,"-",G135/#REF!)</f>
        <v>#REF!</v>
      </c>
      <c r="H136" s="560" t="e">
        <f>IF(#REF!=0,"-",H135/#REF!)</f>
        <v>#REF!</v>
      </c>
      <c r="I136" s="560" t="e">
        <f>IF(#REF!=0,"-",I135/#REF!)</f>
        <v>#REF!</v>
      </c>
      <c r="J136" s="560" t="e">
        <f>IF(#REF!=0,"-",J135/#REF!)</f>
        <v>#REF!</v>
      </c>
      <c r="K136" s="560" t="e">
        <f>IF(#REF!=0,"-",K135/#REF!)</f>
        <v>#REF!</v>
      </c>
      <c r="L136" s="560" t="e">
        <f>IF(#REF!=0,"-",L135/#REF!)</f>
        <v>#REF!</v>
      </c>
      <c r="M136" s="560" t="e">
        <f>IF(#REF!=0,"-",M135/#REF!)</f>
        <v>#REF!</v>
      </c>
      <c r="N136" s="560" t="e">
        <f>IF(#REF!=0,"-",N135/#REF!)</f>
        <v>#REF!</v>
      </c>
      <c r="O136" s="560" t="e">
        <f>IF(#REF!=0,"-",O135/#REF!)</f>
        <v>#REF!</v>
      </c>
      <c r="P136" s="560" t="e">
        <f>IF(#REF!=0,"-",P135/#REF!)</f>
        <v>#REF!</v>
      </c>
      <c r="Q136" s="560" t="e">
        <f>IF(#REF!=0,"-",Q135/#REF!)</f>
        <v>#REF!</v>
      </c>
      <c r="R136" s="560" t="e">
        <f>IF(#REF!=0,"-",R135/#REF!)</f>
        <v>#REF!</v>
      </c>
      <c r="S136" s="560" t="e">
        <f>IF(#REF!=0,"-",S135/#REF!)</f>
        <v>#REF!</v>
      </c>
      <c r="T136" s="560" t="e">
        <f>IF(#REF!=0,"-",T135/#REF!)</f>
        <v>#REF!</v>
      </c>
      <c r="U136" s="560" t="e">
        <f>IF(#REF!=0,"-",U135/#REF!)</f>
        <v>#REF!</v>
      </c>
      <c r="V136" s="561" t="e">
        <f>IF(#REF!=0,"-",V135/#REF!)</f>
        <v>#REF!</v>
      </c>
    </row>
    <row r="137" spans="1:22" s="562" customFormat="1" ht="19.5" customHeight="1">
      <c r="A137" s="563" t="s">
        <v>320</v>
      </c>
      <c r="B137" s="564" t="e">
        <f>IF(#REF!=0,"-",B134/#REF!)</f>
        <v>#REF!</v>
      </c>
      <c r="C137" s="564" t="e">
        <f>IF(#REF!=0,"-",C134/#REF!)</f>
        <v>#REF!</v>
      </c>
      <c r="D137" s="564" t="e">
        <f>IF(#REF!=0,"-",D134/#REF!)</f>
        <v>#REF!</v>
      </c>
      <c r="E137" s="564" t="e">
        <f>IF(#REF!=0,"-",E134/#REF!)</f>
        <v>#REF!</v>
      </c>
      <c r="F137" s="564" t="e">
        <f>IF(#REF!=0,"-",F134/#REF!)</f>
        <v>#REF!</v>
      </c>
      <c r="G137" s="564" t="e">
        <f>IF(#REF!=0,"-",G134/#REF!)</f>
        <v>#REF!</v>
      </c>
      <c r="H137" s="564" t="e">
        <f>IF(#REF!=0,"-",H134/#REF!)</f>
        <v>#REF!</v>
      </c>
      <c r="I137" s="564" t="e">
        <f>IF(#REF!=0,"-",I134/#REF!)</f>
        <v>#REF!</v>
      </c>
      <c r="J137" s="564" t="e">
        <f>IF(#REF!=0,"-",J134/#REF!)</f>
        <v>#REF!</v>
      </c>
      <c r="K137" s="564" t="e">
        <f>IF(#REF!=0,"-",K134/#REF!)</f>
        <v>#REF!</v>
      </c>
      <c r="L137" s="564" t="e">
        <f>IF(#REF!=0,"-",L134/#REF!)</f>
        <v>#REF!</v>
      </c>
      <c r="M137" s="564" t="e">
        <f>IF(#REF!=0,"-",M134/#REF!)</f>
        <v>#REF!</v>
      </c>
      <c r="N137" s="564" t="e">
        <f>IF(#REF!=0,"-",N134/#REF!)</f>
        <v>#REF!</v>
      </c>
      <c r="O137" s="564" t="e">
        <f>IF(#REF!=0,"-",O134/#REF!)</f>
        <v>#REF!</v>
      </c>
      <c r="P137" s="564" t="e">
        <f>IF(#REF!=0,"-",P134/#REF!)</f>
        <v>#REF!</v>
      </c>
      <c r="Q137" s="564" t="e">
        <f>IF(#REF!=0,"-",Q134/#REF!)</f>
        <v>#REF!</v>
      </c>
      <c r="R137" s="564" t="e">
        <f>IF(#REF!=0,"-",R134/#REF!)</f>
        <v>#REF!</v>
      </c>
      <c r="S137" s="564" t="e">
        <f>IF(#REF!=0,"-",S134/#REF!)</f>
        <v>#REF!</v>
      </c>
      <c r="T137" s="564" t="e">
        <f>IF(#REF!=0,"-",T134/#REF!)</f>
        <v>#REF!</v>
      </c>
      <c r="U137" s="564" t="e">
        <f>IF(#REF!=0,"-",U134/#REF!)</f>
        <v>#REF!</v>
      </c>
      <c r="V137" s="561" t="e">
        <f>IF(#REF!=0,"-",V134/#REF!)</f>
        <v>#REF!</v>
      </c>
    </row>
    <row r="138" spans="1:22" s="558" customFormat="1" ht="4.5" customHeight="1"/>
    <row r="139" spans="1:22" ht="24" customHeight="1">
      <c r="A139" s="974" t="s">
        <v>926</v>
      </c>
      <c r="B139" s="975"/>
      <c r="C139" s="975"/>
      <c r="D139" s="975"/>
      <c r="E139" s="975"/>
      <c r="F139" s="975"/>
      <c r="G139" s="975"/>
      <c r="H139" s="975"/>
      <c r="I139" s="975"/>
      <c r="J139" s="975"/>
      <c r="K139" s="975"/>
      <c r="L139" s="975"/>
      <c r="M139" s="975"/>
      <c r="N139" s="975"/>
      <c r="O139" s="975"/>
      <c r="P139" s="975"/>
      <c r="Q139" s="975"/>
      <c r="R139" s="975"/>
      <c r="S139" s="975"/>
      <c r="T139" s="975"/>
      <c r="U139" s="975"/>
      <c r="V139" s="975"/>
    </row>
    <row r="140" spans="1:22" ht="18" customHeight="1">
      <c r="A140" s="542" t="s">
        <v>303</v>
      </c>
      <c r="B140" s="543" cm="1">
        <f t="array" ref="B140">SUMPRODUCT((SVB!$R$2:$R$740&gt;=B311)*(SVB!$R$2:$R$740&lt;=B312)*(SVB!$B$2:$B$740="RFF")*(ISNUMBER(SVB!$F$2:$F$740))*(SVB!$F$2:$F$740))</f>
        <v>2</v>
      </c>
      <c r="C140" s="543" cm="1">
        <f t="array" ref="C140">SUMPRODUCT((SVB!$R$2:$R$740&gt;=C311)*(SVB!$R$2:$R$740&lt;=C312)*(SVB!$B$2:$B$740="RFF")*(ISNUMBER(SVB!$F$2:$F$740))*(SVB!$F$2:$F$740))</f>
        <v>0</v>
      </c>
      <c r="D140" s="543" cm="1">
        <f t="array" ref="D140">SUMPRODUCT((SVB!$R$2:$R$740&gt;=D311)*(SVB!$R$2:$R$740&lt;=D312)*(SVB!$B$2:$B$740="RFF")*(ISNUMBER(SVB!$F$2:$F$740))*(SVB!$F$2:$F$740))</f>
        <v>0</v>
      </c>
      <c r="E140" s="543" cm="1">
        <f t="array" ref="E140">SUMPRODUCT((SVB!$R$2:$R$740&gt;=E311)*(SVB!$R$2:$R$740&lt;=E312)*(SVB!$B$2:$B$740="RFF")*(ISNUMBER(SVB!$F$2:$F$740))*(SVB!$F$2:$F$740))</f>
        <v>0</v>
      </c>
      <c r="F140" s="543" cm="1">
        <f t="array" ref="F140">SUMPRODUCT((SVB!$R$2:$R$740&gt;=F311)*(SVB!$R$2:$R$740&lt;=F312)*(SVB!$B$2:$B$740="RFF")*(ISNUMBER(SVB!$F$2:$F$740))*(SVB!$F$2:$F$740))</f>
        <v>0</v>
      </c>
      <c r="G140" s="543" cm="1">
        <f t="array" ref="G140">SUMPRODUCT((SVB!$R$2:$R$740&gt;=G311)*(SVB!$R$2:$R$740&lt;=G312)*(SVB!$B$2:$B$740="RFF")*(ISNUMBER(SVB!$F$2:$F$740))*(SVB!$F$2:$F$740))</f>
        <v>0</v>
      </c>
      <c r="H140" s="543" cm="1">
        <f t="array" ref="H140">SUMPRODUCT((SVB!$R$2:$R$740&gt;=H311)*(SVB!$R$2:$R$740&lt;=H312)*(SVB!$B$2:$B$740="RFF")*(ISNUMBER(SVB!$F$2:$F$740))*(SVB!$F$2:$F$740))</f>
        <v>0</v>
      </c>
      <c r="I140" s="543" cm="1">
        <f t="array" ref="I140">SUMPRODUCT((SVB!$R$2:$R$740&gt;=I311)*(SVB!$R$2:$R$740&lt;=I312)*(SVB!$B$2:$B$740="RFF")*(ISNUMBER(SVB!$F$2:$F$740))*(SVB!$F$2:$F$740))</f>
        <v>0</v>
      </c>
      <c r="J140" s="543" cm="1">
        <f t="array" ref="J140">SUMPRODUCT((SVB!$R$2:$R$740&gt;=J311)*(SVB!$R$2:$R$740&lt;=J312)*(SVB!$B$2:$B$740="RFF")*(ISNUMBER(SVB!$F$2:$F$740))*(SVB!$F$2:$F$740))</f>
        <v>0</v>
      </c>
      <c r="K140" s="543" cm="1">
        <f t="array" ref="K140">SUMPRODUCT((SVB!$R$2:$R$740&gt;=K311)*(SVB!$R$2:$R$740&lt;=K312)*(SVB!$B$2:$B$740="RFF")*(ISNUMBER(SVB!$F$2:$F$740))*(SVB!$F$2:$F$740))</f>
        <v>0</v>
      </c>
      <c r="L140" s="543" cm="1">
        <f t="array" ref="L140">SUMPRODUCT((SVB!$R$2:$R$740&gt;=L311)*(SVB!$R$2:$R$740&lt;=L312)*(SVB!$B$2:$B$740="RFF")*(ISNUMBER(SVB!$F$2:$F$740))*(SVB!$F$2:$F$740))</f>
        <v>0</v>
      </c>
      <c r="M140" s="543" cm="1">
        <f t="array" ref="M140">SUMPRODUCT((SVB!$R$2:$R$740&gt;=M311)*(SVB!$R$2:$R$740&lt;=M312)*(SVB!$B$2:$B$740="RFF")*(ISNUMBER(SVB!$F$2:$F$740))*(SVB!$F$2:$F$740))</f>
        <v>0</v>
      </c>
      <c r="N140" s="543" cm="1">
        <f t="array" ref="N140">SUMPRODUCT((SVB!$R$2:$R$740&gt;=N311)*(SVB!$R$2:$R$740&lt;=N312)*(SVB!$B$2:$B$740="RFF")*(ISNUMBER(SVB!$F$2:$F$740))*(SVB!$F$2:$F$740))</f>
        <v>0</v>
      </c>
      <c r="O140" s="543" cm="1">
        <f t="array" ref="O140">SUMPRODUCT((SVB!$R$2:$R$740&gt;=O311)*(SVB!$R$2:$R$740&lt;=O312)*(SVB!$B$2:$B$740="RFF")*(ISNUMBER(SVB!$F$2:$F$740))*(SVB!$F$2:$F$740))</f>
        <v>0</v>
      </c>
      <c r="P140" s="543" cm="1">
        <f t="array" ref="P140">SUMPRODUCT((SVB!$R$2:$R$740&gt;=P311)*(SVB!$R$2:$R$740&lt;=P312)*(SVB!$B$2:$B$740="RFF")*(ISNUMBER(SVB!$F$2:$F$740))*(SVB!$F$2:$F$740))</f>
        <v>0</v>
      </c>
      <c r="Q140" s="543" cm="1">
        <f t="array" ref="Q140">SUMPRODUCT((SVB!$R$2:$R$740&gt;=Q311)*(SVB!$R$2:$R$740&lt;=Q312)*(SVB!$B$2:$B$740="RFF")*(ISNUMBER(SVB!$F$2:$F$740))*(SVB!$F$2:$F$740))</f>
        <v>0</v>
      </c>
      <c r="R140" s="543" cm="1">
        <f t="array" ref="R140">SUMPRODUCT((SVB!$R$2:$R$740&gt;=R311)*(SVB!$R$2:$R$740&lt;=R312)*(SVB!$B$2:$B$740="RFF")*(ISNUMBER(SVB!$F$2:$F$740))*(SVB!$F$2:$F$740))</f>
        <v>95</v>
      </c>
      <c r="S140" s="543" cm="1">
        <f t="array" ref="S140">SUMPRODUCT((SVB!$R$2:$R$740&gt;=S311)*(SVB!$R$2:$R$740&lt;=S312)*(SVB!$B$2:$B$740="RFF")*(ISNUMBER(SVB!$F$2:$F$740))*(SVB!$F$2:$F$740))</f>
        <v>2</v>
      </c>
      <c r="T140" s="543" cm="1">
        <f t="array" ref="T140">SUMPRODUCT((SVB!$R$2:$R$740&gt;=T311)*(SVB!$R$2:$R$740&lt;=T312)*(SVB!$B$2:$B$740="RFF")*(ISNUMBER(SVB!$F$2:$F$740))*(SVB!$F$2:$F$740))</f>
        <v>0</v>
      </c>
      <c r="U140" s="543" cm="1">
        <f t="array" ref="U140">SUMPRODUCT((SVB!$R$2:$R$740&gt;=U311)*(SVB!$R$2:$R$740&lt;=U312)*(SVB!$B$2:$B$740="RFF")*(ISNUMBER(SVB!$F$2:$F$740))*(SVB!$F$2:$F$740))</f>
        <v>0</v>
      </c>
      <c r="V140" s="544" cm="1">
        <f t="array" ref="V140">SUMPRODUCT((SVB!$B$2:$B$740="RFF")*(ISNUMBER(SVB!$F$2:$F$740))*(SVB!$F$2:$F$740))</f>
        <v>99</v>
      </c>
    </row>
    <row r="141" spans="1:22" ht="18" customHeight="1">
      <c r="A141" s="449" t="s">
        <v>907</v>
      </c>
      <c r="B141" s="450" cm="1">
        <f t="array" ref="B141">SUMPRODUCT((SVB!$S$2:$S$740&gt;=B311)*(SVB!$S$2:$S$740&lt;=B312)*(SVB!$B$2:$B$740="RFF")*(ISNUMBER(SVB!$M$2:$M$740))*(SVB!$M$2:$M$740))</f>
        <v>2</v>
      </c>
      <c r="C141" s="450" cm="1">
        <f t="array" ref="C141">SUMPRODUCT((SVB!$S$2:$S$740&gt;=C311)*(SVB!$S$2:$S$740&lt;=C312)*(SVB!$B$2:$B$740="RFF")*(ISNUMBER(SVB!$M$2:$M$740))*(SVB!$M$2:$M$740))</f>
        <v>0</v>
      </c>
      <c r="D141" s="450" cm="1">
        <f t="array" ref="D141">SUMPRODUCT((SVB!$S$2:$S$740&gt;=D311)*(SVB!$S$2:$S$740&lt;=D312)*(SVB!$B$2:$B$740="RFF")*(ISNUMBER(SVB!$M$2:$M$740))*(SVB!$M$2:$M$740))</f>
        <v>0</v>
      </c>
      <c r="E141" s="450" cm="1">
        <f t="array" ref="E141">SUMPRODUCT((SVB!$S$2:$S$740&gt;=E311)*(SVB!$S$2:$S$740&lt;=E312)*(SVB!$B$2:$B$740="RFF")*(ISNUMBER(SVB!$M$2:$M$740))*(SVB!$M$2:$M$740))</f>
        <v>0</v>
      </c>
      <c r="F141" s="450" cm="1">
        <f t="array" ref="F141">SUMPRODUCT((SVB!$S$2:$S$740&gt;=F311)*(SVB!$S$2:$S$740&lt;=F312)*(SVB!$B$2:$B$740="RFF")*(ISNUMBER(SVB!$M$2:$M$740))*(SVB!$M$2:$M$740))</f>
        <v>0</v>
      </c>
      <c r="G141" s="450" cm="1">
        <f t="array" ref="G141">SUMPRODUCT((SVB!$S$2:$S$740&gt;=G311)*(SVB!$S$2:$S$740&lt;=G312)*(SVB!$B$2:$B$740="RFF")*(ISNUMBER(SVB!$M$2:$M$740))*(SVB!$M$2:$M$740))</f>
        <v>0</v>
      </c>
      <c r="H141" s="450" cm="1">
        <f t="array" ref="H141">SUMPRODUCT((SVB!$S$2:$S$740&gt;=H311)*(SVB!$S$2:$S$740&lt;=H312)*(SVB!$B$2:$B$740="RFF")*(ISNUMBER(SVB!$M$2:$M$740))*(SVB!$M$2:$M$740))</f>
        <v>0</v>
      </c>
      <c r="I141" s="450" cm="1">
        <f t="array" ref="I141">SUMPRODUCT((SVB!$S$2:$S$740&gt;=I311)*(SVB!$S$2:$S$740&lt;=I312)*(SVB!$B$2:$B$740="RFF")*(ISNUMBER(SVB!$M$2:$M$740))*(SVB!$M$2:$M$740))</f>
        <v>0</v>
      </c>
      <c r="J141" s="450" cm="1">
        <f t="array" ref="J141">SUMPRODUCT((SVB!$S$2:$S$740&gt;=J311)*(SVB!$S$2:$S$740&lt;=J312)*(SVB!$B$2:$B$740="RFF")*(ISNUMBER(SVB!$M$2:$M$740))*(SVB!$M$2:$M$740))</f>
        <v>0</v>
      </c>
      <c r="K141" s="450" cm="1">
        <f t="array" ref="K141">SUMPRODUCT((SVB!$S$2:$S$740&gt;=K311)*(SVB!$S$2:$S$740&lt;=K312)*(SVB!$B$2:$B$740="RFF")*(ISNUMBER(SVB!$M$2:$M$740))*(SVB!$M$2:$M$740))</f>
        <v>0</v>
      </c>
      <c r="L141" s="450" cm="1">
        <f t="array" ref="L141">SUMPRODUCT((SVB!$S$2:$S$740&gt;=L311)*(SVB!$S$2:$S$740&lt;=L312)*(SVB!$B$2:$B$740="RFF")*(ISNUMBER(SVB!$M$2:$M$740))*(SVB!$M$2:$M$740))</f>
        <v>0</v>
      </c>
      <c r="M141" s="450" cm="1">
        <f t="array" ref="M141">SUMPRODUCT((SVB!$S$2:$S$740&gt;=M311)*(SVB!$S$2:$S$740&lt;=M312)*(SVB!$B$2:$B$740="RFF")*(ISNUMBER(SVB!$M$2:$M$740))*(SVB!$M$2:$M$740))</f>
        <v>0</v>
      </c>
      <c r="N141" s="450" cm="1">
        <f t="array" ref="N141">SUMPRODUCT((SVB!$S$2:$S$740&gt;=N311)*(SVB!$S$2:$S$740&lt;=N312)*(SVB!$B$2:$B$740="RFF")*(ISNUMBER(SVB!$M$2:$M$740))*(SVB!$M$2:$M$740))</f>
        <v>0</v>
      </c>
      <c r="O141" s="450" cm="1">
        <f t="array" ref="O141">SUMPRODUCT((SVB!$S$2:$S$740&gt;=O311)*(SVB!$S$2:$S$740&lt;=O312)*(SVB!$B$2:$B$740="RFF")*(ISNUMBER(SVB!$M$2:$M$740))*(SVB!$M$2:$M$740))</f>
        <v>0</v>
      </c>
      <c r="P141" s="450" cm="1">
        <f t="array" ref="P141">SUMPRODUCT((SVB!$S$2:$S$740&gt;=P311)*(SVB!$S$2:$S$740&lt;=P312)*(SVB!$B$2:$B$740="RFF")*(ISNUMBER(SVB!$M$2:$M$740))*(SVB!$M$2:$M$740))</f>
        <v>0</v>
      </c>
      <c r="Q141" s="450" cm="1">
        <f t="array" ref="Q141">SUMPRODUCT((SVB!$S$2:$S$740&gt;=Q311)*(SVB!$S$2:$S$740&lt;=Q312)*(SVB!$B$2:$B$740="RFF")*(ISNUMBER(SVB!$M$2:$M$740))*(SVB!$M$2:$M$740))</f>
        <v>0</v>
      </c>
      <c r="R141" s="450" cm="1">
        <f t="array" ref="R141">SUMPRODUCT((SVB!$S$2:$S$740&gt;=R311)*(SVB!$S$2:$S$740&lt;=R312)*(SVB!$B$2:$B$740="RFF")*(ISNUMBER(SVB!$M$2:$M$740))*(SVB!$M$2:$M$740))</f>
        <v>0</v>
      </c>
      <c r="S141" s="450" cm="1">
        <f t="array" ref="S141">SUMPRODUCT((SVB!$S$2:$S$740&gt;=S311)*(SVB!$S$2:$S$740&lt;=S312)*(SVB!$B$2:$B$740="RFF")*(ISNUMBER(SVB!$M$2:$M$740))*(SVB!$M$2:$M$740))</f>
        <v>0</v>
      </c>
      <c r="T141" s="450" cm="1">
        <f t="array" ref="T141">SUMPRODUCT((SVB!$S$2:$S$740&gt;=T311)*(SVB!$S$2:$S$740&lt;=T312)*(SVB!$B$2:$B$740="RFF")*(ISNUMBER(SVB!$M$2:$M$740))*(SVB!$M$2:$M$740))</f>
        <v>0</v>
      </c>
      <c r="U141" s="450" cm="1">
        <f t="array" ref="U141">SUMPRODUCT((SVB!$S$2:$S$740&gt;=U311)*(SVB!$S$2:$S$740&lt;=U312)*(SVB!$B$2:$B$740="RFF")*(ISNUMBER(SVB!$M$2:$M$740))*(SVB!$M$2:$M$740))</f>
        <v>0</v>
      </c>
      <c r="V141" s="544">
        <f>SUM(F141:U141)</f>
        <v>0</v>
      </c>
    </row>
    <row r="142" spans="1:22" ht="18" customHeight="1">
      <c r="A142" s="449" t="s">
        <v>908</v>
      </c>
      <c r="B142" s="450" cm="1">
        <f t="array" ref="B142">SUMPRODUCT((SVB!$S$2:$S$740&gt;=B311)*(SVB!$S$2:$S$740&lt;=B312)*(SVB!$B$2:$B$740="RFF")*(ISNUMBER(SVB!$N$2:$N$740))*(SVB!$N$2:$N$740))</f>
        <v>2</v>
      </c>
      <c r="C142" s="450" cm="1">
        <f t="array" ref="C142">SUMPRODUCT((SVB!$S$2:$S$740&gt;=C311)*(SVB!$S$2:$S$740&lt;=C312)*(SVB!$B$2:$B$740="RFF")*(ISNUMBER(SVB!$N$2:$N$740))*(SVB!$N$2:$N$740))</f>
        <v>0</v>
      </c>
      <c r="D142" s="450" cm="1">
        <f t="array" ref="D142">SUMPRODUCT((SVB!$S$2:$S$740&gt;=D311)*(SVB!$S$2:$S$740&lt;=D312)*(SVB!$B$2:$B$740="RFF")*(ISNUMBER(SVB!$N$2:$N$740))*(SVB!$N$2:$N$740))</f>
        <v>0</v>
      </c>
      <c r="E142" s="450" cm="1">
        <f t="array" ref="E142">SUMPRODUCT((SVB!$S$2:$S$740&gt;=E311)*(SVB!$S$2:$S$740&lt;=E312)*(SVB!$B$2:$B$740="RFF")*(ISNUMBER(SVB!$N$2:$N$740))*(SVB!$N$2:$N$740))</f>
        <v>0</v>
      </c>
      <c r="F142" s="450" cm="1">
        <f t="array" ref="F142">SUMPRODUCT((SVB!$S$2:$S$740&gt;=F311)*(SVB!$S$2:$S$740&lt;=F312)*(SVB!$B$2:$B$740="RFF")*(ISNUMBER(SVB!$N$2:$N$740))*(SVB!$N$2:$N$740))</f>
        <v>0</v>
      </c>
      <c r="G142" s="450" cm="1">
        <f t="array" ref="G142">SUMPRODUCT((SVB!$S$2:$S$740&gt;=G311)*(SVB!$S$2:$S$740&lt;=G312)*(SVB!$B$2:$B$740="RFF")*(ISNUMBER(SVB!$N$2:$N$740))*(SVB!$N$2:$N$740))</f>
        <v>0</v>
      </c>
      <c r="H142" s="450" cm="1">
        <f t="array" ref="H142">SUMPRODUCT((SVB!$S$2:$S$740&gt;=H311)*(SVB!$S$2:$S$740&lt;=H312)*(SVB!$B$2:$B$740="RFF")*(ISNUMBER(SVB!$N$2:$N$740))*(SVB!$N$2:$N$740))</f>
        <v>0</v>
      </c>
      <c r="I142" s="450" cm="1">
        <f t="array" ref="I142">SUMPRODUCT((SVB!$S$2:$S$740&gt;=I311)*(SVB!$S$2:$S$740&lt;=I312)*(SVB!$B$2:$B$740="RFF")*(ISNUMBER(SVB!$N$2:$N$740))*(SVB!$N$2:$N$740))</f>
        <v>0</v>
      </c>
      <c r="J142" s="450" cm="1">
        <f t="array" ref="J142">SUMPRODUCT((SVB!$S$2:$S$740&gt;=J311)*(SVB!$S$2:$S$740&lt;=J312)*(SVB!$B$2:$B$740="RFF")*(ISNUMBER(SVB!$N$2:$N$740))*(SVB!$N$2:$N$740))</f>
        <v>0</v>
      </c>
      <c r="K142" s="450" cm="1">
        <f t="array" ref="K142">SUMPRODUCT((SVB!$S$2:$S$740&gt;=K311)*(SVB!$S$2:$S$740&lt;=K312)*(SVB!$B$2:$B$740="RFF")*(ISNUMBER(SVB!$N$2:$N$740))*(SVB!$N$2:$N$740))</f>
        <v>0</v>
      </c>
      <c r="L142" s="450" cm="1">
        <f t="array" ref="L142">SUMPRODUCT((SVB!$S$2:$S$740&gt;=L311)*(SVB!$S$2:$S$740&lt;=L312)*(SVB!$B$2:$B$740="RFF")*(ISNUMBER(SVB!$N$2:$N$740))*(SVB!$N$2:$N$740))</f>
        <v>0</v>
      </c>
      <c r="M142" s="450" cm="1">
        <f t="array" ref="M142">SUMPRODUCT((SVB!$S$2:$S$740&gt;=M311)*(SVB!$S$2:$S$740&lt;=M312)*(SVB!$B$2:$B$740="RFF")*(ISNUMBER(SVB!$N$2:$N$740))*(SVB!$N$2:$N$740))</f>
        <v>0</v>
      </c>
      <c r="N142" s="450" cm="1">
        <f t="array" ref="N142">SUMPRODUCT((SVB!$S$2:$S$740&gt;=N311)*(SVB!$S$2:$S$740&lt;=N312)*(SVB!$B$2:$B$740="RFF")*(ISNUMBER(SVB!$N$2:$N$740))*(SVB!$N$2:$N$740))</f>
        <v>0</v>
      </c>
      <c r="O142" s="450" cm="1">
        <f t="array" ref="O142">SUMPRODUCT((SVB!$S$2:$S$740&gt;=O311)*(SVB!$S$2:$S$740&lt;=O312)*(SVB!$B$2:$B$740="RFF")*(ISNUMBER(SVB!$N$2:$N$740))*(SVB!$N$2:$N$740))</f>
        <v>0</v>
      </c>
      <c r="P142" s="450" cm="1">
        <f t="array" ref="P142">SUMPRODUCT((SVB!$S$2:$S$740&gt;=P311)*(SVB!$S$2:$S$740&lt;=P312)*(SVB!$B$2:$B$740="RFF")*(ISNUMBER(SVB!$N$2:$N$740))*(SVB!$N$2:$N$740))</f>
        <v>0</v>
      </c>
      <c r="Q142" s="450" cm="1">
        <f t="array" ref="Q142">SUMPRODUCT((SVB!$S$2:$S$740&gt;=Q311)*(SVB!$S$2:$S$740&lt;=Q312)*(SVB!$B$2:$B$740="RFF")*(ISNUMBER(SVB!$N$2:$N$740))*(SVB!$N$2:$N$740))</f>
        <v>0</v>
      </c>
      <c r="R142" s="450" cm="1">
        <f t="array" ref="R142">SUMPRODUCT((SVB!$S$2:$S$740&gt;=R311)*(SVB!$S$2:$S$740&lt;=R312)*(SVB!$B$2:$B$740="RFF")*(ISNUMBER(SVB!$N$2:$N$740))*(SVB!$N$2:$N$740))</f>
        <v>0</v>
      </c>
      <c r="S142" s="450" cm="1">
        <f t="array" ref="S142">SUMPRODUCT((SVB!$S$2:$S$740&gt;=S311)*(SVB!$S$2:$S$740&lt;=S312)*(SVB!$B$2:$B$740="RFF")*(ISNUMBER(SVB!$N$2:$N$740))*(SVB!$N$2:$N$740))</f>
        <v>0</v>
      </c>
      <c r="T142" s="450" cm="1">
        <f t="array" ref="T142">SUMPRODUCT((SVB!$S$2:$S$740&gt;=T311)*(SVB!$S$2:$S$740&lt;=T312)*(SVB!$B$2:$B$740="RFF")*(ISNUMBER(SVB!$N$2:$N$740))*(SVB!$N$2:$N$740))</f>
        <v>0</v>
      </c>
      <c r="U142" s="450" cm="1">
        <f t="array" ref="U142">SUMPRODUCT((SVB!$S$2:$S$740&gt;=U311)*(SVB!$S$2:$S$740&lt;=U312)*(SVB!$B$2:$B$740="RFF")*(ISNUMBER(SVB!$N$2:$N$740))*(SVB!$N$2:$N$740))</f>
        <v>0</v>
      </c>
      <c r="V142" s="544">
        <f>SUM(F142:U142)</f>
        <v>0</v>
      </c>
    </row>
    <row r="143" spans="1:22" ht="18" customHeight="1">
      <c r="A143" s="449" t="s">
        <v>909</v>
      </c>
      <c r="B143" s="450" cm="1">
        <f t="array" ref="B143">SUMPRODUCT((SVB!$S$2:$S$740&gt;=B311)*(SVB!$S$2:$S$740&lt;=B312)*(SVB!$B$2:$B$740="RFF")*(ISNUMBER(SVB!$O$2:$O$740))*(SVB!$O$2:$O$740))</f>
        <v>2</v>
      </c>
      <c r="C143" s="450" cm="1">
        <f t="array" ref="C143">SUMPRODUCT((SVB!$S$2:$S$740&gt;=C311)*(SVB!$S$2:$S$740&lt;=C312)*(SVB!$B$2:$B$740="RFF")*(ISNUMBER(SVB!$O$2:$O$740))*(SVB!$O$2:$O$740))</f>
        <v>0</v>
      </c>
      <c r="D143" s="450" cm="1">
        <f t="array" ref="D143">SUMPRODUCT((SVB!$S$2:$S$740&gt;=D311)*(SVB!$S$2:$S$740&lt;=D312)*(SVB!$B$2:$B$740="RFF")*(ISNUMBER(SVB!$O$2:$O$740))*(SVB!$O$2:$O$740))</f>
        <v>0</v>
      </c>
      <c r="E143" s="450" cm="1">
        <f t="array" ref="E143">SUMPRODUCT((SVB!$S$2:$S$740&gt;=E311)*(SVB!$S$2:$S$740&lt;=E312)*(SVB!$B$2:$B$740="RFF")*(ISNUMBER(SVB!$O$2:$O$740))*(SVB!$O$2:$O$740))</f>
        <v>0</v>
      </c>
      <c r="F143" s="450" cm="1">
        <f t="array" ref="F143">SUMPRODUCT((SVB!$S$2:$S$740&gt;=F311)*(SVB!$S$2:$S$740&lt;=F312)*(SVB!$B$2:$B$740="RFF")*(ISNUMBER(SVB!$O$2:$O$740))*(SVB!$O$2:$O$740))</f>
        <v>0</v>
      </c>
      <c r="G143" s="450" cm="1">
        <f t="array" ref="G143">SUMPRODUCT((SVB!$S$2:$S$740&gt;=G311)*(SVB!$S$2:$S$740&lt;=G312)*(SVB!$B$2:$B$740="RFF")*(ISNUMBER(SVB!$O$2:$O$740))*(SVB!$O$2:$O$740))</f>
        <v>0</v>
      </c>
      <c r="H143" s="450" cm="1">
        <f t="array" ref="H143">SUMPRODUCT((SVB!$S$2:$S$740&gt;=H311)*(SVB!$S$2:$S$740&lt;=H312)*(SVB!$B$2:$B$740="RFF")*(ISNUMBER(SVB!$O$2:$O$740))*(SVB!$O$2:$O$740))</f>
        <v>0</v>
      </c>
      <c r="I143" s="450" cm="1">
        <f t="array" ref="I143">SUMPRODUCT((SVB!$S$2:$S$740&gt;=I311)*(SVB!$S$2:$S$740&lt;=I312)*(SVB!$B$2:$B$740="RFF")*(ISNUMBER(SVB!$O$2:$O$740))*(SVB!$O$2:$O$740))</f>
        <v>0</v>
      </c>
      <c r="J143" s="450" cm="1">
        <f t="array" ref="J143">SUMPRODUCT((SVB!$S$2:$S$740&gt;=J311)*(SVB!$S$2:$S$740&lt;=J312)*(SVB!$B$2:$B$740="RFF")*(ISNUMBER(SVB!$O$2:$O$740))*(SVB!$O$2:$O$740))</f>
        <v>0</v>
      </c>
      <c r="K143" s="450" cm="1">
        <f t="array" ref="K143">SUMPRODUCT((SVB!$S$2:$S$740&gt;=K311)*(SVB!$S$2:$S$740&lt;=K312)*(SVB!$B$2:$B$740="RFF")*(ISNUMBER(SVB!$O$2:$O$740))*(SVB!$O$2:$O$740))</f>
        <v>0</v>
      </c>
      <c r="L143" s="450" cm="1">
        <f t="array" ref="L143">SUMPRODUCT((SVB!$S$2:$S$740&gt;=L311)*(SVB!$S$2:$S$740&lt;=L312)*(SVB!$B$2:$B$740="RFF")*(ISNUMBER(SVB!$O$2:$O$740))*(SVB!$O$2:$O$740))</f>
        <v>0</v>
      </c>
      <c r="M143" s="450" cm="1">
        <f t="array" ref="M143">SUMPRODUCT((SVB!$S$2:$S$740&gt;=M311)*(SVB!$S$2:$S$740&lt;=M312)*(SVB!$B$2:$B$740="RFF")*(ISNUMBER(SVB!$O$2:$O$740))*(SVB!$O$2:$O$740))</f>
        <v>0</v>
      </c>
      <c r="N143" s="450" cm="1">
        <f t="array" ref="N143">SUMPRODUCT((SVB!$S$2:$S$740&gt;=N311)*(SVB!$S$2:$S$740&lt;=N312)*(SVB!$B$2:$B$740="RFF")*(ISNUMBER(SVB!$O$2:$O$740))*(SVB!$O$2:$O$740))</f>
        <v>0</v>
      </c>
      <c r="O143" s="450" cm="1">
        <f t="array" ref="O143">SUMPRODUCT((SVB!$S$2:$S$740&gt;=O311)*(SVB!$S$2:$S$740&lt;=O312)*(SVB!$B$2:$B$740="RFF")*(ISNUMBER(SVB!$O$2:$O$740))*(SVB!$O$2:$O$740))</f>
        <v>0</v>
      </c>
      <c r="P143" s="450" cm="1">
        <f t="array" ref="P143">SUMPRODUCT((SVB!$S$2:$S$740&gt;=P311)*(SVB!$S$2:$S$740&lt;=P312)*(SVB!$B$2:$B$740="RFF")*(ISNUMBER(SVB!$O$2:$O$740))*(SVB!$O$2:$O$740))</f>
        <v>0</v>
      </c>
      <c r="Q143" s="450" cm="1">
        <f t="array" ref="Q143">SUMPRODUCT((SVB!$S$2:$S$740&gt;=Q311)*(SVB!$S$2:$S$740&lt;=Q312)*(SVB!$B$2:$B$740="RFF")*(ISNUMBER(SVB!$O$2:$O$740))*(SVB!$O$2:$O$740))</f>
        <v>0</v>
      </c>
      <c r="R143" s="450" cm="1">
        <f t="array" ref="R143">SUMPRODUCT((SVB!$S$2:$S$740&gt;=R311)*(SVB!$S$2:$S$740&lt;=R312)*(SVB!$B$2:$B$740="RFF")*(ISNUMBER(SVB!$O$2:$O$740))*(SVB!$O$2:$O$740))</f>
        <v>0</v>
      </c>
      <c r="S143" s="450" cm="1">
        <f t="array" ref="S143">SUMPRODUCT((SVB!$S$2:$S$740&gt;=S311)*(SVB!$S$2:$S$740&lt;=S312)*(SVB!$B$2:$B$740="RFF")*(ISNUMBER(SVB!$O$2:$O$740))*(SVB!$O$2:$O$740))</f>
        <v>0</v>
      </c>
      <c r="T143" s="450" cm="1">
        <f t="array" ref="T143">SUMPRODUCT((SVB!$S$2:$S$740&gt;=T311)*(SVB!$S$2:$S$740&lt;=T312)*(SVB!$B$2:$B$740="RFF")*(ISNUMBER(SVB!$O$2:$O$740))*(SVB!$O$2:$O$740))</f>
        <v>0</v>
      </c>
      <c r="U143" s="450" cm="1">
        <f t="array" ref="U143">SUMPRODUCT((SVB!$S$2:$S$740&gt;=U311)*(SVB!$S$2:$S$740&lt;=U312)*(SVB!$B$2:$B$740="RFF")*(ISNUMBER(SVB!$O$2:$O$740))*(SVB!$O$2:$O$740))</f>
        <v>0</v>
      </c>
      <c r="V143" s="544">
        <f>SUM(F143:U143)</f>
        <v>0</v>
      </c>
    </row>
    <row r="144" spans="1:22" s="562" customFormat="1" ht="19.5" customHeight="1">
      <c r="A144" s="565" t="s">
        <v>312</v>
      </c>
      <c r="B144" s="566">
        <f>MAX(B143-B140,0)</f>
        <v>0</v>
      </c>
      <c r="C144" s="566">
        <f t="shared" ref="C144" si="186">MAX(C143-C140,0)</f>
        <v>0</v>
      </c>
      <c r="D144" s="566">
        <f t="shared" ref="D144" si="187">MAX(D143-D140,0)</f>
        <v>0</v>
      </c>
      <c r="E144" s="566">
        <f t="shared" ref="E144" si="188">MAX(E143-E140,0)</f>
        <v>0</v>
      </c>
      <c r="F144" s="566">
        <f t="shared" ref="F144" si="189">MAX(F143-F140,0)</f>
        <v>0</v>
      </c>
      <c r="G144" s="566">
        <f t="shared" ref="G144" si="190">MAX(G143-G140,0)</f>
        <v>0</v>
      </c>
      <c r="H144" s="566">
        <f t="shared" ref="H144" si="191">MAX(H143-H140,0)</f>
        <v>0</v>
      </c>
      <c r="I144" s="566">
        <f t="shared" ref="I144" si="192">MAX(I143-I140,0)</f>
        <v>0</v>
      </c>
      <c r="J144" s="566">
        <f t="shared" ref="J144" si="193">MAX(J143-J140,0)</f>
        <v>0</v>
      </c>
      <c r="K144" s="566">
        <f t="shared" ref="K144" si="194">MAX(K143-K140,0)</f>
        <v>0</v>
      </c>
      <c r="L144" s="566">
        <f t="shared" ref="L144" si="195">MAX(L143-L140,0)</f>
        <v>0</v>
      </c>
      <c r="M144" s="566">
        <f t="shared" ref="M144" si="196">MAX(M143-M140,0)</f>
        <v>0</v>
      </c>
      <c r="N144" s="566">
        <f t="shared" ref="N144" si="197">MAX(N143-N140,0)</f>
        <v>0</v>
      </c>
      <c r="O144" s="566">
        <f t="shared" ref="O144" si="198">MAX(O143-O140,0)</f>
        <v>0</v>
      </c>
      <c r="P144" s="566">
        <f t="shared" ref="P144" si="199">MAX(P143-P140,0)</f>
        <v>0</v>
      </c>
      <c r="Q144" s="566">
        <f t="shared" ref="Q144:U144" si="200">MAX(Q143-Q140,0)</f>
        <v>0</v>
      </c>
      <c r="R144" s="566">
        <f t="shared" si="200"/>
        <v>0</v>
      </c>
      <c r="S144" s="566">
        <f t="shared" si="200"/>
        <v>0</v>
      </c>
      <c r="T144" s="566">
        <f t="shared" si="200"/>
        <v>0</v>
      </c>
      <c r="U144" s="566">
        <f t="shared" si="200"/>
        <v>0</v>
      </c>
      <c r="V144" s="567">
        <f>MAX(V143-V140,0)</f>
        <v>0</v>
      </c>
    </row>
    <row r="145" spans="1:22" s="562" customFormat="1" ht="19.5" customHeight="1">
      <c r="A145" s="565" t="s">
        <v>313</v>
      </c>
      <c r="B145" s="566">
        <f>MAX(B140-B143,0)</f>
        <v>0</v>
      </c>
      <c r="C145" s="566">
        <f t="shared" ref="C145:Q145" si="201">MAX(C140-C143,0)</f>
        <v>0</v>
      </c>
      <c r="D145" s="566">
        <f t="shared" si="201"/>
        <v>0</v>
      </c>
      <c r="E145" s="566">
        <f t="shared" si="201"/>
        <v>0</v>
      </c>
      <c r="F145" s="566">
        <f t="shared" si="201"/>
        <v>0</v>
      </c>
      <c r="G145" s="566">
        <f t="shared" si="201"/>
        <v>0</v>
      </c>
      <c r="H145" s="566">
        <f t="shared" si="201"/>
        <v>0</v>
      </c>
      <c r="I145" s="566">
        <f t="shared" si="201"/>
        <v>0</v>
      </c>
      <c r="J145" s="566">
        <f t="shared" si="201"/>
        <v>0</v>
      </c>
      <c r="K145" s="566">
        <f t="shared" si="201"/>
        <v>0</v>
      </c>
      <c r="L145" s="566">
        <f t="shared" si="201"/>
        <v>0</v>
      </c>
      <c r="M145" s="566">
        <f t="shared" si="201"/>
        <v>0</v>
      </c>
      <c r="N145" s="566">
        <f t="shared" si="201"/>
        <v>0</v>
      </c>
      <c r="O145" s="566">
        <f t="shared" si="201"/>
        <v>0</v>
      </c>
      <c r="P145" s="566">
        <f t="shared" si="201"/>
        <v>0</v>
      </c>
      <c r="Q145" s="566">
        <f t="shared" si="201"/>
        <v>0</v>
      </c>
      <c r="R145" s="566">
        <f t="shared" ref="R145:U145" si="202">MAX(R140-R143,0)</f>
        <v>95</v>
      </c>
      <c r="S145" s="566">
        <f t="shared" si="202"/>
        <v>2</v>
      </c>
      <c r="T145" s="566">
        <f t="shared" si="202"/>
        <v>0</v>
      </c>
      <c r="U145" s="566">
        <f t="shared" si="202"/>
        <v>0</v>
      </c>
      <c r="V145" s="567">
        <f>MAX(V140-V143,0)</f>
        <v>99</v>
      </c>
    </row>
    <row r="146" spans="1:22" ht="18" customHeight="1">
      <c r="A146" s="556" t="s">
        <v>316</v>
      </c>
      <c r="B146" s="557">
        <f t="shared" ref="B146:Q146" si="203">IF(B140=0,"-",(B141+B142+B143)/(B140*3))</f>
        <v>1</v>
      </c>
      <c r="C146" s="557" t="str">
        <f t="shared" si="203"/>
        <v>-</v>
      </c>
      <c r="D146" s="557" t="str">
        <f t="shared" si="203"/>
        <v>-</v>
      </c>
      <c r="E146" s="557" t="str">
        <f t="shared" si="203"/>
        <v>-</v>
      </c>
      <c r="F146" s="557" t="str">
        <f t="shared" si="203"/>
        <v>-</v>
      </c>
      <c r="G146" s="557" t="str">
        <f t="shared" si="203"/>
        <v>-</v>
      </c>
      <c r="H146" s="557" t="str">
        <f t="shared" si="203"/>
        <v>-</v>
      </c>
      <c r="I146" s="557" t="str">
        <f t="shared" si="203"/>
        <v>-</v>
      </c>
      <c r="J146" s="557" t="str">
        <f t="shared" si="203"/>
        <v>-</v>
      </c>
      <c r="K146" s="557" t="str">
        <f t="shared" si="203"/>
        <v>-</v>
      </c>
      <c r="L146" s="557" t="str">
        <f t="shared" si="203"/>
        <v>-</v>
      </c>
      <c r="M146" s="557" t="str">
        <f t="shared" si="203"/>
        <v>-</v>
      </c>
      <c r="N146" s="557" t="str">
        <f t="shared" si="203"/>
        <v>-</v>
      </c>
      <c r="O146" s="557" t="str">
        <f t="shared" si="203"/>
        <v>-</v>
      </c>
      <c r="P146" s="557" t="str">
        <f t="shared" si="203"/>
        <v>-</v>
      </c>
      <c r="Q146" s="557" t="str">
        <f t="shared" si="203"/>
        <v>-</v>
      </c>
      <c r="R146" s="557">
        <f t="shared" ref="R146:U146" si="204">IF(R140=0,"-",(R141+R142+R143)/(R140*3))</f>
        <v>0</v>
      </c>
      <c r="S146" s="557">
        <f t="shared" si="204"/>
        <v>0</v>
      </c>
      <c r="T146" s="557" t="str">
        <f t="shared" si="204"/>
        <v>-</v>
      </c>
      <c r="U146" s="557" t="str">
        <f t="shared" si="204"/>
        <v>-</v>
      </c>
      <c r="V146" s="545">
        <f t="shared" ref="V146" si="205">IF(V140=0,"-",(V141+V142+V143)/(V140*3))</f>
        <v>0</v>
      </c>
    </row>
    <row r="147" spans="1:22" ht="18" customHeight="1">
      <c r="A147" s="612" t="s">
        <v>910</v>
      </c>
      <c r="B147" s="613">
        <f>SUM($B143:B143)</f>
        <v>2</v>
      </c>
      <c r="C147" s="613">
        <f>SUM($B143:C143)</f>
        <v>2</v>
      </c>
      <c r="D147" s="613">
        <f>SUM($B143:D143)</f>
        <v>2</v>
      </c>
      <c r="E147" s="613">
        <f>SUM($B143:E143)</f>
        <v>2</v>
      </c>
      <c r="F147" s="613">
        <f>SUM($B143:F143)</f>
        <v>2</v>
      </c>
      <c r="G147" s="613">
        <f>SUM($B143:G143)</f>
        <v>2</v>
      </c>
      <c r="H147" s="613">
        <f>SUM($B143:H143)</f>
        <v>2</v>
      </c>
      <c r="I147" s="613">
        <f>SUM($B143:I143)</f>
        <v>2</v>
      </c>
      <c r="J147" s="613">
        <f>SUM($B143:J143)</f>
        <v>2</v>
      </c>
      <c r="K147" s="613">
        <f>SUM($B143:K143)</f>
        <v>2</v>
      </c>
      <c r="L147" s="613">
        <f>SUM($B143:L143)</f>
        <v>2</v>
      </c>
      <c r="M147" s="613">
        <f>SUM($B143:M143)</f>
        <v>2</v>
      </c>
      <c r="N147" s="613">
        <f>SUM($B143:N143)</f>
        <v>2</v>
      </c>
      <c r="O147" s="613">
        <f>SUM($B143:O143)</f>
        <v>2</v>
      </c>
      <c r="P147" s="613">
        <f>SUM($B143:P143)</f>
        <v>2</v>
      </c>
      <c r="Q147" s="613">
        <f>SUM($B143:Q143)</f>
        <v>2</v>
      </c>
      <c r="R147" s="613">
        <f>SUM($B143:R143)</f>
        <v>2</v>
      </c>
      <c r="S147" s="613">
        <f>SUM($B143:S143)</f>
        <v>2</v>
      </c>
      <c r="T147" s="613">
        <f>SUM($B143:T143)</f>
        <v>2</v>
      </c>
      <c r="U147" s="613">
        <f>SUM($B143:U143)</f>
        <v>2</v>
      </c>
      <c r="V147" s="544">
        <f>V143</f>
        <v>0</v>
      </c>
    </row>
    <row r="148" spans="1:22" ht="18" customHeight="1">
      <c r="A148" s="614" t="s">
        <v>308</v>
      </c>
      <c r="B148" s="615">
        <f>IF(B140=0,IF(B141=0,"-","100%"),B141/B140)</f>
        <v>1</v>
      </c>
      <c r="C148" s="615" t="str">
        <f t="shared" ref="C148:Q148" si="206">IF(C140=0,IF(C141=0,"-","100%"),C141/C140)</f>
        <v>-</v>
      </c>
      <c r="D148" s="615" t="str">
        <f t="shared" si="206"/>
        <v>-</v>
      </c>
      <c r="E148" s="615" t="str">
        <f t="shared" si="206"/>
        <v>-</v>
      </c>
      <c r="F148" s="615" t="str">
        <f t="shared" si="206"/>
        <v>-</v>
      </c>
      <c r="G148" s="615" t="str">
        <f t="shared" si="206"/>
        <v>-</v>
      </c>
      <c r="H148" s="615" t="str">
        <f t="shared" si="206"/>
        <v>-</v>
      </c>
      <c r="I148" s="615" t="str">
        <f t="shared" si="206"/>
        <v>-</v>
      </c>
      <c r="J148" s="615" t="str">
        <f t="shared" si="206"/>
        <v>-</v>
      </c>
      <c r="K148" s="615" t="str">
        <f t="shared" si="206"/>
        <v>-</v>
      </c>
      <c r="L148" s="615" t="str">
        <f t="shared" si="206"/>
        <v>-</v>
      </c>
      <c r="M148" s="615" t="str">
        <f t="shared" si="206"/>
        <v>-</v>
      </c>
      <c r="N148" s="615" t="str">
        <f t="shared" si="206"/>
        <v>-</v>
      </c>
      <c r="O148" s="615" t="str">
        <f t="shared" si="206"/>
        <v>-</v>
      </c>
      <c r="P148" s="615" t="str">
        <f t="shared" si="206"/>
        <v>-</v>
      </c>
      <c r="Q148" s="615" t="str">
        <f t="shared" si="206"/>
        <v>-</v>
      </c>
      <c r="R148" s="615">
        <f t="shared" ref="R148:U148" si="207">IF(R140=0,IF(R141=0,"-","100%"),R141/R140)</f>
        <v>0</v>
      </c>
      <c r="S148" s="615">
        <f t="shared" si="207"/>
        <v>0</v>
      </c>
      <c r="T148" s="615" t="str">
        <f t="shared" si="207"/>
        <v>-</v>
      </c>
      <c r="U148" s="615" t="str">
        <f t="shared" si="207"/>
        <v>-</v>
      </c>
      <c r="V148" s="616">
        <f>IF(V140=0,"-",V141/V140)</f>
        <v>0</v>
      </c>
    </row>
    <row r="149" spans="1:22" ht="18" customHeight="1">
      <c r="A149" s="614" t="s">
        <v>310</v>
      </c>
      <c r="B149" s="615">
        <f>IF(B140=0,IF(B142=0,"-","100%"),B142/B140)</f>
        <v>1</v>
      </c>
      <c r="C149" s="615" t="str">
        <f t="shared" ref="C149:Q149" si="208">IF(C140=0,IF(C142=0,"-","100%"),C142/C140)</f>
        <v>-</v>
      </c>
      <c r="D149" s="615" t="str">
        <f t="shared" si="208"/>
        <v>-</v>
      </c>
      <c r="E149" s="615" t="str">
        <f t="shared" si="208"/>
        <v>-</v>
      </c>
      <c r="F149" s="615" t="str">
        <f t="shared" si="208"/>
        <v>-</v>
      </c>
      <c r="G149" s="615" t="str">
        <f t="shared" si="208"/>
        <v>-</v>
      </c>
      <c r="H149" s="615" t="str">
        <f t="shared" si="208"/>
        <v>-</v>
      </c>
      <c r="I149" s="615" t="str">
        <f t="shared" si="208"/>
        <v>-</v>
      </c>
      <c r="J149" s="615" t="str">
        <f t="shared" si="208"/>
        <v>-</v>
      </c>
      <c r="K149" s="615" t="str">
        <f t="shared" si="208"/>
        <v>-</v>
      </c>
      <c r="L149" s="615" t="str">
        <f t="shared" si="208"/>
        <v>-</v>
      </c>
      <c r="M149" s="615" t="str">
        <f t="shared" si="208"/>
        <v>-</v>
      </c>
      <c r="N149" s="615" t="str">
        <f t="shared" si="208"/>
        <v>-</v>
      </c>
      <c r="O149" s="615" t="str">
        <f t="shared" si="208"/>
        <v>-</v>
      </c>
      <c r="P149" s="615" t="str">
        <f t="shared" si="208"/>
        <v>-</v>
      </c>
      <c r="Q149" s="615" t="str">
        <f t="shared" si="208"/>
        <v>-</v>
      </c>
      <c r="R149" s="615">
        <f t="shared" ref="R149:U149" si="209">IF(R140=0,IF(R142=0,"-","100%"),R142/R140)</f>
        <v>0</v>
      </c>
      <c r="S149" s="615">
        <f t="shared" si="209"/>
        <v>0</v>
      </c>
      <c r="T149" s="615" t="str">
        <f t="shared" si="209"/>
        <v>-</v>
      </c>
      <c r="U149" s="615" t="str">
        <f t="shared" si="209"/>
        <v>-</v>
      </c>
      <c r="V149" s="616">
        <f>IF(V140=0,"-",V142/V140)</f>
        <v>0</v>
      </c>
    </row>
    <row r="150" spans="1:22" ht="18" customHeight="1">
      <c r="A150" s="614" t="s">
        <v>314</v>
      </c>
      <c r="B150" s="615">
        <f>IF(B140=0,IF(B143=0,"-","100%"),B143/B140)</f>
        <v>1</v>
      </c>
      <c r="C150" s="615" t="str">
        <f t="shared" ref="C150:Q150" si="210">IF(C140=0,IF(C143=0,"-","100%"),C143/C140)</f>
        <v>-</v>
      </c>
      <c r="D150" s="615" t="str">
        <f t="shared" si="210"/>
        <v>-</v>
      </c>
      <c r="E150" s="615" t="str">
        <f t="shared" si="210"/>
        <v>-</v>
      </c>
      <c r="F150" s="615" t="str">
        <f t="shared" si="210"/>
        <v>-</v>
      </c>
      <c r="G150" s="615" t="str">
        <f t="shared" si="210"/>
        <v>-</v>
      </c>
      <c r="H150" s="615" t="str">
        <f t="shared" si="210"/>
        <v>-</v>
      </c>
      <c r="I150" s="615" t="str">
        <f t="shared" si="210"/>
        <v>-</v>
      </c>
      <c r="J150" s="615" t="str">
        <f t="shared" si="210"/>
        <v>-</v>
      </c>
      <c r="K150" s="615" t="str">
        <f t="shared" si="210"/>
        <v>-</v>
      </c>
      <c r="L150" s="615" t="str">
        <f t="shared" si="210"/>
        <v>-</v>
      </c>
      <c r="M150" s="615" t="str">
        <f t="shared" si="210"/>
        <v>-</v>
      </c>
      <c r="N150" s="615" t="str">
        <f t="shared" si="210"/>
        <v>-</v>
      </c>
      <c r="O150" s="615" t="str">
        <f t="shared" si="210"/>
        <v>-</v>
      </c>
      <c r="P150" s="615" t="str">
        <f t="shared" si="210"/>
        <v>-</v>
      </c>
      <c r="Q150" s="615" t="str">
        <f t="shared" si="210"/>
        <v>-</v>
      </c>
      <c r="R150" s="615">
        <f t="shared" ref="R150:U150" si="211">IF(R140=0,IF(R143=0,"-","100%"),R143/R140)</f>
        <v>0</v>
      </c>
      <c r="S150" s="615">
        <f t="shared" si="211"/>
        <v>0</v>
      </c>
      <c r="T150" s="615" t="str">
        <f t="shared" si="211"/>
        <v>-</v>
      </c>
      <c r="U150" s="615" t="str">
        <f t="shared" si="211"/>
        <v>-</v>
      </c>
      <c r="V150" s="616">
        <f>IF(V140=0,"-",V143/V140)</f>
        <v>0</v>
      </c>
    </row>
    <row r="151" spans="1:22" s="562" customFormat="1" ht="19.5" customHeight="1">
      <c r="A151" s="565" t="s">
        <v>317</v>
      </c>
      <c r="B151" s="566">
        <f>SUM($B140:B140)</f>
        <v>2</v>
      </c>
      <c r="C151" s="566">
        <f>SUM($B140:C140)</f>
        <v>2</v>
      </c>
      <c r="D151" s="566">
        <f>SUM($B140:D140)</f>
        <v>2</v>
      </c>
      <c r="E151" s="566">
        <f>SUM($B140:E140)</f>
        <v>2</v>
      </c>
      <c r="F151" s="566">
        <f>SUM($B140:F140)</f>
        <v>2</v>
      </c>
      <c r="G151" s="566">
        <f>SUM($B140:G140)</f>
        <v>2</v>
      </c>
      <c r="H151" s="566">
        <f>SUM($B140:H140)</f>
        <v>2</v>
      </c>
      <c r="I151" s="566">
        <f>SUM($B140:I140)</f>
        <v>2</v>
      </c>
      <c r="J151" s="566">
        <f>SUM($B140:J140)</f>
        <v>2</v>
      </c>
      <c r="K151" s="566">
        <f>SUM($B140:K140)</f>
        <v>2</v>
      </c>
      <c r="L151" s="566">
        <f>SUM($B140:L140)</f>
        <v>2</v>
      </c>
      <c r="M151" s="566">
        <f>SUM($B140:M140)</f>
        <v>2</v>
      </c>
      <c r="N151" s="566">
        <f>SUM($B140:N140)</f>
        <v>2</v>
      </c>
      <c r="O151" s="566">
        <f>SUM($B140:O140)</f>
        <v>2</v>
      </c>
      <c r="P151" s="566">
        <f>SUM($B140:P140)</f>
        <v>2</v>
      </c>
      <c r="Q151" s="566">
        <f>SUM($B140:Q140)</f>
        <v>2</v>
      </c>
      <c r="R151" s="566">
        <f>SUM($B140:R140)</f>
        <v>97</v>
      </c>
      <c r="S151" s="566">
        <f>SUM($B140:S140)</f>
        <v>99</v>
      </c>
      <c r="T151" s="566">
        <f>SUM($B140:T140)</f>
        <v>99</v>
      </c>
      <c r="U151" s="566">
        <f>SUM($B140:U140)</f>
        <v>99</v>
      </c>
      <c r="V151" s="567">
        <f>V140</f>
        <v>99</v>
      </c>
    </row>
    <row r="152" spans="1:22" s="562" customFormat="1" ht="19.5" customHeight="1">
      <c r="A152" s="565" t="s">
        <v>318</v>
      </c>
      <c r="B152" s="566">
        <f>SUM($B143:B143)</f>
        <v>2</v>
      </c>
      <c r="C152" s="566">
        <f>SUM($B143:C143)</f>
        <v>2</v>
      </c>
      <c r="D152" s="566">
        <f>SUM($B143:D143)</f>
        <v>2</v>
      </c>
      <c r="E152" s="566">
        <f>SUM($B143:E143)</f>
        <v>2</v>
      </c>
      <c r="F152" s="566">
        <f>SUM($B143:F143)</f>
        <v>2</v>
      </c>
      <c r="G152" s="566">
        <f>SUM($B143:G143)</f>
        <v>2</v>
      </c>
      <c r="H152" s="566">
        <f>SUM($B143:H143)</f>
        <v>2</v>
      </c>
      <c r="I152" s="566">
        <f>SUM($B143:I143)</f>
        <v>2</v>
      </c>
      <c r="J152" s="566">
        <f>SUM($B143:J143)</f>
        <v>2</v>
      </c>
      <c r="K152" s="566">
        <f>SUM($B143:K143)</f>
        <v>2</v>
      </c>
      <c r="L152" s="566">
        <f>SUM($B143:L143)</f>
        <v>2</v>
      </c>
      <c r="M152" s="566">
        <f>SUM($B143:M143)</f>
        <v>2</v>
      </c>
      <c r="N152" s="566">
        <f>SUM($B143:N143)</f>
        <v>2</v>
      </c>
      <c r="O152" s="566">
        <f>SUM($B143:O143)</f>
        <v>2</v>
      </c>
      <c r="P152" s="566">
        <f>SUM($B143:P143)</f>
        <v>2</v>
      </c>
      <c r="Q152" s="566">
        <f>SUM($B143:Q143)</f>
        <v>2</v>
      </c>
      <c r="R152" s="566">
        <f>SUM($B143:R143)</f>
        <v>2</v>
      </c>
      <c r="S152" s="566">
        <f>SUM($B143:S143)</f>
        <v>2</v>
      </c>
      <c r="T152" s="566">
        <f>SUM($B143:T143)</f>
        <v>2</v>
      </c>
      <c r="U152" s="566">
        <f>SUM($B143:U143)</f>
        <v>2</v>
      </c>
      <c r="V152" s="567">
        <f>V143</f>
        <v>0</v>
      </c>
    </row>
    <row r="153" spans="1:22" s="562" customFormat="1" ht="19.5" customHeight="1">
      <c r="A153" s="559" t="s">
        <v>319</v>
      </c>
      <c r="B153" s="560" t="e">
        <f>IF(#REF!=0,"-",B152/#REF!)</f>
        <v>#REF!</v>
      </c>
      <c r="C153" s="560" t="e">
        <f>IF(#REF!=0,"-",C152/#REF!)</f>
        <v>#REF!</v>
      </c>
      <c r="D153" s="560" t="e">
        <f>IF(#REF!=0,"-",D152/#REF!)</f>
        <v>#REF!</v>
      </c>
      <c r="E153" s="560" t="e">
        <f>IF(#REF!=0,"-",E152/#REF!)</f>
        <v>#REF!</v>
      </c>
      <c r="F153" s="560" t="e">
        <f>IF(#REF!=0,"-",F152/#REF!)</f>
        <v>#REF!</v>
      </c>
      <c r="G153" s="560" t="e">
        <f>IF(#REF!=0,"-",G152/#REF!)</f>
        <v>#REF!</v>
      </c>
      <c r="H153" s="560" t="e">
        <f>IF(#REF!=0,"-",H152/#REF!)</f>
        <v>#REF!</v>
      </c>
      <c r="I153" s="560" t="e">
        <f>IF(#REF!=0,"-",I152/#REF!)</f>
        <v>#REF!</v>
      </c>
      <c r="J153" s="560" t="e">
        <f>IF(#REF!=0,"-",J152/#REF!)</f>
        <v>#REF!</v>
      </c>
      <c r="K153" s="560" t="e">
        <f>IF(#REF!=0,"-",K152/#REF!)</f>
        <v>#REF!</v>
      </c>
      <c r="L153" s="560" t="e">
        <f>IF(#REF!=0,"-",L152/#REF!)</f>
        <v>#REF!</v>
      </c>
      <c r="M153" s="560" t="e">
        <f>IF(#REF!=0,"-",M152/#REF!)</f>
        <v>#REF!</v>
      </c>
      <c r="N153" s="560" t="e">
        <f>IF(#REF!=0,"-",N152/#REF!)</f>
        <v>#REF!</v>
      </c>
      <c r="O153" s="560" t="e">
        <f>IF(#REF!=0,"-",O152/#REF!)</f>
        <v>#REF!</v>
      </c>
      <c r="P153" s="560" t="e">
        <f>IF(#REF!=0,"-",P152/#REF!)</f>
        <v>#REF!</v>
      </c>
      <c r="Q153" s="560" t="e">
        <f>IF(#REF!=0,"-",Q152/#REF!)</f>
        <v>#REF!</v>
      </c>
      <c r="R153" s="560" t="e">
        <f>IF(#REF!=0,"-",R152/#REF!)</f>
        <v>#REF!</v>
      </c>
      <c r="S153" s="560" t="e">
        <f>IF(#REF!=0,"-",S152/#REF!)</f>
        <v>#REF!</v>
      </c>
      <c r="T153" s="560" t="e">
        <f>IF(#REF!=0,"-",T152/#REF!)</f>
        <v>#REF!</v>
      </c>
      <c r="U153" s="560" t="e">
        <f>IF(#REF!=0,"-",U152/#REF!)</f>
        <v>#REF!</v>
      </c>
      <c r="V153" s="561" t="e">
        <f>IF(#REF!=0,"-",V152/#REF!)</f>
        <v>#REF!</v>
      </c>
    </row>
    <row r="154" spans="1:22" s="562" customFormat="1" ht="19.5" customHeight="1">
      <c r="A154" s="563" t="s">
        <v>320</v>
      </c>
      <c r="B154" s="564" t="e">
        <f>IF(#REF!=0,"-",B151/#REF!)</f>
        <v>#REF!</v>
      </c>
      <c r="C154" s="564" t="e">
        <f>IF(#REF!=0,"-",C151/#REF!)</f>
        <v>#REF!</v>
      </c>
      <c r="D154" s="564" t="e">
        <f>IF(#REF!=0,"-",D151/#REF!)</f>
        <v>#REF!</v>
      </c>
      <c r="E154" s="564" t="e">
        <f>IF(#REF!=0,"-",E151/#REF!)</f>
        <v>#REF!</v>
      </c>
      <c r="F154" s="564" t="e">
        <f>IF(#REF!=0,"-",F151/#REF!)</f>
        <v>#REF!</v>
      </c>
      <c r="G154" s="564" t="e">
        <f>IF(#REF!=0,"-",G151/#REF!)</f>
        <v>#REF!</v>
      </c>
      <c r="H154" s="564" t="e">
        <f>IF(#REF!=0,"-",H151/#REF!)</f>
        <v>#REF!</v>
      </c>
      <c r="I154" s="564" t="e">
        <f>IF(#REF!=0,"-",I151/#REF!)</f>
        <v>#REF!</v>
      </c>
      <c r="J154" s="564" t="e">
        <f>IF(#REF!=0,"-",J151/#REF!)</f>
        <v>#REF!</v>
      </c>
      <c r="K154" s="564" t="e">
        <f>IF(#REF!=0,"-",K151/#REF!)</f>
        <v>#REF!</v>
      </c>
      <c r="L154" s="564" t="e">
        <f>IF(#REF!=0,"-",L151/#REF!)</f>
        <v>#REF!</v>
      </c>
      <c r="M154" s="564" t="e">
        <f>IF(#REF!=0,"-",M151/#REF!)</f>
        <v>#REF!</v>
      </c>
      <c r="N154" s="564" t="e">
        <f>IF(#REF!=0,"-",N151/#REF!)</f>
        <v>#REF!</v>
      </c>
      <c r="O154" s="564" t="e">
        <f>IF(#REF!=0,"-",O151/#REF!)</f>
        <v>#REF!</v>
      </c>
      <c r="P154" s="564" t="e">
        <f>IF(#REF!=0,"-",P151/#REF!)</f>
        <v>#REF!</v>
      </c>
      <c r="Q154" s="564" t="e">
        <f>IF(#REF!=0,"-",Q151/#REF!)</f>
        <v>#REF!</v>
      </c>
      <c r="R154" s="564" t="e">
        <f>IF(#REF!=0,"-",R151/#REF!)</f>
        <v>#REF!</v>
      </c>
      <c r="S154" s="564" t="e">
        <f>IF(#REF!=0,"-",S151/#REF!)</f>
        <v>#REF!</v>
      </c>
      <c r="T154" s="564" t="e">
        <f>IF(#REF!=0,"-",T151/#REF!)</f>
        <v>#REF!</v>
      </c>
      <c r="U154" s="564" t="e">
        <f>IF(#REF!=0,"-",U151/#REF!)</f>
        <v>#REF!</v>
      </c>
      <c r="V154" s="561" t="e">
        <f>IF(#REF!=0,"-",V151/#REF!)</f>
        <v>#REF!</v>
      </c>
    </row>
    <row r="155" spans="1:22" ht="4.5" customHeight="1"/>
    <row r="156" spans="1:22" ht="24" customHeight="1">
      <c r="A156" s="976" t="s">
        <v>927</v>
      </c>
      <c r="B156" s="977"/>
      <c r="C156" s="977"/>
      <c r="D156" s="977"/>
      <c r="E156" s="977"/>
      <c r="F156" s="977"/>
      <c r="G156" s="977"/>
      <c r="H156" s="977"/>
      <c r="I156" s="977"/>
      <c r="J156" s="977"/>
      <c r="K156" s="977"/>
      <c r="L156" s="977"/>
      <c r="M156" s="977"/>
      <c r="N156" s="977"/>
      <c r="O156" s="977"/>
      <c r="P156" s="977"/>
      <c r="Q156" s="977"/>
      <c r="R156" s="977"/>
      <c r="S156" s="977"/>
      <c r="T156" s="977"/>
      <c r="U156" s="977"/>
      <c r="V156" s="977"/>
    </row>
    <row r="157" spans="1:22" ht="18" customHeight="1">
      <c r="A157" s="542" t="s">
        <v>303</v>
      </c>
      <c r="B157" s="543" cm="1">
        <f t="array" ref="B157">SUMPRODUCT((SVB!$R$2:$R$740&gt;=B311)*(SVB!$R$2:$R$740&lt;=B312)*(SVB!$B$2:$B$740="T1-015")*(ISNUMBER(SVB!$F$2:$F$740))*(SVB!$F$2:$F$740))</f>
        <v>2</v>
      </c>
      <c r="C157" s="543" cm="1">
        <f t="array" ref="C157">SUMPRODUCT((SVB!$R$2:$R$740&gt;=C311)*(SVB!$R$2:$R$740&lt;=C312)*(SVB!$B$2:$B$740="T1-015")*(ISNUMBER(SVB!$F$2:$F$740))*(SVB!$F$2:$F$740))</f>
        <v>0</v>
      </c>
      <c r="D157" s="543" cm="1">
        <f t="array" ref="D157">SUMPRODUCT((SVB!$R$2:$R$740&gt;=D311)*(SVB!$R$2:$R$740&lt;=D312)*(SVB!$B$2:$B$740="T1-015")*(ISNUMBER(SVB!$F$2:$F$740))*(SVB!$F$2:$F$740))</f>
        <v>0</v>
      </c>
      <c r="E157" s="543" cm="1">
        <f t="array" ref="E157">SUMPRODUCT((SVB!$R$2:$R$740&gt;=E311)*(SVB!$R$2:$R$740&lt;=E312)*(SVB!$B$2:$B$740="T1-015")*(ISNUMBER(SVB!$F$2:$F$740))*(SVB!$F$2:$F$740))</f>
        <v>0</v>
      </c>
      <c r="F157" s="543" cm="1">
        <f t="array" ref="F157">SUMPRODUCT((SVB!$R$2:$R$740&gt;=F311)*(SVB!$R$2:$R$740&lt;=F312)*(SVB!$B$2:$B$740="T1-015")*(ISNUMBER(SVB!$F$2:$F$740))*(SVB!$F$2:$F$740))</f>
        <v>0</v>
      </c>
      <c r="G157" s="543" cm="1">
        <f t="array" ref="G157">SUMPRODUCT((SVB!$R$2:$R$740&gt;=G311)*(SVB!$R$2:$R$740&lt;=G312)*(SVB!$B$2:$B$740="T1-015")*(ISNUMBER(SVB!$F$2:$F$740))*(SVB!$F$2:$F$740))</f>
        <v>0</v>
      </c>
      <c r="H157" s="543" cm="1">
        <f t="array" ref="H157">SUMPRODUCT((SVB!$R$2:$R$740&gt;=H311)*(SVB!$R$2:$R$740&lt;=H312)*(SVB!$B$2:$B$740="T1-015")*(ISNUMBER(SVB!$F$2:$F$740))*(SVB!$F$2:$F$740))</f>
        <v>0</v>
      </c>
      <c r="I157" s="543" cm="1">
        <f t="array" ref="I157">SUMPRODUCT((SVB!$R$2:$R$740&gt;=I311)*(SVB!$R$2:$R$740&lt;=I312)*(SVB!$B$2:$B$740="T1-015")*(ISNUMBER(SVB!$F$2:$F$740))*(SVB!$F$2:$F$740))</f>
        <v>0</v>
      </c>
      <c r="J157" s="543" cm="1">
        <f t="array" ref="J157">SUMPRODUCT((SVB!$R$2:$R$740&gt;=J311)*(SVB!$R$2:$R$740&lt;=J312)*(SVB!$B$2:$B$740="T1-015")*(ISNUMBER(SVB!$F$2:$F$740))*(SVB!$F$2:$F$740))</f>
        <v>0</v>
      </c>
      <c r="K157" s="543" cm="1">
        <f t="array" ref="K157">SUMPRODUCT((SVB!$R$2:$R$740&gt;=K311)*(SVB!$R$2:$R$740&lt;=K312)*(SVB!$B$2:$B$740="T1-015")*(ISNUMBER(SVB!$F$2:$F$740))*(SVB!$F$2:$F$740))</f>
        <v>0</v>
      </c>
      <c r="L157" s="543" cm="1">
        <f t="array" ref="L157">SUMPRODUCT((SVB!$R$2:$R$740&gt;=L311)*(SVB!$R$2:$R$740&lt;=L312)*(SVB!$B$2:$B$740="T1-015")*(ISNUMBER(SVB!$F$2:$F$740))*(SVB!$F$2:$F$740))</f>
        <v>93</v>
      </c>
      <c r="M157" s="543" cm="1">
        <f t="array" ref="M157">SUMPRODUCT((SVB!$R$2:$R$740&gt;=M311)*(SVB!$R$2:$R$740&lt;=M312)*(SVB!$B$2:$B$740="T1-015")*(ISNUMBER(SVB!$F$2:$F$740))*(SVB!$F$2:$F$740))</f>
        <v>97</v>
      </c>
      <c r="N157" s="543" cm="1">
        <f t="array" ref="N157">SUMPRODUCT((SVB!$R$2:$R$740&gt;=N311)*(SVB!$R$2:$R$740&lt;=N312)*(SVB!$B$2:$B$740="T1-015")*(ISNUMBER(SVB!$F$2:$F$740))*(SVB!$F$2:$F$740))</f>
        <v>50</v>
      </c>
      <c r="O157" s="543" cm="1">
        <f t="array" ref="O157">SUMPRODUCT((SVB!$R$2:$R$740&gt;=O311)*(SVB!$R$2:$R$740&lt;=O312)*(SVB!$B$2:$B$740="T1-015")*(ISNUMBER(SVB!$F$2:$F$740))*(SVB!$F$2:$F$740))</f>
        <v>58</v>
      </c>
      <c r="P157" s="543" cm="1">
        <f t="array" ref="P157">SUMPRODUCT((SVB!$R$2:$R$740&gt;=P311)*(SVB!$R$2:$R$740&lt;=P312)*(SVB!$B$2:$B$740="T1-015")*(ISNUMBER(SVB!$F$2:$F$740))*(SVB!$F$2:$F$740))</f>
        <v>27</v>
      </c>
      <c r="Q157" s="543" cm="1">
        <f t="array" ref="Q157">SUMPRODUCT((SVB!$R$2:$R$740&gt;=Q311)*(SVB!$R$2:$R$740&lt;=Q312)*(SVB!$B$2:$B$740="T1-015")*(ISNUMBER(SVB!$F$2:$F$740))*(SVB!$F$2:$F$740))</f>
        <v>0</v>
      </c>
      <c r="R157" s="543" cm="1">
        <f t="array" ref="R157">SUMPRODUCT((SVB!$R$2:$R$740&gt;=R311)*(SVB!$R$2:$R$740&lt;=R312)*(SVB!$B$2:$B$740="T1-015")*(ISNUMBER(SVB!$F$2:$F$740))*(SVB!$F$2:$F$740))</f>
        <v>0</v>
      </c>
      <c r="S157" s="543" cm="1">
        <f t="array" ref="S157">SUMPRODUCT((SVB!$R$2:$R$740&gt;=S311)*(SVB!$R$2:$R$740&lt;=S312)*(SVB!$B$2:$B$740="T1-015")*(ISNUMBER(SVB!$F$2:$F$740))*(SVB!$F$2:$F$740))</f>
        <v>0</v>
      </c>
      <c r="T157" s="543" cm="1">
        <f t="array" ref="T157">SUMPRODUCT((SVB!$R$2:$R$740&gt;=T311)*(SVB!$R$2:$R$740&lt;=T312)*(SVB!$B$2:$B$740="T1-015")*(ISNUMBER(SVB!$F$2:$F$740))*(SVB!$F$2:$F$740))</f>
        <v>0</v>
      </c>
      <c r="U157" s="543" cm="1">
        <f t="array" ref="U157">SUMPRODUCT((SVB!$R$2:$R$740&gt;=U311)*(SVB!$R$2:$R$740&lt;=U312)*(SVB!$B$2:$B$740="T1-015")*(ISNUMBER(SVB!$F$2:$F$740))*(SVB!$F$2:$F$740))</f>
        <v>0</v>
      </c>
      <c r="V157" s="544" cm="1">
        <f t="array" ref="V157">SUMPRODUCT((SVB!$B$2:$B$740="T1-015")*(ISNUMBER(SVB!$F$2:$F$740))*(SVB!$F$2:$F$740))</f>
        <v>327</v>
      </c>
    </row>
    <row r="158" spans="1:22" ht="18" customHeight="1">
      <c r="A158" s="449" t="s">
        <v>907</v>
      </c>
      <c r="B158" s="450" cm="1">
        <f t="array" ref="B158">SUMPRODUCT((SVB!$S$2:$S$740&gt;=B311)*(SVB!$S$2:$S$740&lt;=B312)*(SVB!$B$2:$B$740="T1-015")*(ISNUMBER(SVB!$M$2:$M$740))*(SVB!$M$2:$M$740))</f>
        <v>2</v>
      </c>
      <c r="C158" s="450" cm="1">
        <f t="array" ref="C158">SUMPRODUCT((SVB!$S$2:$S$740&gt;=C311)*(SVB!$S$2:$S$740&lt;=C312)*(SVB!$B$2:$B$740="T1-015")*(ISNUMBER(SVB!$M$2:$M$740))*(SVB!$M$2:$M$740))</f>
        <v>0</v>
      </c>
      <c r="D158" s="450" cm="1">
        <f t="array" ref="D158">SUMPRODUCT((SVB!$S$2:$S$740&gt;=D311)*(SVB!$S$2:$S$740&lt;=D312)*(SVB!$B$2:$B$740="T1-015")*(ISNUMBER(SVB!$M$2:$M$740))*(SVB!$M$2:$M$740))</f>
        <v>0</v>
      </c>
      <c r="E158" s="450" cm="1">
        <f t="array" ref="E158">SUMPRODUCT((SVB!$S$2:$S$740&gt;=E311)*(SVB!$S$2:$S$740&lt;=E312)*(SVB!$B$2:$B$740="T1-015")*(ISNUMBER(SVB!$M$2:$M$740))*(SVB!$M$2:$M$740))</f>
        <v>0</v>
      </c>
      <c r="F158" s="450" cm="1">
        <f t="array" ref="F158">SUMPRODUCT((SVB!$S$2:$S$740&gt;=F311)*(SVB!$S$2:$S$740&lt;=F312)*(SVB!$B$2:$B$740="T1-015")*(ISNUMBER(SVB!$M$2:$M$740))*(SVB!$M$2:$M$740))</f>
        <v>0</v>
      </c>
      <c r="G158" s="450" cm="1">
        <f t="array" ref="G158">SUMPRODUCT((SVB!$S$2:$S$740&gt;=G311)*(SVB!$S$2:$S$740&lt;=G312)*(SVB!$B$2:$B$740="T1-015")*(ISNUMBER(SVB!$M$2:$M$740))*(SVB!$M$2:$M$740))</f>
        <v>0</v>
      </c>
      <c r="H158" s="450" cm="1">
        <f t="array" ref="H158">SUMPRODUCT((SVB!$S$2:$S$740&gt;=H311)*(SVB!$S$2:$S$740&lt;=H312)*(SVB!$B$2:$B$740="T1-015")*(ISNUMBER(SVB!$M$2:$M$740))*(SVB!$M$2:$M$740))</f>
        <v>0</v>
      </c>
      <c r="I158" s="450" cm="1">
        <f t="array" ref="I158">SUMPRODUCT((SVB!$S$2:$S$740&gt;=I311)*(SVB!$S$2:$S$740&lt;=I312)*(SVB!$B$2:$B$740="T1-015")*(ISNUMBER(SVB!$M$2:$M$740))*(SVB!$M$2:$M$740))</f>
        <v>0</v>
      </c>
      <c r="J158" s="450" cm="1">
        <f t="array" ref="J158">SUMPRODUCT((SVB!$S$2:$S$740&gt;=J311)*(SVB!$S$2:$S$740&lt;=J312)*(SVB!$B$2:$B$740="T1-015")*(ISNUMBER(SVB!$M$2:$M$740))*(SVB!$M$2:$M$740))</f>
        <v>0</v>
      </c>
      <c r="K158" s="450" cm="1">
        <f t="array" ref="K158">SUMPRODUCT((SVB!$S$2:$S$740&gt;=K311)*(SVB!$S$2:$S$740&lt;=K312)*(SVB!$B$2:$B$740="T1-015")*(ISNUMBER(SVB!$M$2:$M$740))*(SVB!$M$2:$M$740))</f>
        <v>0</v>
      </c>
      <c r="L158" s="450" cm="1">
        <f t="array" ref="L158">SUMPRODUCT((SVB!$S$2:$S$740&gt;=L311)*(SVB!$S$2:$S$740&lt;=L312)*(SVB!$B$2:$B$740="T1-015")*(ISNUMBER(SVB!$M$2:$M$740))*(SVB!$M$2:$M$740))</f>
        <v>0</v>
      </c>
      <c r="M158" s="450" cm="1">
        <f t="array" ref="M158">SUMPRODUCT((SVB!$S$2:$S$740&gt;=M311)*(SVB!$S$2:$S$740&lt;=M312)*(SVB!$B$2:$B$740="T1-015")*(ISNUMBER(SVB!$M$2:$M$740))*(SVB!$M$2:$M$740))</f>
        <v>0</v>
      </c>
      <c r="N158" s="450" cm="1">
        <f t="array" ref="N158">SUMPRODUCT((SVB!$S$2:$S$740&gt;=N311)*(SVB!$S$2:$S$740&lt;=N312)*(SVB!$B$2:$B$740="T1-015")*(ISNUMBER(SVB!$M$2:$M$740))*(SVB!$M$2:$M$740))</f>
        <v>0</v>
      </c>
      <c r="O158" s="450" cm="1">
        <f t="array" ref="O158">SUMPRODUCT((SVB!$S$2:$S$740&gt;=O311)*(SVB!$S$2:$S$740&lt;=O312)*(SVB!$B$2:$B$740="T1-015")*(ISNUMBER(SVB!$M$2:$M$740))*(SVB!$M$2:$M$740))</f>
        <v>0</v>
      </c>
      <c r="P158" s="450" cm="1">
        <f t="array" ref="P158">SUMPRODUCT((SVB!$S$2:$S$740&gt;=P311)*(SVB!$S$2:$S$740&lt;=P312)*(SVB!$B$2:$B$740="T1-015")*(ISNUMBER(SVB!$M$2:$M$740))*(SVB!$M$2:$M$740))</f>
        <v>0</v>
      </c>
      <c r="Q158" s="450" cm="1">
        <f t="array" ref="Q158">SUMPRODUCT((SVB!$S$2:$S$740&gt;=Q311)*(SVB!$S$2:$S$740&lt;=Q312)*(SVB!$B$2:$B$740="T1-015")*(ISNUMBER(SVB!$M$2:$M$740))*(SVB!$M$2:$M$740))</f>
        <v>0</v>
      </c>
      <c r="R158" s="450" cm="1">
        <f t="array" ref="R158">SUMPRODUCT((SVB!$S$2:$S$740&gt;=R311)*(SVB!$S$2:$S$740&lt;=R312)*(SVB!$B$2:$B$740="T1-015")*(ISNUMBER(SVB!$M$2:$M$740))*(SVB!$M$2:$M$740))</f>
        <v>0</v>
      </c>
      <c r="S158" s="450" cm="1">
        <f t="array" ref="S158">SUMPRODUCT((SVB!$S$2:$S$740&gt;=S311)*(SVB!$S$2:$S$740&lt;=S312)*(SVB!$B$2:$B$740="T1-015")*(ISNUMBER(SVB!$M$2:$M$740))*(SVB!$M$2:$M$740))</f>
        <v>0</v>
      </c>
      <c r="T158" s="450" cm="1">
        <f t="array" ref="T158">SUMPRODUCT((SVB!$S$2:$S$740&gt;=T311)*(SVB!$S$2:$S$740&lt;=T312)*(SVB!$B$2:$B$740="T1-015")*(ISNUMBER(SVB!$M$2:$M$740))*(SVB!$M$2:$M$740))</f>
        <v>0</v>
      </c>
      <c r="U158" s="450" cm="1">
        <f t="array" ref="U158">SUMPRODUCT((SVB!$S$2:$S$740&gt;=U311)*(SVB!$S$2:$S$740&lt;=U312)*(SVB!$B$2:$B$740="T1-015")*(ISNUMBER(SVB!$M$2:$M$740))*(SVB!$M$2:$M$740))</f>
        <v>0</v>
      </c>
      <c r="V158" s="544">
        <f>SUM(F158:U158)</f>
        <v>0</v>
      </c>
    </row>
    <row r="159" spans="1:22" ht="18" customHeight="1">
      <c r="A159" s="449" t="s">
        <v>908</v>
      </c>
      <c r="B159" s="450" cm="1">
        <f t="array" ref="B159">SUMPRODUCT((SVB!$S$2:$S$740&gt;=B311)*(SVB!$S$2:$S$740&lt;=B312)*(SVB!$B$2:$B$740="T1-015")*(ISNUMBER(SVB!$N$2:$N$740))*(SVB!$N$2:$N$740))</f>
        <v>2</v>
      </c>
      <c r="C159" s="450" cm="1">
        <f t="array" ref="C159">SUMPRODUCT((SVB!$S$2:$S$740&gt;=C311)*(SVB!$S$2:$S$740&lt;=C312)*(SVB!$B$2:$B$740="T1-015")*(ISNUMBER(SVB!$N$2:$N$740))*(SVB!$N$2:$N$740))</f>
        <v>0</v>
      </c>
      <c r="D159" s="450" cm="1">
        <f t="array" ref="D159">SUMPRODUCT((SVB!$S$2:$S$740&gt;=D311)*(SVB!$S$2:$S$740&lt;=D312)*(SVB!$B$2:$B$740="T1-015")*(ISNUMBER(SVB!$N$2:$N$740))*(SVB!$N$2:$N$740))</f>
        <v>0</v>
      </c>
      <c r="E159" s="450" cm="1">
        <f t="array" ref="E159">SUMPRODUCT((SVB!$S$2:$S$740&gt;=E311)*(SVB!$S$2:$S$740&lt;=E312)*(SVB!$B$2:$B$740="T1-015")*(ISNUMBER(SVB!$N$2:$N$740))*(SVB!$N$2:$N$740))</f>
        <v>0</v>
      </c>
      <c r="F159" s="450" cm="1">
        <f t="array" ref="F159">SUMPRODUCT((SVB!$S$2:$S$740&gt;=F311)*(SVB!$S$2:$S$740&lt;=F312)*(SVB!$B$2:$B$740="T1-015")*(ISNUMBER(SVB!$N$2:$N$740))*(SVB!$N$2:$N$740))</f>
        <v>0</v>
      </c>
      <c r="G159" s="450" cm="1">
        <f t="array" ref="G159">SUMPRODUCT((SVB!$S$2:$S$740&gt;=G311)*(SVB!$S$2:$S$740&lt;=G312)*(SVB!$B$2:$B$740="T1-015")*(ISNUMBER(SVB!$N$2:$N$740))*(SVB!$N$2:$N$740))</f>
        <v>0</v>
      </c>
      <c r="H159" s="450" cm="1">
        <f t="array" ref="H159">SUMPRODUCT((SVB!$S$2:$S$740&gt;=H311)*(SVB!$S$2:$S$740&lt;=H312)*(SVB!$B$2:$B$740="T1-015")*(ISNUMBER(SVB!$N$2:$N$740))*(SVB!$N$2:$N$740))</f>
        <v>0</v>
      </c>
      <c r="I159" s="450" cm="1">
        <f t="array" ref="I159">SUMPRODUCT((SVB!$S$2:$S$740&gt;=I311)*(SVB!$S$2:$S$740&lt;=I312)*(SVB!$B$2:$B$740="T1-015")*(ISNUMBER(SVB!$N$2:$N$740))*(SVB!$N$2:$N$740))</f>
        <v>0</v>
      </c>
      <c r="J159" s="450" cm="1">
        <f t="array" ref="J159">SUMPRODUCT((SVB!$S$2:$S$740&gt;=J311)*(SVB!$S$2:$S$740&lt;=J312)*(SVB!$B$2:$B$740="T1-015")*(ISNUMBER(SVB!$N$2:$N$740))*(SVB!$N$2:$N$740))</f>
        <v>0</v>
      </c>
      <c r="K159" s="450" cm="1">
        <f t="array" ref="K159">SUMPRODUCT((SVB!$S$2:$S$740&gt;=K311)*(SVB!$S$2:$S$740&lt;=K312)*(SVB!$B$2:$B$740="T1-015")*(ISNUMBER(SVB!$N$2:$N$740))*(SVB!$N$2:$N$740))</f>
        <v>0</v>
      </c>
      <c r="L159" s="450" cm="1">
        <f t="array" ref="L159">SUMPRODUCT((SVB!$S$2:$S$740&gt;=L311)*(SVB!$S$2:$S$740&lt;=L312)*(SVB!$B$2:$B$740="T1-015")*(ISNUMBER(SVB!$N$2:$N$740))*(SVB!$N$2:$N$740))</f>
        <v>0</v>
      </c>
      <c r="M159" s="450" cm="1">
        <f t="array" ref="M159">SUMPRODUCT((SVB!$S$2:$S$740&gt;=M311)*(SVB!$S$2:$S$740&lt;=M312)*(SVB!$B$2:$B$740="T1-015")*(ISNUMBER(SVB!$N$2:$N$740))*(SVB!$N$2:$N$740))</f>
        <v>0</v>
      </c>
      <c r="N159" s="450" cm="1">
        <f t="array" ref="N159">SUMPRODUCT((SVB!$S$2:$S$740&gt;=N311)*(SVB!$S$2:$S$740&lt;=N312)*(SVB!$B$2:$B$740="T1-015")*(ISNUMBER(SVB!$N$2:$N$740))*(SVB!$N$2:$N$740))</f>
        <v>0</v>
      </c>
      <c r="O159" s="450" cm="1">
        <f t="array" ref="O159">SUMPRODUCT((SVB!$S$2:$S$740&gt;=O311)*(SVB!$S$2:$S$740&lt;=O312)*(SVB!$B$2:$B$740="T1-015")*(ISNUMBER(SVB!$N$2:$N$740))*(SVB!$N$2:$N$740))</f>
        <v>0</v>
      </c>
      <c r="P159" s="450" cm="1">
        <f t="array" ref="P159">SUMPRODUCT((SVB!$S$2:$S$740&gt;=P311)*(SVB!$S$2:$S$740&lt;=P312)*(SVB!$B$2:$B$740="T1-015")*(ISNUMBER(SVB!$N$2:$N$740))*(SVB!$N$2:$N$740))</f>
        <v>0</v>
      </c>
      <c r="Q159" s="450" cm="1">
        <f t="array" ref="Q159">SUMPRODUCT((SVB!$S$2:$S$740&gt;=Q311)*(SVB!$S$2:$S$740&lt;=Q312)*(SVB!$B$2:$B$740="T1-015")*(ISNUMBER(SVB!$N$2:$N$740))*(SVB!$N$2:$N$740))</f>
        <v>0</v>
      </c>
      <c r="R159" s="450" cm="1">
        <f t="array" ref="R159">SUMPRODUCT((SVB!$S$2:$S$740&gt;=R311)*(SVB!$S$2:$S$740&lt;=R312)*(SVB!$B$2:$B$740="T1-015")*(ISNUMBER(SVB!$N$2:$N$740))*(SVB!$N$2:$N$740))</f>
        <v>0</v>
      </c>
      <c r="S159" s="450" cm="1">
        <f t="array" ref="S159">SUMPRODUCT((SVB!$S$2:$S$740&gt;=S311)*(SVB!$S$2:$S$740&lt;=S312)*(SVB!$B$2:$B$740="T1-015")*(ISNUMBER(SVB!$N$2:$N$740))*(SVB!$N$2:$N$740))</f>
        <v>0</v>
      </c>
      <c r="T159" s="450" cm="1">
        <f t="array" ref="T159">SUMPRODUCT((SVB!$S$2:$S$740&gt;=T311)*(SVB!$S$2:$S$740&lt;=T312)*(SVB!$B$2:$B$740="T1-015")*(ISNUMBER(SVB!$N$2:$N$740))*(SVB!$N$2:$N$740))</f>
        <v>0</v>
      </c>
      <c r="U159" s="450" cm="1">
        <f t="array" ref="U159">SUMPRODUCT((SVB!$S$2:$S$740&gt;=U311)*(SVB!$S$2:$S$740&lt;=U312)*(SVB!$B$2:$B$740="T1-015")*(ISNUMBER(SVB!$N$2:$N$740))*(SVB!$N$2:$N$740))</f>
        <v>0</v>
      </c>
      <c r="V159" s="544">
        <f>SUM(F159:U159)</f>
        <v>0</v>
      </c>
    </row>
    <row r="160" spans="1:22" ht="18" customHeight="1">
      <c r="A160" s="449" t="s">
        <v>909</v>
      </c>
      <c r="B160" s="450" cm="1">
        <f t="array" ref="B160">SUMPRODUCT((SVB!$S$2:$S$740&gt;=B311)*(SVB!$S$2:$S$740&lt;=B312)*(SVB!$B$2:$B$740="T1-015")*(ISNUMBER(SVB!$O$2:$O$740))*(SVB!$O$2:$O$740))</f>
        <v>2</v>
      </c>
      <c r="C160" s="450" cm="1">
        <f t="array" ref="C160">SUMPRODUCT((SVB!$S$2:$S$740&gt;=C311)*(SVB!$S$2:$S$740&lt;=C312)*(SVB!$B$2:$B$740="T1-015")*(ISNUMBER(SVB!$O$2:$O$740))*(SVB!$O$2:$O$740))</f>
        <v>0</v>
      </c>
      <c r="D160" s="450" cm="1">
        <f t="array" ref="D160">SUMPRODUCT((SVB!$S$2:$S$740&gt;=D311)*(SVB!$S$2:$S$740&lt;=D312)*(SVB!$B$2:$B$740="T1-015")*(ISNUMBER(SVB!$O$2:$O$740))*(SVB!$O$2:$O$740))</f>
        <v>0</v>
      </c>
      <c r="E160" s="450" cm="1">
        <f t="array" ref="E160">SUMPRODUCT((SVB!$S$2:$S$740&gt;=E311)*(SVB!$S$2:$S$740&lt;=E312)*(SVB!$B$2:$B$740="T1-015")*(ISNUMBER(SVB!$O$2:$O$740))*(SVB!$O$2:$O$740))</f>
        <v>0</v>
      </c>
      <c r="F160" s="450" cm="1">
        <f t="array" ref="F160">SUMPRODUCT((SVB!$S$2:$S$740&gt;=F311)*(SVB!$S$2:$S$740&lt;=F312)*(SVB!$B$2:$B$740="T1-015")*(ISNUMBER(SVB!$O$2:$O$740))*(SVB!$O$2:$O$740))</f>
        <v>0</v>
      </c>
      <c r="G160" s="450" cm="1">
        <f t="array" ref="G160">SUMPRODUCT((SVB!$S$2:$S$740&gt;=G311)*(SVB!$S$2:$S$740&lt;=G312)*(SVB!$B$2:$B$740="T1-015")*(ISNUMBER(SVB!$O$2:$O$740))*(SVB!$O$2:$O$740))</f>
        <v>0</v>
      </c>
      <c r="H160" s="450" cm="1">
        <f t="array" ref="H160">SUMPRODUCT((SVB!$S$2:$S$740&gt;=H311)*(SVB!$S$2:$S$740&lt;=H312)*(SVB!$B$2:$B$740="T1-015")*(ISNUMBER(SVB!$O$2:$O$740))*(SVB!$O$2:$O$740))</f>
        <v>0</v>
      </c>
      <c r="I160" s="450" cm="1">
        <f t="array" ref="I160">SUMPRODUCT((SVB!$S$2:$S$740&gt;=I311)*(SVB!$S$2:$S$740&lt;=I312)*(SVB!$B$2:$B$740="T1-015")*(ISNUMBER(SVB!$O$2:$O$740))*(SVB!$O$2:$O$740))</f>
        <v>0</v>
      </c>
      <c r="J160" s="450" cm="1">
        <f t="array" ref="J160">SUMPRODUCT((SVB!$S$2:$S$740&gt;=J311)*(SVB!$S$2:$S$740&lt;=J312)*(SVB!$B$2:$B$740="T1-015")*(ISNUMBER(SVB!$O$2:$O$740))*(SVB!$O$2:$O$740))</f>
        <v>0</v>
      </c>
      <c r="K160" s="450" cm="1">
        <f t="array" ref="K160">SUMPRODUCT((SVB!$S$2:$S$740&gt;=K311)*(SVB!$S$2:$S$740&lt;=K312)*(SVB!$B$2:$B$740="T1-015")*(ISNUMBER(SVB!$O$2:$O$740))*(SVB!$O$2:$O$740))</f>
        <v>0</v>
      </c>
      <c r="L160" s="450" cm="1">
        <f t="array" ref="L160">SUMPRODUCT((SVB!$S$2:$S$740&gt;=L311)*(SVB!$S$2:$S$740&lt;=L312)*(SVB!$B$2:$B$740="T1-015")*(ISNUMBER(SVB!$O$2:$O$740))*(SVB!$O$2:$O$740))</f>
        <v>0</v>
      </c>
      <c r="M160" s="450" cm="1">
        <f t="array" ref="M160">SUMPRODUCT((SVB!$S$2:$S$740&gt;=M311)*(SVB!$S$2:$S$740&lt;=M312)*(SVB!$B$2:$B$740="T1-015")*(ISNUMBER(SVB!$O$2:$O$740))*(SVB!$O$2:$O$740))</f>
        <v>0</v>
      </c>
      <c r="N160" s="450" cm="1">
        <f t="array" ref="N160">SUMPRODUCT((SVB!$S$2:$S$740&gt;=N311)*(SVB!$S$2:$S$740&lt;=N312)*(SVB!$B$2:$B$740="T1-015")*(ISNUMBER(SVB!$O$2:$O$740))*(SVB!$O$2:$O$740))</f>
        <v>0</v>
      </c>
      <c r="O160" s="450" cm="1">
        <f t="array" ref="O160">SUMPRODUCT((SVB!$S$2:$S$740&gt;=O311)*(SVB!$S$2:$S$740&lt;=O312)*(SVB!$B$2:$B$740="T1-015")*(ISNUMBER(SVB!$O$2:$O$740))*(SVB!$O$2:$O$740))</f>
        <v>0</v>
      </c>
      <c r="P160" s="450" cm="1">
        <f t="array" ref="P160">SUMPRODUCT((SVB!$S$2:$S$740&gt;=P311)*(SVB!$S$2:$S$740&lt;=P312)*(SVB!$B$2:$B$740="T1-015")*(ISNUMBER(SVB!$O$2:$O$740))*(SVB!$O$2:$O$740))</f>
        <v>0</v>
      </c>
      <c r="Q160" s="450" cm="1">
        <f t="array" ref="Q160">SUMPRODUCT((SVB!$S$2:$S$740&gt;=Q311)*(SVB!$S$2:$S$740&lt;=Q312)*(SVB!$B$2:$B$740="T1-015")*(ISNUMBER(SVB!$O$2:$O$740))*(SVB!$O$2:$O$740))</f>
        <v>0</v>
      </c>
      <c r="R160" s="450" cm="1">
        <f t="array" ref="R160">SUMPRODUCT((SVB!$S$2:$S$740&gt;=R311)*(SVB!$S$2:$S$740&lt;=R312)*(SVB!$B$2:$B$740="T1-015")*(ISNUMBER(SVB!$O$2:$O$740))*(SVB!$O$2:$O$740))</f>
        <v>0</v>
      </c>
      <c r="S160" s="450" cm="1">
        <f t="array" ref="S160">SUMPRODUCT((SVB!$S$2:$S$740&gt;=S311)*(SVB!$S$2:$S$740&lt;=S312)*(SVB!$B$2:$B$740="T1-015")*(ISNUMBER(SVB!$O$2:$O$740))*(SVB!$O$2:$O$740))</f>
        <v>0</v>
      </c>
      <c r="T160" s="450" cm="1">
        <f t="array" ref="T160">SUMPRODUCT((SVB!$S$2:$S$740&gt;=T311)*(SVB!$S$2:$S$740&lt;=T312)*(SVB!$B$2:$B$740="T1-015")*(ISNUMBER(SVB!$O$2:$O$740))*(SVB!$O$2:$O$740))</f>
        <v>0</v>
      </c>
      <c r="U160" s="450" cm="1">
        <f t="array" ref="U160">SUMPRODUCT((SVB!$S$2:$S$740&gt;=U311)*(SVB!$S$2:$S$740&lt;=U312)*(SVB!$B$2:$B$740="T1-015")*(ISNUMBER(SVB!$O$2:$O$740))*(SVB!$O$2:$O$740))</f>
        <v>0</v>
      </c>
      <c r="V160" s="544">
        <f>SUM(F160:U160)</f>
        <v>0</v>
      </c>
    </row>
    <row r="161" spans="1:22" s="562" customFormat="1" ht="19.5" customHeight="1">
      <c r="A161" s="565" t="s">
        <v>312</v>
      </c>
      <c r="B161" s="566">
        <f>MAX(B160-B157,0)</f>
        <v>0</v>
      </c>
      <c r="C161" s="566">
        <f t="shared" ref="C161" si="212">MAX(C160-C157,0)</f>
        <v>0</v>
      </c>
      <c r="D161" s="566">
        <f t="shared" ref="D161" si="213">MAX(D160-D157,0)</f>
        <v>0</v>
      </c>
      <c r="E161" s="566">
        <f t="shared" ref="E161" si="214">MAX(E160-E157,0)</f>
        <v>0</v>
      </c>
      <c r="F161" s="566">
        <f t="shared" ref="F161" si="215">MAX(F160-F157,0)</f>
        <v>0</v>
      </c>
      <c r="G161" s="566">
        <f t="shared" ref="G161" si="216">MAX(G160-G157,0)</f>
        <v>0</v>
      </c>
      <c r="H161" s="566">
        <f t="shared" ref="H161" si="217">MAX(H160-H157,0)</f>
        <v>0</v>
      </c>
      <c r="I161" s="566">
        <f t="shared" ref="I161" si="218">MAX(I160-I157,0)</f>
        <v>0</v>
      </c>
      <c r="J161" s="566">
        <f t="shared" ref="J161" si="219">MAX(J160-J157,0)</f>
        <v>0</v>
      </c>
      <c r="K161" s="566">
        <f t="shared" ref="K161" si="220">MAX(K160-K157,0)</f>
        <v>0</v>
      </c>
      <c r="L161" s="566">
        <f t="shared" ref="L161" si="221">MAX(L160-L157,0)</f>
        <v>0</v>
      </c>
      <c r="M161" s="566">
        <f t="shared" ref="M161" si="222">MAX(M160-M157,0)</f>
        <v>0</v>
      </c>
      <c r="N161" s="566">
        <f t="shared" ref="N161" si="223">MAX(N160-N157,0)</f>
        <v>0</v>
      </c>
      <c r="O161" s="566">
        <f t="shared" ref="O161" si="224">MAX(O160-O157,0)</f>
        <v>0</v>
      </c>
      <c r="P161" s="566">
        <f t="shared" ref="P161" si="225">MAX(P160-P157,0)</f>
        <v>0</v>
      </c>
      <c r="Q161" s="566">
        <f t="shared" ref="Q161:U161" si="226">MAX(Q160-Q157,0)</f>
        <v>0</v>
      </c>
      <c r="R161" s="566">
        <f t="shared" si="226"/>
        <v>0</v>
      </c>
      <c r="S161" s="566">
        <f t="shared" si="226"/>
        <v>0</v>
      </c>
      <c r="T161" s="566">
        <f t="shared" si="226"/>
        <v>0</v>
      </c>
      <c r="U161" s="566">
        <f t="shared" si="226"/>
        <v>0</v>
      </c>
      <c r="V161" s="567">
        <f>MAX(V160-V157,0)</f>
        <v>0</v>
      </c>
    </row>
    <row r="162" spans="1:22" s="562" customFormat="1" ht="19.5" customHeight="1">
      <c r="A162" s="565" t="s">
        <v>313</v>
      </c>
      <c r="B162" s="566">
        <f>MAX(B157-B160,0)</f>
        <v>0</v>
      </c>
      <c r="C162" s="566">
        <f t="shared" ref="C162:Q162" si="227">MAX(C157-C160,0)</f>
        <v>0</v>
      </c>
      <c r="D162" s="566">
        <f t="shared" si="227"/>
        <v>0</v>
      </c>
      <c r="E162" s="566">
        <f t="shared" si="227"/>
        <v>0</v>
      </c>
      <c r="F162" s="566">
        <f t="shared" si="227"/>
        <v>0</v>
      </c>
      <c r="G162" s="566">
        <f t="shared" si="227"/>
        <v>0</v>
      </c>
      <c r="H162" s="566">
        <f t="shared" si="227"/>
        <v>0</v>
      </c>
      <c r="I162" s="566">
        <f t="shared" si="227"/>
        <v>0</v>
      </c>
      <c r="J162" s="566">
        <f t="shared" si="227"/>
        <v>0</v>
      </c>
      <c r="K162" s="566">
        <f t="shared" si="227"/>
        <v>0</v>
      </c>
      <c r="L162" s="566">
        <f t="shared" si="227"/>
        <v>93</v>
      </c>
      <c r="M162" s="566">
        <f t="shared" si="227"/>
        <v>97</v>
      </c>
      <c r="N162" s="566">
        <f t="shared" si="227"/>
        <v>50</v>
      </c>
      <c r="O162" s="566">
        <f t="shared" si="227"/>
        <v>58</v>
      </c>
      <c r="P162" s="566">
        <f t="shared" si="227"/>
        <v>27</v>
      </c>
      <c r="Q162" s="566">
        <f t="shared" si="227"/>
        <v>0</v>
      </c>
      <c r="R162" s="566">
        <f t="shared" ref="R162:U162" si="228">MAX(R157-R160,0)</f>
        <v>0</v>
      </c>
      <c r="S162" s="566">
        <f t="shared" si="228"/>
        <v>0</v>
      </c>
      <c r="T162" s="566">
        <f t="shared" si="228"/>
        <v>0</v>
      </c>
      <c r="U162" s="566">
        <f t="shared" si="228"/>
        <v>0</v>
      </c>
      <c r="V162" s="567">
        <f>MAX(V157-V160,0)</f>
        <v>327</v>
      </c>
    </row>
    <row r="163" spans="1:22" ht="18" customHeight="1">
      <c r="A163" s="556" t="s">
        <v>316</v>
      </c>
      <c r="B163" s="557">
        <f t="shared" ref="B163:Q163" si="229">IF(B157=0,"-",(B158+B159+B160)/(B157*3))</f>
        <v>1</v>
      </c>
      <c r="C163" s="557" t="str">
        <f t="shared" si="229"/>
        <v>-</v>
      </c>
      <c r="D163" s="557" t="str">
        <f t="shared" si="229"/>
        <v>-</v>
      </c>
      <c r="E163" s="557" t="str">
        <f t="shared" si="229"/>
        <v>-</v>
      </c>
      <c r="F163" s="557" t="str">
        <f t="shared" si="229"/>
        <v>-</v>
      </c>
      <c r="G163" s="557" t="str">
        <f t="shared" si="229"/>
        <v>-</v>
      </c>
      <c r="H163" s="557" t="str">
        <f t="shared" si="229"/>
        <v>-</v>
      </c>
      <c r="I163" s="557" t="str">
        <f t="shared" si="229"/>
        <v>-</v>
      </c>
      <c r="J163" s="557" t="str">
        <f t="shared" si="229"/>
        <v>-</v>
      </c>
      <c r="K163" s="557" t="str">
        <f t="shared" si="229"/>
        <v>-</v>
      </c>
      <c r="L163" s="557">
        <f t="shared" si="229"/>
        <v>0</v>
      </c>
      <c r="M163" s="557">
        <f t="shared" si="229"/>
        <v>0</v>
      </c>
      <c r="N163" s="557">
        <f t="shared" si="229"/>
        <v>0</v>
      </c>
      <c r="O163" s="557">
        <f t="shared" si="229"/>
        <v>0</v>
      </c>
      <c r="P163" s="557">
        <f t="shared" si="229"/>
        <v>0</v>
      </c>
      <c r="Q163" s="557" t="str">
        <f t="shared" si="229"/>
        <v>-</v>
      </c>
      <c r="R163" s="557" t="str">
        <f t="shared" ref="R163:U163" si="230">IF(R157=0,"-",(R158+R159+R160)/(R157*3))</f>
        <v>-</v>
      </c>
      <c r="S163" s="557" t="str">
        <f t="shared" si="230"/>
        <v>-</v>
      </c>
      <c r="T163" s="557" t="str">
        <f t="shared" si="230"/>
        <v>-</v>
      </c>
      <c r="U163" s="557" t="str">
        <f t="shared" si="230"/>
        <v>-</v>
      </c>
      <c r="V163" s="545">
        <f t="shared" ref="V163" si="231">IF(V157=0,"-",(V158+V159+V160)/(V157*3))</f>
        <v>0</v>
      </c>
    </row>
    <row r="164" spans="1:22" ht="18" customHeight="1">
      <c r="A164" s="612" t="s">
        <v>910</v>
      </c>
      <c r="B164" s="613">
        <f>SUM($B160:B160)</f>
        <v>2</v>
      </c>
      <c r="C164" s="613">
        <f>SUM($B160:C160)</f>
        <v>2</v>
      </c>
      <c r="D164" s="613">
        <f>SUM($B160:D160)</f>
        <v>2</v>
      </c>
      <c r="E164" s="613">
        <f>SUM($B160:E160)</f>
        <v>2</v>
      </c>
      <c r="F164" s="613">
        <f>SUM($B160:F160)</f>
        <v>2</v>
      </c>
      <c r="G164" s="613">
        <f>SUM($B160:G160)</f>
        <v>2</v>
      </c>
      <c r="H164" s="613">
        <f>SUM($B160:H160)</f>
        <v>2</v>
      </c>
      <c r="I164" s="613">
        <f>SUM($B160:I160)</f>
        <v>2</v>
      </c>
      <c r="J164" s="613">
        <f>SUM($B160:J160)</f>
        <v>2</v>
      </c>
      <c r="K164" s="613">
        <f>SUM($B160:K160)</f>
        <v>2</v>
      </c>
      <c r="L164" s="613">
        <f>SUM($B160:L160)</f>
        <v>2</v>
      </c>
      <c r="M164" s="613">
        <f>SUM($B160:M160)</f>
        <v>2</v>
      </c>
      <c r="N164" s="613">
        <f>SUM($B160:N160)</f>
        <v>2</v>
      </c>
      <c r="O164" s="613">
        <f>SUM($B160:O160)</f>
        <v>2</v>
      </c>
      <c r="P164" s="613">
        <f>SUM($B160:P160)</f>
        <v>2</v>
      </c>
      <c r="Q164" s="613">
        <f>SUM($B160:Q160)</f>
        <v>2</v>
      </c>
      <c r="R164" s="613">
        <f>SUM($B160:R160)</f>
        <v>2</v>
      </c>
      <c r="S164" s="613">
        <f>SUM($B160:S160)</f>
        <v>2</v>
      </c>
      <c r="T164" s="613">
        <f>SUM($B160:T160)</f>
        <v>2</v>
      </c>
      <c r="U164" s="613">
        <f>SUM($B160:U160)</f>
        <v>2</v>
      </c>
      <c r="V164" s="544">
        <f>V160</f>
        <v>0</v>
      </c>
    </row>
    <row r="165" spans="1:22" ht="18" customHeight="1">
      <c r="A165" s="614" t="s">
        <v>308</v>
      </c>
      <c r="B165" s="615">
        <f>IF(B157=0,IF(B158=0,"-","100%"),B158/B157)</f>
        <v>1</v>
      </c>
      <c r="C165" s="615" t="str">
        <f t="shared" ref="C165:Q165" si="232">IF(C157=0,IF(C158=0,"-","100%"),C158/C157)</f>
        <v>-</v>
      </c>
      <c r="D165" s="615" t="str">
        <f t="shared" si="232"/>
        <v>-</v>
      </c>
      <c r="E165" s="615" t="str">
        <f t="shared" si="232"/>
        <v>-</v>
      </c>
      <c r="F165" s="615" t="str">
        <f t="shared" si="232"/>
        <v>-</v>
      </c>
      <c r="G165" s="615" t="str">
        <f t="shared" si="232"/>
        <v>-</v>
      </c>
      <c r="H165" s="615" t="str">
        <f t="shared" si="232"/>
        <v>-</v>
      </c>
      <c r="I165" s="615" t="str">
        <f t="shared" si="232"/>
        <v>-</v>
      </c>
      <c r="J165" s="615" t="str">
        <f t="shared" si="232"/>
        <v>-</v>
      </c>
      <c r="K165" s="615" t="str">
        <f t="shared" si="232"/>
        <v>-</v>
      </c>
      <c r="L165" s="615">
        <f t="shared" si="232"/>
        <v>0</v>
      </c>
      <c r="M165" s="615">
        <f t="shared" si="232"/>
        <v>0</v>
      </c>
      <c r="N165" s="615">
        <f t="shared" si="232"/>
        <v>0</v>
      </c>
      <c r="O165" s="615">
        <f t="shared" si="232"/>
        <v>0</v>
      </c>
      <c r="P165" s="615">
        <f t="shared" si="232"/>
        <v>0</v>
      </c>
      <c r="Q165" s="615" t="str">
        <f t="shared" si="232"/>
        <v>-</v>
      </c>
      <c r="R165" s="615" t="str">
        <f t="shared" ref="R165:U165" si="233">IF(R157=0,IF(R158=0,"-","100%"),R158/R157)</f>
        <v>-</v>
      </c>
      <c r="S165" s="615" t="str">
        <f t="shared" si="233"/>
        <v>-</v>
      </c>
      <c r="T165" s="615" t="str">
        <f t="shared" si="233"/>
        <v>-</v>
      </c>
      <c r="U165" s="615" t="str">
        <f t="shared" si="233"/>
        <v>-</v>
      </c>
      <c r="V165" s="616">
        <f>IF(V157=0,"-",V158/V157)</f>
        <v>0</v>
      </c>
    </row>
    <row r="166" spans="1:22" ht="18" customHeight="1">
      <c r="A166" s="614" t="s">
        <v>310</v>
      </c>
      <c r="B166" s="615">
        <f>IF(B157=0,IF(B159=0,"-","100%"),B159/B157)</f>
        <v>1</v>
      </c>
      <c r="C166" s="615" t="str">
        <f t="shared" ref="C166:Q166" si="234">IF(C157=0,IF(C159=0,"-","100%"),C159/C157)</f>
        <v>-</v>
      </c>
      <c r="D166" s="615" t="str">
        <f t="shared" si="234"/>
        <v>-</v>
      </c>
      <c r="E166" s="615" t="str">
        <f t="shared" si="234"/>
        <v>-</v>
      </c>
      <c r="F166" s="615" t="str">
        <f t="shared" si="234"/>
        <v>-</v>
      </c>
      <c r="G166" s="615" t="str">
        <f t="shared" si="234"/>
        <v>-</v>
      </c>
      <c r="H166" s="615" t="str">
        <f t="shared" si="234"/>
        <v>-</v>
      </c>
      <c r="I166" s="615" t="str">
        <f t="shared" si="234"/>
        <v>-</v>
      </c>
      <c r="J166" s="615" t="str">
        <f t="shared" si="234"/>
        <v>-</v>
      </c>
      <c r="K166" s="615" t="str">
        <f t="shared" si="234"/>
        <v>-</v>
      </c>
      <c r="L166" s="615">
        <f t="shared" si="234"/>
        <v>0</v>
      </c>
      <c r="M166" s="615">
        <f t="shared" si="234"/>
        <v>0</v>
      </c>
      <c r="N166" s="615">
        <f t="shared" si="234"/>
        <v>0</v>
      </c>
      <c r="O166" s="615">
        <f t="shared" si="234"/>
        <v>0</v>
      </c>
      <c r="P166" s="615">
        <f t="shared" si="234"/>
        <v>0</v>
      </c>
      <c r="Q166" s="615" t="str">
        <f t="shared" si="234"/>
        <v>-</v>
      </c>
      <c r="R166" s="615" t="str">
        <f t="shared" ref="R166:U166" si="235">IF(R157=0,IF(R159=0,"-","100%"),R159/R157)</f>
        <v>-</v>
      </c>
      <c r="S166" s="615" t="str">
        <f t="shared" si="235"/>
        <v>-</v>
      </c>
      <c r="T166" s="615" t="str">
        <f t="shared" si="235"/>
        <v>-</v>
      </c>
      <c r="U166" s="615" t="str">
        <f t="shared" si="235"/>
        <v>-</v>
      </c>
      <c r="V166" s="616">
        <f>IF(V157=0,"-",V159/V157)</f>
        <v>0</v>
      </c>
    </row>
    <row r="167" spans="1:22" ht="18" customHeight="1">
      <c r="A167" s="614" t="s">
        <v>314</v>
      </c>
      <c r="B167" s="615">
        <f>IF(B157=0,IF(B160=0,"-","100%"),B160/B157)</f>
        <v>1</v>
      </c>
      <c r="C167" s="615" t="str">
        <f t="shared" ref="C167:Q167" si="236">IF(C157=0,IF(C160=0,"-","100%"),C160/C157)</f>
        <v>-</v>
      </c>
      <c r="D167" s="615" t="str">
        <f t="shared" si="236"/>
        <v>-</v>
      </c>
      <c r="E167" s="615" t="str">
        <f t="shared" si="236"/>
        <v>-</v>
      </c>
      <c r="F167" s="615" t="str">
        <f t="shared" si="236"/>
        <v>-</v>
      </c>
      <c r="G167" s="615" t="str">
        <f t="shared" si="236"/>
        <v>-</v>
      </c>
      <c r="H167" s="615" t="str">
        <f t="shared" si="236"/>
        <v>-</v>
      </c>
      <c r="I167" s="615" t="str">
        <f t="shared" si="236"/>
        <v>-</v>
      </c>
      <c r="J167" s="615" t="str">
        <f t="shared" si="236"/>
        <v>-</v>
      </c>
      <c r="K167" s="615" t="str">
        <f t="shared" si="236"/>
        <v>-</v>
      </c>
      <c r="L167" s="615">
        <f t="shared" si="236"/>
        <v>0</v>
      </c>
      <c r="M167" s="615">
        <f t="shared" si="236"/>
        <v>0</v>
      </c>
      <c r="N167" s="615">
        <f t="shared" si="236"/>
        <v>0</v>
      </c>
      <c r="O167" s="615">
        <f t="shared" si="236"/>
        <v>0</v>
      </c>
      <c r="P167" s="615">
        <f t="shared" si="236"/>
        <v>0</v>
      </c>
      <c r="Q167" s="615" t="str">
        <f t="shared" si="236"/>
        <v>-</v>
      </c>
      <c r="R167" s="615" t="str">
        <f t="shared" ref="R167:U167" si="237">IF(R157=0,IF(R160=0,"-","100%"),R160/R157)</f>
        <v>-</v>
      </c>
      <c r="S167" s="615" t="str">
        <f t="shared" si="237"/>
        <v>-</v>
      </c>
      <c r="T167" s="615" t="str">
        <f t="shared" si="237"/>
        <v>-</v>
      </c>
      <c r="U167" s="615" t="str">
        <f t="shared" si="237"/>
        <v>-</v>
      </c>
      <c r="V167" s="616">
        <f>IF(V157=0,"-",V160/V157)</f>
        <v>0</v>
      </c>
    </row>
    <row r="168" spans="1:22" s="562" customFormat="1" ht="19.5" customHeight="1">
      <c r="A168" s="565" t="s">
        <v>317</v>
      </c>
      <c r="B168" s="566">
        <f>SUM($B157:B157)</f>
        <v>2</v>
      </c>
      <c r="C168" s="566">
        <f>SUM($B157:C157)</f>
        <v>2</v>
      </c>
      <c r="D168" s="566">
        <f>SUM($B157:D157)</f>
        <v>2</v>
      </c>
      <c r="E168" s="566">
        <f>SUM($B157:E157)</f>
        <v>2</v>
      </c>
      <c r="F168" s="566">
        <f>SUM($B157:F157)</f>
        <v>2</v>
      </c>
      <c r="G168" s="566">
        <f>SUM($B157:G157)</f>
        <v>2</v>
      </c>
      <c r="H168" s="566">
        <f>SUM($B157:H157)</f>
        <v>2</v>
      </c>
      <c r="I168" s="566">
        <f>SUM($B157:I157)</f>
        <v>2</v>
      </c>
      <c r="J168" s="566">
        <f>SUM($B157:J157)</f>
        <v>2</v>
      </c>
      <c r="K168" s="566">
        <f>SUM($B157:K157)</f>
        <v>2</v>
      </c>
      <c r="L168" s="566">
        <f>SUM($B157:L157)</f>
        <v>95</v>
      </c>
      <c r="M168" s="566">
        <f>SUM($B157:M157)</f>
        <v>192</v>
      </c>
      <c r="N168" s="566">
        <f>SUM($B157:N157)</f>
        <v>242</v>
      </c>
      <c r="O168" s="566">
        <f>SUM($B157:O157)</f>
        <v>300</v>
      </c>
      <c r="P168" s="566">
        <f>SUM($B157:P157)</f>
        <v>327</v>
      </c>
      <c r="Q168" s="566">
        <f>SUM($B157:Q157)</f>
        <v>327</v>
      </c>
      <c r="R168" s="566">
        <f>SUM($B157:R157)</f>
        <v>327</v>
      </c>
      <c r="S168" s="566">
        <f>SUM($B157:S157)</f>
        <v>327</v>
      </c>
      <c r="T168" s="566">
        <f>SUM($B157:T157)</f>
        <v>327</v>
      </c>
      <c r="U168" s="566">
        <f>SUM($B157:U157)</f>
        <v>327</v>
      </c>
      <c r="V168" s="567">
        <f>V157</f>
        <v>327</v>
      </c>
    </row>
    <row r="169" spans="1:22" s="562" customFormat="1" ht="19.5" customHeight="1">
      <c r="A169" s="565" t="s">
        <v>318</v>
      </c>
      <c r="B169" s="566">
        <f>SUM($B160:B160)</f>
        <v>2</v>
      </c>
      <c r="C169" s="566">
        <f>SUM($B160:C160)</f>
        <v>2</v>
      </c>
      <c r="D169" s="566">
        <f>SUM($B160:D160)</f>
        <v>2</v>
      </c>
      <c r="E169" s="566">
        <f>SUM($B160:E160)</f>
        <v>2</v>
      </c>
      <c r="F169" s="566">
        <f>SUM($B160:F160)</f>
        <v>2</v>
      </c>
      <c r="G169" s="566">
        <f>SUM($B160:G160)</f>
        <v>2</v>
      </c>
      <c r="H169" s="566">
        <f>SUM($B160:H160)</f>
        <v>2</v>
      </c>
      <c r="I169" s="566">
        <f>SUM($B160:I160)</f>
        <v>2</v>
      </c>
      <c r="J169" s="566">
        <f>SUM($B160:J160)</f>
        <v>2</v>
      </c>
      <c r="K169" s="566">
        <f>SUM($B160:K160)</f>
        <v>2</v>
      </c>
      <c r="L169" s="566">
        <f>SUM($B160:L160)</f>
        <v>2</v>
      </c>
      <c r="M169" s="566">
        <f>SUM($B160:M160)</f>
        <v>2</v>
      </c>
      <c r="N169" s="566">
        <f>SUM($B160:N160)</f>
        <v>2</v>
      </c>
      <c r="O169" s="566">
        <f>SUM($B160:O160)</f>
        <v>2</v>
      </c>
      <c r="P169" s="566">
        <f>SUM($B160:P160)</f>
        <v>2</v>
      </c>
      <c r="Q169" s="566">
        <f>SUM($B160:Q160)</f>
        <v>2</v>
      </c>
      <c r="R169" s="566">
        <f>SUM($B160:R160)</f>
        <v>2</v>
      </c>
      <c r="S169" s="566">
        <f>SUM($B160:S160)</f>
        <v>2</v>
      </c>
      <c r="T169" s="566">
        <f>SUM($B160:T160)</f>
        <v>2</v>
      </c>
      <c r="U169" s="566">
        <f>SUM($B160:U160)</f>
        <v>2</v>
      </c>
      <c r="V169" s="567">
        <f>V160</f>
        <v>0</v>
      </c>
    </row>
    <row r="170" spans="1:22" s="562" customFormat="1" ht="19.5" customHeight="1">
      <c r="A170" s="559" t="s">
        <v>319</v>
      </c>
      <c r="B170" s="560" t="e">
        <f>IF(#REF!=0,"-",B169/#REF!)</f>
        <v>#REF!</v>
      </c>
      <c r="C170" s="560" t="e">
        <f>IF(#REF!=0,"-",C169/#REF!)</f>
        <v>#REF!</v>
      </c>
      <c r="D170" s="560" t="e">
        <f>IF(#REF!=0,"-",D169/#REF!)</f>
        <v>#REF!</v>
      </c>
      <c r="E170" s="560" t="e">
        <f>IF(#REF!=0,"-",E169/#REF!)</f>
        <v>#REF!</v>
      </c>
      <c r="F170" s="560" t="e">
        <f>IF(#REF!=0,"-",F169/#REF!)</f>
        <v>#REF!</v>
      </c>
      <c r="G170" s="560" t="e">
        <f>IF(#REF!=0,"-",G169/#REF!)</f>
        <v>#REF!</v>
      </c>
      <c r="H170" s="560" t="e">
        <f>IF(#REF!=0,"-",H169/#REF!)</f>
        <v>#REF!</v>
      </c>
      <c r="I170" s="560" t="e">
        <f>IF(#REF!=0,"-",I169/#REF!)</f>
        <v>#REF!</v>
      </c>
      <c r="J170" s="560" t="e">
        <f>IF(#REF!=0,"-",J169/#REF!)</f>
        <v>#REF!</v>
      </c>
      <c r="K170" s="560" t="e">
        <f>IF(#REF!=0,"-",K169/#REF!)</f>
        <v>#REF!</v>
      </c>
      <c r="L170" s="560" t="e">
        <f>IF(#REF!=0,"-",L169/#REF!)</f>
        <v>#REF!</v>
      </c>
      <c r="M170" s="560" t="e">
        <f>IF(#REF!=0,"-",M169/#REF!)</f>
        <v>#REF!</v>
      </c>
      <c r="N170" s="560" t="e">
        <f>IF(#REF!=0,"-",N169/#REF!)</f>
        <v>#REF!</v>
      </c>
      <c r="O170" s="560" t="e">
        <f>IF(#REF!=0,"-",O169/#REF!)</f>
        <v>#REF!</v>
      </c>
      <c r="P170" s="560" t="e">
        <f>IF(#REF!=0,"-",P169/#REF!)</f>
        <v>#REF!</v>
      </c>
      <c r="Q170" s="560" t="e">
        <f>IF(#REF!=0,"-",Q169/#REF!)</f>
        <v>#REF!</v>
      </c>
      <c r="R170" s="560" t="e">
        <f>IF(#REF!=0,"-",R169/#REF!)</f>
        <v>#REF!</v>
      </c>
      <c r="S170" s="560" t="e">
        <f>IF(#REF!=0,"-",S169/#REF!)</f>
        <v>#REF!</v>
      </c>
      <c r="T170" s="560" t="e">
        <f>IF(#REF!=0,"-",T169/#REF!)</f>
        <v>#REF!</v>
      </c>
      <c r="U170" s="560" t="e">
        <f>IF(#REF!=0,"-",U169/#REF!)</f>
        <v>#REF!</v>
      </c>
      <c r="V170" s="561" t="e">
        <f>IF(#REF!=0,"-",V169/#REF!)</f>
        <v>#REF!</v>
      </c>
    </row>
    <row r="171" spans="1:22" s="562" customFormat="1" ht="19.5" customHeight="1">
      <c r="A171" s="563" t="s">
        <v>320</v>
      </c>
      <c r="B171" s="564" t="e">
        <f>IF(#REF!=0,"-",B168/#REF!)</f>
        <v>#REF!</v>
      </c>
      <c r="C171" s="564" t="e">
        <f>IF(#REF!=0,"-",C168/#REF!)</f>
        <v>#REF!</v>
      </c>
      <c r="D171" s="564" t="e">
        <f>IF(#REF!=0,"-",D168/#REF!)</f>
        <v>#REF!</v>
      </c>
      <c r="E171" s="564" t="e">
        <f>IF(#REF!=0,"-",E168/#REF!)</f>
        <v>#REF!</v>
      </c>
      <c r="F171" s="564" t="e">
        <f>IF(#REF!=0,"-",F168/#REF!)</f>
        <v>#REF!</v>
      </c>
      <c r="G171" s="564" t="e">
        <f>IF(#REF!=0,"-",G168/#REF!)</f>
        <v>#REF!</v>
      </c>
      <c r="H171" s="564" t="e">
        <f>IF(#REF!=0,"-",H168/#REF!)</f>
        <v>#REF!</v>
      </c>
      <c r="I171" s="564" t="e">
        <f>IF(#REF!=0,"-",I168/#REF!)</f>
        <v>#REF!</v>
      </c>
      <c r="J171" s="564" t="e">
        <f>IF(#REF!=0,"-",J168/#REF!)</f>
        <v>#REF!</v>
      </c>
      <c r="K171" s="564" t="e">
        <f>IF(#REF!=0,"-",K168/#REF!)</f>
        <v>#REF!</v>
      </c>
      <c r="L171" s="564" t="e">
        <f>IF(#REF!=0,"-",L168/#REF!)</f>
        <v>#REF!</v>
      </c>
      <c r="M171" s="564" t="e">
        <f>IF(#REF!=0,"-",M168/#REF!)</f>
        <v>#REF!</v>
      </c>
      <c r="N171" s="564" t="e">
        <f>IF(#REF!=0,"-",N168/#REF!)</f>
        <v>#REF!</v>
      </c>
      <c r="O171" s="564" t="e">
        <f>IF(#REF!=0,"-",O168/#REF!)</f>
        <v>#REF!</v>
      </c>
      <c r="P171" s="564" t="e">
        <f>IF(#REF!=0,"-",P168/#REF!)</f>
        <v>#REF!</v>
      </c>
      <c r="Q171" s="564" t="e">
        <f>IF(#REF!=0,"-",Q168/#REF!)</f>
        <v>#REF!</v>
      </c>
      <c r="R171" s="564" t="e">
        <f>IF(#REF!=0,"-",R168/#REF!)</f>
        <v>#REF!</v>
      </c>
      <c r="S171" s="564" t="e">
        <f>IF(#REF!=0,"-",S168/#REF!)</f>
        <v>#REF!</v>
      </c>
      <c r="T171" s="564" t="e">
        <f>IF(#REF!=0,"-",T168/#REF!)</f>
        <v>#REF!</v>
      </c>
      <c r="U171" s="564" t="e">
        <f>IF(#REF!=0,"-",U168/#REF!)</f>
        <v>#REF!</v>
      </c>
      <c r="V171" s="561" t="e">
        <f>IF(#REF!=0,"-",V168/#REF!)</f>
        <v>#REF!</v>
      </c>
    </row>
    <row r="172" spans="1:22" ht="4.5" customHeight="1"/>
    <row r="173" spans="1:22" ht="19.5" customHeight="1">
      <c r="A173" s="966" t="s">
        <v>928</v>
      </c>
      <c r="B173" s="966"/>
      <c r="C173" s="966"/>
      <c r="D173" s="966"/>
      <c r="E173" s="966"/>
      <c r="F173" s="966"/>
      <c r="G173" s="966"/>
      <c r="H173" s="966"/>
      <c r="I173" s="966"/>
      <c r="J173" s="966"/>
      <c r="K173" s="966"/>
      <c r="L173" s="966"/>
      <c r="M173" s="966"/>
      <c r="N173" s="966"/>
      <c r="O173" s="966"/>
      <c r="P173" s="966"/>
      <c r="Q173" s="966"/>
      <c r="R173" s="719"/>
    </row>
    <row r="309" spans="2:22" hidden="1"/>
    <row r="310" spans="2:22" hidden="1"/>
    <row r="311" spans="2:22" hidden="1">
      <c r="B311" s="446">
        <f>DATE(2026,2,1)</f>
        <v>46054</v>
      </c>
      <c r="C311" s="446">
        <f>DATE(2026,2,21)</f>
        <v>46074</v>
      </c>
      <c r="D311" s="446">
        <f>DATE(2026,2,28)</f>
        <v>46081</v>
      </c>
      <c r="E311" s="446">
        <f>DATE(2026,3,7)</f>
        <v>46088</v>
      </c>
      <c r="F311" s="446">
        <f>DATE(2026,3,14)</f>
        <v>46095</v>
      </c>
      <c r="G311" s="446">
        <f>DATE(2026,3,21)</f>
        <v>46102</v>
      </c>
      <c r="H311" s="446">
        <f>DATE(2026,3,28)</f>
        <v>46109</v>
      </c>
      <c r="I311" s="446">
        <f>DATE(2026,4,4)</f>
        <v>46116</v>
      </c>
      <c r="J311" s="446">
        <f>DATE(2026,4,11)</f>
        <v>46123</v>
      </c>
      <c r="K311" s="446">
        <f>DATE(2026,4,18)</f>
        <v>46130</v>
      </c>
      <c r="L311" s="446">
        <f>DATE(2026,4,25)</f>
        <v>46137</v>
      </c>
      <c r="M311" s="446">
        <f>DATE(2026,5,2)</f>
        <v>46144</v>
      </c>
      <c r="N311" s="446">
        <f>DATE(2026,5,9)</f>
        <v>46151</v>
      </c>
      <c r="O311" s="446">
        <f>DATE(2026,5,16)</f>
        <v>46158</v>
      </c>
      <c r="P311" s="446">
        <f>DATE(2026,5,23)</f>
        <v>46165</v>
      </c>
      <c r="Q311" s="446">
        <f>DATE(2026,5,30)</f>
        <v>46172</v>
      </c>
      <c r="R311" s="446">
        <f>Q311+7</f>
        <v>46179</v>
      </c>
      <c r="S311" s="446">
        <f t="shared" ref="S311:U311" si="238">R311+7</f>
        <v>46186</v>
      </c>
      <c r="T311" s="446">
        <f t="shared" si="238"/>
        <v>46193</v>
      </c>
      <c r="U311" s="446">
        <f t="shared" si="238"/>
        <v>46200</v>
      </c>
      <c r="V311" s="446"/>
    </row>
    <row r="312" spans="2:22" hidden="1">
      <c r="B312" s="446">
        <f>DATE(2026,2,20)</f>
        <v>46073</v>
      </c>
      <c r="C312" s="446">
        <f>DATE(2026,2,27)</f>
        <v>46080</v>
      </c>
      <c r="D312" s="446">
        <f>DATE(2026,3,6)</f>
        <v>46087</v>
      </c>
      <c r="E312" s="446">
        <f>DATE(2026,3,13)</f>
        <v>46094</v>
      </c>
      <c r="F312" s="446">
        <f>DATE(2026,3,20)</f>
        <v>46101</v>
      </c>
      <c r="G312" s="446">
        <f>DATE(2026,3,27)</f>
        <v>46108</v>
      </c>
      <c r="H312" s="446">
        <f>DATE(2026,4,3)</f>
        <v>46115</v>
      </c>
      <c r="I312" s="446">
        <f>DATE(2026,4,10)</f>
        <v>46122</v>
      </c>
      <c r="J312" s="446">
        <f>DATE(2026,4,17)</f>
        <v>46129</v>
      </c>
      <c r="K312" s="446">
        <f>DATE(2026,4,24)</f>
        <v>46136</v>
      </c>
      <c r="L312" s="446">
        <f>DATE(2026,5,1)</f>
        <v>46143</v>
      </c>
      <c r="M312" s="446">
        <f>DATE(2026,5,8)</f>
        <v>46150</v>
      </c>
      <c r="N312" s="446">
        <f>DATE(2026,5,15)</f>
        <v>46157</v>
      </c>
      <c r="O312" s="446">
        <f>DATE(2026,5,22)</f>
        <v>46164</v>
      </c>
      <c r="P312" s="446">
        <f>DATE(2026,5,29)</f>
        <v>46171</v>
      </c>
      <c r="Q312" s="446">
        <f>P312+7</f>
        <v>46178</v>
      </c>
      <c r="R312" s="446">
        <f>Q312+7</f>
        <v>46185</v>
      </c>
      <c r="S312" s="446">
        <f t="shared" ref="S312:U312" si="239">R312+7</f>
        <v>46192</v>
      </c>
      <c r="T312" s="446">
        <f t="shared" si="239"/>
        <v>46199</v>
      </c>
      <c r="U312" s="446">
        <f t="shared" si="239"/>
        <v>46206</v>
      </c>
      <c r="V312" s="446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980" t="s">
        <v>929</v>
      </c>
      <c r="B1" s="981"/>
      <c r="C1" s="982"/>
      <c r="D1" s="983" t="s">
        <v>930</v>
      </c>
      <c r="E1" s="984"/>
      <c r="F1" s="984"/>
      <c r="G1" s="985"/>
      <c r="H1" s="993" t="s">
        <v>931</v>
      </c>
      <c r="I1" s="994"/>
      <c r="J1" s="994"/>
      <c r="K1" s="995"/>
      <c r="L1" s="996" t="s">
        <v>29</v>
      </c>
      <c r="M1" s="987" t="s">
        <v>30</v>
      </c>
      <c r="N1" s="989" t="s">
        <v>932</v>
      </c>
    </row>
    <row r="2" spans="1:14" s="311" customFormat="1" ht="21">
      <c r="A2" s="391" t="s">
        <v>15</v>
      </c>
      <c r="B2" s="730" t="s">
        <v>17</v>
      </c>
      <c r="C2" s="730" t="s">
        <v>16</v>
      </c>
      <c r="D2" s="498" t="s">
        <v>148</v>
      </c>
      <c r="E2" s="498" t="s">
        <v>149</v>
      </c>
      <c r="F2" s="498" t="s">
        <v>150</v>
      </c>
      <c r="G2" s="498" t="s">
        <v>151</v>
      </c>
      <c r="H2" s="392" t="s">
        <v>150</v>
      </c>
      <c r="I2" s="191" t="s">
        <v>26</v>
      </c>
      <c r="J2" s="191" t="s">
        <v>27</v>
      </c>
      <c r="K2" s="191" t="s">
        <v>28</v>
      </c>
      <c r="L2" s="997"/>
      <c r="M2" s="988"/>
      <c r="N2" s="990"/>
    </row>
    <row r="3" spans="1:14" ht="21">
      <c r="A3" s="752" t="s">
        <v>933</v>
      </c>
      <c r="B3" s="393">
        <v>1</v>
      </c>
      <c r="C3" s="73" t="s">
        <v>934</v>
      </c>
      <c r="D3" s="387">
        <v>1</v>
      </c>
      <c r="E3" s="387">
        <v>1</v>
      </c>
      <c r="F3" s="387">
        <v>0</v>
      </c>
      <c r="G3" s="767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5"/>
      <c r="N3" s="150">
        <f>E3+H3</f>
        <v>1</v>
      </c>
    </row>
    <row r="4" spans="1:14" ht="21">
      <c r="A4" s="752" t="s">
        <v>935</v>
      </c>
      <c r="B4" s="393">
        <v>1</v>
      </c>
      <c r="C4" s="73" t="s">
        <v>936</v>
      </c>
      <c r="D4" s="387">
        <v>1</v>
      </c>
      <c r="E4" s="387">
        <v>1</v>
      </c>
      <c r="F4" s="387">
        <v>0</v>
      </c>
      <c r="G4" s="767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5"/>
      <c r="N4" s="150">
        <f t="shared" ref="N4:N67" si="1">E4+H4</f>
        <v>1</v>
      </c>
    </row>
    <row r="5" spans="1:14" ht="21">
      <c r="A5" s="986" t="s">
        <v>937</v>
      </c>
      <c r="B5" s="393">
        <v>1</v>
      </c>
      <c r="C5" s="73" t="s">
        <v>938</v>
      </c>
      <c r="D5" s="387">
        <v>9</v>
      </c>
      <c r="E5" s="387">
        <v>9</v>
      </c>
      <c r="F5" s="387">
        <v>0</v>
      </c>
      <c r="G5" s="767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5"/>
      <c r="N5" s="150">
        <f t="shared" si="1"/>
        <v>9</v>
      </c>
    </row>
    <row r="6" spans="1:14" ht="21">
      <c r="A6" s="986"/>
      <c r="B6" s="393">
        <v>3</v>
      </c>
      <c r="C6" s="73" t="s">
        <v>939</v>
      </c>
      <c r="D6" s="387">
        <v>1</v>
      </c>
      <c r="E6" s="387">
        <v>1</v>
      </c>
      <c r="F6" s="387">
        <v>0</v>
      </c>
      <c r="G6" s="767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5"/>
      <c r="N6" s="150">
        <f t="shared" si="1"/>
        <v>1</v>
      </c>
    </row>
    <row r="7" spans="1:14" ht="21">
      <c r="A7" s="986"/>
      <c r="B7" s="393" t="s">
        <v>940</v>
      </c>
      <c r="C7" s="73" t="s">
        <v>941</v>
      </c>
      <c r="D7" s="387">
        <v>1</v>
      </c>
      <c r="E7" s="387">
        <v>1</v>
      </c>
      <c r="F7" s="387">
        <v>0</v>
      </c>
      <c r="G7" s="767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5"/>
      <c r="N7" s="150">
        <f t="shared" si="1"/>
        <v>1</v>
      </c>
    </row>
    <row r="8" spans="1:14" ht="21">
      <c r="A8" s="752" t="s">
        <v>942</v>
      </c>
      <c r="B8" s="393" t="s">
        <v>943</v>
      </c>
      <c r="C8" s="73" t="s">
        <v>944</v>
      </c>
      <c r="D8" s="387">
        <v>1</v>
      </c>
      <c r="E8" s="387">
        <v>1</v>
      </c>
      <c r="F8" s="387">
        <v>0</v>
      </c>
      <c r="G8" s="767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5"/>
      <c r="N8" s="150">
        <f t="shared" si="1"/>
        <v>1</v>
      </c>
    </row>
    <row r="9" spans="1:14" ht="21">
      <c r="A9" s="752" t="s">
        <v>945</v>
      </c>
      <c r="B9" s="393">
        <v>1</v>
      </c>
      <c r="C9" s="73" t="s">
        <v>946</v>
      </c>
      <c r="D9" s="387">
        <v>1</v>
      </c>
      <c r="E9" s="387">
        <v>1</v>
      </c>
      <c r="F9" s="387">
        <v>0</v>
      </c>
      <c r="G9" s="767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5"/>
      <c r="N9" s="150">
        <f t="shared" si="1"/>
        <v>1</v>
      </c>
    </row>
    <row r="10" spans="1:14" ht="21">
      <c r="A10" s="752" t="s">
        <v>947</v>
      </c>
      <c r="B10" s="393">
        <v>1</v>
      </c>
      <c r="C10" s="73" t="s">
        <v>948</v>
      </c>
      <c r="D10" s="387">
        <v>2</v>
      </c>
      <c r="E10" s="387">
        <v>2</v>
      </c>
      <c r="F10" s="387">
        <v>0</v>
      </c>
      <c r="G10" s="767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5"/>
      <c r="N10" s="150">
        <f t="shared" si="1"/>
        <v>2</v>
      </c>
    </row>
    <row r="11" spans="1:14" ht="21">
      <c r="A11" s="986" t="s">
        <v>949</v>
      </c>
      <c r="B11" s="393">
        <v>1</v>
      </c>
      <c r="C11" s="73" t="s">
        <v>950</v>
      </c>
      <c r="D11" s="387">
        <v>6</v>
      </c>
      <c r="E11" s="387">
        <v>6</v>
      </c>
      <c r="F11" s="387">
        <v>0</v>
      </c>
      <c r="G11" s="767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4"/>
      <c r="N11" s="150">
        <f t="shared" si="1"/>
        <v>6</v>
      </c>
    </row>
    <row r="12" spans="1:14" ht="21">
      <c r="A12" s="986"/>
      <c r="B12" s="393">
        <v>2</v>
      </c>
      <c r="C12" s="73" t="s">
        <v>951</v>
      </c>
      <c r="D12" s="387">
        <v>4</v>
      </c>
      <c r="E12" s="387">
        <v>4</v>
      </c>
      <c r="F12" s="387">
        <v>0</v>
      </c>
      <c r="G12" s="767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4"/>
      <c r="N12" s="150">
        <f t="shared" si="1"/>
        <v>4</v>
      </c>
    </row>
    <row r="13" spans="1:14" ht="21">
      <c r="A13" s="986"/>
      <c r="B13" s="393">
        <v>3</v>
      </c>
      <c r="C13" s="73" t="s">
        <v>952</v>
      </c>
      <c r="D13" s="387">
        <v>3</v>
      </c>
      <c r="E13" s="387">
        <v>3</v>
      </c>
      <c r="F13" s="387">
        <v>0</v>
      </c>
      <c r="G13" s="767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4"/>
      <c r="N13" s="150">
        <f t="shared" si="1"/>
        <v>3</v>
      </c>
    </row>
    <row r="14" spans="1:14" ht="21">
      <c r="A14" s="986" t="s">
        <v>953</v>
      </c>
      <c r="B14" s="393">
        <v>1</v>
      </c>
      <c r="C14" s="73" t="s">
        <v>954</v>
      </c>
      <c r="D14" s="387">
        <v>8</v>
      </c>
      <c r="E14" s="387">
        <v>4</v>
      </c>
      <c r="F14" s="387">
        <v>4</v>
      </c>
      <c r="G14" s="767" t="s">
        <v>154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4"/>
      <c r="N14" s="150">
        <f t="shared" si="1"/>
        <v>8</v>
      </c>
    </row>
    <row r="15" spans="1:14" ht="21">
      <c r="A15" s="986"/>
      <c r="B15" s="393">
        <v>2</v>
      </c>
      <c r="C15" s="73" t="s">
        <v>955</v>
      </c>
      <c r="D15" s="387">
        <v>2</v>
      </c>
      <c r="E15" s="387">
        <v>1</v>
      </c>
      <c r="F15" s="387">
        <v>1</v>
      </c>
      <c r="G15" s="767" t="s">
        <v>154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4"/>
      <c r="N15" s="150">
        <f t="shared" si="1"/>
        <v>2</v>
      </c>
    </row>
    <row r="16" spans="1:14" ht="21">
      <c r="A16" s="986"/>
      <c r="B16" s="393">
        <v>3</v>
      </c>
      <c r="C16" s="73" t="s">
        <v>956</v>
      </c>
      <c r="D16" s="387">
        <v>2</v>
      </c>
      <c r="E16" s="387">
        <v>0</v>
      </c>
      <c r="F16" s="387">
        <v>2</v>
      </c>
      <c r="G16" s="767" t="s">
        <v>154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4" t="s">
        <v>957</v>
      </c>
      <c r="N16" s="150">
        <f>E16+H16</f>
        <v>1</v>
      </c>
    </row>
    <row r="17" spans="1:14" ht="21">
      <c r="A17" s="986" t="s">
        <v>958</v>
      </c>
      <c r="B17" s="393">
        <v>1</v>
      </c>
      <c r="C17" s="73" t="s">
        <v>959</v>
      </c>
      <c r="D17" s="387">
        <v>3</v>
      </c>
      <c r="E17" s="387">
        <v>2</v>
      </c>
      <c r="F17" s="387">
        <v>1</v>
      </c>
      <c r="G17" s="767" t="s">
        <v>154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4" t="s">
        <v>960</v>
      </c>
      <c r="N17" s="150">
        <f t="shared" si="1"/>
        <v>2</v>
      </c>
    </row>
    <row r="18" spans="1:14" ht="21">
      <c r="A18" s="986"/>
      <c r="B18" s="393">
        <v>2</v>
      </c>
      <c r="C18" s="73" t="s">
        <v>961</v>
      </c>
      <c r="D18" s="387">
        <v>8</v>
      </c>
      <c r="E18" s="387">
        <v>3</v>
      </c>
      <c r="F18" s="387">
        <v>5</v>
      </c>
      <c r="G18" s="767" t="s">
        <v>154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4" t="s">
        <v>962</v>
      </c>
      <c r="N18" s="150">
        <f t="shared" si="1"/>
        <v>7</v>
      </c>
    </row>
    <row r="19" spans="1:14" ht="21">
      <c r="A19" s="986"/>
      <c r="B19" s="393">
        <v>3</v>
      </c>
      <c r="C19" s="73" t="s">
        <v>963</v>
      </c>
      <c r="D19" s="387">
        <v>9</v>
      </c>
      <c r="E19" s="387">
        <v>2</v>
      </c>
      <c r="F19" s="387">
        <v>7</v>
      </c>
      <c r="G19" s="767" t="s">
        <v>154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4" t="s">
        <v>964</v>
      </c>
      <c r="N19" s="150">
        <f t="shared" si="1"/>
        <v>5</v>
      </c>
    </row>
    <row r="20" spans="1:14" ht="21">
      <c r="A20" s="986"/>
      <c r="B20" s="393">
        <v>4</v>
      </c>
      <c r="C20" s="73" t="s">
        <v>965</v>
      </c>
      <c r="D20" s="387">
        <v>9</v>
      </c>
      <c r="E20" s="387">
        <v>4</v>
      </c>
      <c r="F20" s="387">
        <v>5</v>
      </c>
      <c r="G20" s="767" t="s">
        <v>154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4" t="s">
        <v>966</v>
      </c>
      <c r="N20" s="150">
        <f t="shared" si="1"/>
        <v>11</v>
      </c>
    </row>
    <row r="21" spans="1:14" ht="21">
      <c r="A21" s="986"/>
      <c r="B21" s="393">
        <v>5</v>
      </c>
      <c r="C21" s="73" t="s">
        <v>967</v>
      </c>
      <c r="D21" s="387">
        <v>5</v>
      </c>
      <c r="E21" s="387">
        <v>4</v>
      </c>
      <c r="F21" s="387">
        <v>1</v>
      </c>
      <c r="G21" s="767" t="s">
        <v>154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4"/>
      <c r="N21" s="150">
        <f t="shared" si="1"/>
        <v>5</v>
      </c>
    </row>
    <row r="22" spans="1:14" ht="21">
      <c r="A22" s="986" t="s">
        <v>968</v>
      </c>
      <c r="B22" s="393">
        <v>1</v>
      </c>
      <c r="C22" s="73" t="s">
        <v>969</v>
      </c>
      <c r="D22" s="387">
        <v>22</v>
      </c>
      <c r="E22" s="387">
        <v>18</v>
      </c>
      <c r="F22" s="387">
        <v>4</v>
      </c>
      <c r="G22" s="767" t="s">
        <v>154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4"/>
      <c r="N22" s="150">
        <f t="shared" si="1"/>
        <v>22</v>
      </c>
    </row>
    <row r="23" spans="1:14" ht="21">
      <c r="A23" s="986"/>
      <c r="B23" s="393">
        <v>2</v>
      </c>
      <c r="C23" s="73" t="s">
        <v>970</v>
      </c>
      <c r="D23" s="387">
        <v>34</v>
      </c>
      <c r="E23" s="387">
        <v>24</v>
      </c>
      <c r="F23" s="387">
        <v>10</v>
      </c>
      <c r="G23" s="767" t="s">
        <v>154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4"/>
      <c r="N23" s="150">
        <f t="shared" si="1"/>
        <v>34</v>
      </c>
    </row>
    <row r="24" spans="1:14" ht="21">
      <c r="A24" s="986"/>
      <c r="B24" s="393">
        <v>3</v>
      </c>
      <c r="C24" s="73" t="s">
        <v>971</v>
      </c>
      <c r="D24" s="387">
        <v>30</v>
      </c>
      <c r="E24" s="387">
        <v>19</v>
      </c>
      <c r="F24" s="387">
        <v>11</v>
      </c>
      <c r="G24" s="767" t="s">
        <v>154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4" t="s">
        <v>972</v>
      </c>
      <c r="N24" s="150">
        <f t="shared" si="1"/>
        <v>27</v>
      </c>
    </row>
    <row r="25" spans="1:14" ht="21">
      <c r="A25" s="986"/>
      <c r="B25" s="393">
        <v>4</v>
      </c>
      <c r="C25" s="73" t="s">
        <v>973</v>
      </c>
      <c r="D25" s="387">
        <v>37</v>
      </c>
      <c r="E25" s="387">
        <v>27</v>
      </c>
      <c r="F25" s="387">
        <v>10</v>
      </c>
      <c r="G25" s="767" t="s">
        <v>154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4" t="s">
        <v>974</v>
      </c>
      <c r="N25" s="150">
        <f t="shared" si="1"/>
        <v>40</v>
      </c>
    </row>
    <row r="26" spans="1:14" ht="21">
      <c r="A26" s="986"/>
      <c r="B26" s="393">
        <v>5</v>
      </c>
      <c r="C26" s="73" t="s">
        <v>975</v>
      </c>
      <c r="D26" s="387">
        <v>34</v>
      </c>
      <c r="E26" s="387">
        <v>27</v>
      </c>
      <c r="F26" s="387">
        <v>7</v>
      </c>
      <c r="G26" s="767" t="s">
        <v>154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4" t="s">
        <v>976</v>
      </c>
      <c r="N26" s="150">
        <f t="shared" si="1"/>
        <v>33</v>
      </c>
    </row>
    <row r="27" spans="1:14" ht="21">
      <c r="A27" s="986"/>
      <c r="B27" s="393">
        <v>6</v>
      </c>
      <c r="C27" s="73" t="s">
        <v>977</v>
      </c>
      <c r="D27" s="387">
        <v>14</v>
      </c>
      <c r="E27" s="387">
        <v>7</v>
      </c>
      <c r="F27" s="387">
        <v>7</v>
      </c>
      <c r="G27" s="767" t="s">
        <v>154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4" t="s">
        <v>978</v>
      </c>
      <c r="N27" s="150">
        <f t="shared" si="1"/>
        <v>7</v>
      </c>
    </row>
    <row r="28" spans="1:14" ht="21">
      <c r="A28" s="752" t="s">
        <v>979</v>
      </c>
      <c r="B28" s="393">
        <v>1</v>
      </c>
      <c r="C28" s="73" t="s">
        <v>980</v>
      </c>
      <c r="D28" s="387">
        <v>7</v>
      </c>
      <c r="E28" s="387">
        <v>4</v>
      </c>
      <c r="F28" s="387">
        <v>3</v>
      </c>
      <c r="G28" s="767" t="s">
        <v>154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4" t="s">
        <v>981</v>
      </c>
      <c r="N28" s="150">
        <f t="shared" si="1"/>
        <v>4</v>
      </c>
    </row>
    <row r="29" spans="1:14" ht="21">
      <c r="A29" s="986" t="s">
        <v>982</v>
      </c>
      <c r="B29" s="393">
        <v>1</v>
      </c>
      <c r="C29" s="73" t="s">
        <v>983</v>
      </c>
      <c r="D29" s="387">
        <v>2</v>
      </c>
      <c r="E29" s="387">
        <v>2</v>
      </c>
      <c r="F29" s="387">
        <v>0</v>
      </c>
      <c r="G29" s="767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4"/>
      <c r="N29" s="150">
        <f t="shared" si="1"/>
        <v>2</v>
      </c>
    </row>
    <row r="30" spans="1:14" ht="21">
      <c r="A30" s="986"/>
      <c r="B30" s="393">
        <v>2</v>
      </c>
      <c r="C30" s="73" t="s">
        <v>984</v>
      </c>
      <c r="D30" s="387">
        <v>4</v>
      </c>
      <c r="E30" s="387">
        <v>4</v>
      </c>
      <c r="F30" s="387">
        <v>0</v>
      </c>
      <c r="G30" s="767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4"/>
      <c r="N30" s="150">
        <f t="shared" si="1"/>
        <v>4</v>
      </c>
    </row>
    <row r="31" spans="1:14" ht="21">
      <c r="A31" s="986"/>
      <c r="B31" s="393">
        <v>3</v>
      </c>
      <c r="C31" s="73" t="s">
        <v>985</v>
      </c>
      <c r="D31" s="387">
        <v>4</v>
      </c>
      <c r="E31" s="387">
        <v>4</v>
      </c>
      <c r="F31" s="387">
        <v>0</v>
      </c>
      <c r="G31" s="767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4"/>
      <c r="N31" s="150">
        <f t="shared" si="1"/>
        <v>4</v>
      </c>
    </row>
    <row r="32" spans="1:14" ht="21">
      <c r="A32" s="986"/>
      <c r="B32" s="393">
        <v>4</v>
      </c>
      <c r="C32" s="73" t="s">
        <v>986</v>
      </c>
      <c r="D32" s="387">
        <v>3</v>
      </c>
      <c r="E32" s="387">
        <v>3</v>
      </c>
      <c r="F32" s="387">
        <v>0</v>
      </c>
      <c r="G32" s="767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4"/>
      <c r="N32" s="150">
        <f t="shared" si="1"/>
        <v>3</v>
      </c>
    </row>
    <row r="33" spans="1:14" ht="21">
      <c r="A33" s="752" t="s">
        <v>987</v>
      </c>
      <c r="B33" s="393">
        <v>1</v>
      </c>
      <c r="C33" s="73" t="s">
        <v>988</v>
      </c>
      <c r="D33" s="387">
        <v>2</v>
      </c>
      <c r="E33" s="387">
        <v>2</v>
      </c>
      <c r="F33" s="387">
        <v>0</v>
      </c>
      <c r="G33" s="767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4"/>
      <c r="N33" s="150">
        <f t="shared" si="1"/>
        <v>2</v>
      </c>
    </row>
    <row r="34" spans="1:14" ht="21">
      <c r="A34" s="986" t="s">
        <v>989</v>
      </c>
      <c r="B34" s="393">
        <v>1</v>
      </c>
      <c r="C34" s="73" t="s">
        <v>990</v>
      </c>
      <c r="D34" s="387">
        <v>8</v>
      </c>
      <c r="E34" s="387">
        <v>4</v>
      </c>
      <c r="F34" s="387">
        <v>4</v>
      </c>
      <c r="G34" s="767" t="s">
        <v>154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4"/>
      <c r="N34" s="150">
        <f t="shared" si="1"/>
        <v>8</v>
      </c>
    </row>
    <row r="35" spans="1:14" ht="21">
      <c r="A35" s="986"/>
      <c r="B35" s="393">
        <v>2</v>
      </c>
      <c r="C35" s="73" t="s">
        <v>991</v>
      </c>
      <c r="D35" s="387">
        <v>2</v>
      </c>
      <c r="E35" s="387">
        <v>1</v>
      </c>
      <c r="F35" s="387">
        <v>1</v>
      </c>
      <c r="G35" s="767" t="s">
        <v>154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4"/>
      <c r="N35" s="150">
        <f t="shared" si="1"/>
        <v>2</v>
      </c>
    </row>
    <row r="36" spans="1:14" ht="21">
      <c r="A36" s="986"/>
      <c r="B36" s="393">
        <v>3</v>
      </c>
      <c r="C36" s="73" t="s">
        <v>992</v>
      </c>
      <c r="D36" s="387">
        <v>2</v>
      </c>
      <c r="E36" s="387">
        <v>0</v>
      </c>
      <c r="F36" s="387">
        <v>2</v>
      </c>
      <c r="G36" s="767" t="s">
        <v>154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4" t="s">
        <v>957</v>
      </c>
      <c r="N36" s="150">
        <f t="shared" si="1"/>
        <v>1</v>
      </c>
    </row>
    <row r="37" spans="1:14" ht="21">
      <c r="A37" s="752" t="s">
        <v>993</v>
      </c>
      <c r="B37" s="393">
        <v>1</v>
      </c>
      <c r="C37" s="73" t="s">
        <v>994</v>
      </c>
      <c r="D37" s="387">
        <v>6</v>
      </c>
      <c r="E37" s="387">
        <v>4</v>
      </c>
      <c r="F37" s="387">
        <v>2</v>
      </c>
      <c r="G37" s="767" t="s">
        <v>154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4"/>
      <c r="N37" s="150">
        <f t="shared" si="1"/>
        <v>6</v>
      </c>
    </row>
    <row r="38" spans="1:14" ht="21">
      <c r="A38" s="752" t="s">
        <v>995</v>
      </c>
      <c r="B38" s="393">
        <v>1</v>
      </c>
      <c r="C38" s="73" t="s">
        <v>996</v>
      </c>
      <c r="D38" s="387">
        <v>10</v>
      </c>
      <c r="E38" s="387">
        <v>5</v>
      </c>
      <c r="F38" s="387">
        <v>5</v>
      </c>
      <c r="G38" s="767" t="s">
        <v>154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4" t="s">
        <v>997</v>
      </c>
      <c r="N38" s="150">
        <f t="shared" si="1"/>
        <v>9</v>
      </c>
    </row>
    <row r="39" spans="1:14" ht="21">
      <c r="A39" s="752" t="s">
        <v>998</v>
      </c>
      <c r="B39" s="393">
        <v>1</v>
      </c>
      <c r="C39" s="73" t="s">
        <v>999</v>
      </c>
      <c r="D39" s="387">
        <v>10</v>
      </c>
      <c r="E39" s="387">
        <v>4</v>
      </c>
      <c r="F39" s="387">
        <v>6</v>
      </c>
      <c r="G39" s="767" t="s">
        <v>154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4" t="s">
        <v>1000</v>
      </c>
      <c r="N39" s="150">
        <f t="shared" si="1"/>
        <v>9</v>
      </c>
    </row>
    <row r="40" spans="1:14" ht="21">
      <c r="A40" s="752" t="s">
        <v>1001</v>
      </c>
      <c r="B40" s="393">
        <v>1</v>
      </c>
      <c r="C40" s="73" t="s">
        <v>1002</v>
      </c>
      <c r="D40" s="387">
        <v>3</v>
      </c>
      <c r="E40" s="387">
        <v>2</v>
      </c>
      <c r="F40" s="387">
        <v>1</v>
      </c>
      <c r="G40" s="767" t="s">
        <v>154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4"/>
      <c r="N40" s="150">
        <f t="shared" si="1"/>
        <v>3</v>
      </c>
    </row>
    <row r="41" spans="1:14" ht="21">
      <c r="A41" s="752" t="s">
        <v>1003</v>
      </c>
      <c r="B41" s="393">
        <v>1</v>
      </c>
      <c r="C41" s="73" t="s">
        <v>1004</v>
      </c>
      <c r="D41" s="387">
        <v>6</v>
      </c>
      <c r="E41" s="387">
        <v>2</v>
      </c>
      <c r="F41" s="387">
        <v>4</v>
      </c>
      <c r="G41" s="767" t="s">
        <v>154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4" t="s">
        <v>1005</v>
      </c>
      <c r="N41" s="150">
        <f t="shared" si="1"/>
        <v>4</v>
      </c>
    </row>
    <row r="42" spans="1:14" ht="21">
      <c r="A42" s="752" t="s">
        <v>1006</v>
      </c>
      <c r="B42" s="393">
        <v>1</v>
      </c>
      <c r="C42" s="73" t="s">
        <v>1007</v>
      </c>
      <c r="D42" s="387">
        <v>3</v>
      </c>
      <c r="E42" s="387">
        <v>3</v>
      </c>
      <c r="F42" s="387">
        <v>0</v>
      </c>
      <c r="G42" s="767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4"/>
      <c r="N42" s="150">
        <f t="shared" si="1"/>
        <v>3</v>
      </c>
    </row>
    <row r="43" spans="1:14" ht="21">
      <c r="A43" s="752" t="s">
        <v>1008</v>
      </c>
      <c r="B43" s="393">
        <v>1</v>
      </c>
      <c r="C43" s="73" t="s">
        <v>1009</v>
      </c>
      <c r="D43" s="387">
        <v>2</v>
      </c>
      <c r="E43" s="387">
        <v>2</v>
      </c>
      <c r="F43" s="387">
        <v>0</v>
      </c>
      <c r="G43" s="767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4"/>
      <c r="N43" s="150">
        <f t="shared" si="1"/>
        <v>2</v>
      </c>
    </row>
    <row r="44" spans="1:14" ht="21">
      <c r="A44" s="752" t="s">
        <v>1010</v>
      </c>
      <c r="B44" s="393">
        <v>1</v>
      </c>
      <c r="C44" s="73" t="s">
        <v>1011</v>
      </c>
      <c r="D44" s="387">
        <v>1</v>
      </c>
      <c r="E44" s="387">
        <v>1</v>
      </c>
      <c r="F44" s="387">
        <v>0</v>
      </c>
      <c r="G44" s="767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4"/>
      <c r="N44" s="150">
        <f t="shared" si="1"/>
        <v>1</v>
      </c>
    </row>
    <row r="45" spans="1:14" ht="21">
      <c r="A45" s="986" t="s">
        <v>1012</v>
      </c>
      <c r="B45" s="393">
        <v>1</v>
      </c>
      <c r="C45" s="73" t="s">
        <v>1013</v>
      </c>
      <c r="D45" s="387">
        <v>11</v>
      </c>
      <c r="E45" s="387">
        <v>9</v>
      </c>
      <c r="F45" s="387">
        <v>2</v>
      </c>
      <c r="G45" s="767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4"/>
      <c r="N45" s="150">
        <f t="shared" si="1"/>
        <v>9</v>
      </c>
    </row>
    <row r="46" spans="1:14" ht="21">
      <c r="A46" s="986"/>
      <c r="B46" s="393">
        <v>2</v>
      </c>
      <c r="C46" s="73" t="s">
        <v>1014</v>
      </c>
      <c r="D46" s="387">
        <v>17</v>
      </c>
      <c r="E46" s="387">
        <v>15</v>
      </c>
      <c r="F46" s="387">
        <v>2</v>
      </c>
      <c r="G46" s="767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4"/>
      <c r="N46" s="150">
        <f t="shared" si="1"/>
        <v>15</v>
      </c>
    </row>
    <row r="47" spans="1:14" ht="21">
      <c r="A47" s="986"/>
      <c r="B47" s="393">
        <v>3</v>
      </c>
      <c r="C47" s="73" t="s">
        <v>1015</v>
      </c>
      <c r="D47" s="387">
        <v>1</v>
      </c>
      <c r="E47" s="387">
        <v>1</v>
      </c>
      <c r="F47" s="387">
        <v>0</v>
      </c>
      <c r="G47" s="767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4"/>
      <c r="N47" s="150">
        <f t="shared" si="1"/>
        <v>1</v>
      </c>
    </row>
    <row r="48" spans="1:14" ht="21">
      <c r="A48" s="752" t="s">
        <v>1016</v>
      </c>
      <c r="B48" s="393">
        <v>1</v>
      </c>
      <c r="C48" s="73" t="s">
        <v>1017</v>
      </c>
      <c r="D48" s="387">
        <v>1</v>
      </c>
      <c r="E48" s="387">
        <v>1</v>
      </c>
      <c r="F48" s="387">
        <v>0</v>
      </c>
      <c r="G48" s="767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4"/>
      <c r="N48" s="150">
        <f t="shared" si="1"/>
        <v>1</v>
      </c>
    </row>
    <row r="49" spans="1:14" ht="21">
      <c r="A49" s="986" t="s">
        <v>1018</v>
      </c>
      <c r="B49" s="393">
        <v>1</v>
      </c>
      <c r="C49" s="73" t="s">
        <v>1019</v>
      </c>
      <c r="D49" s="387">
        <v>10</v>
      </c>
      <c r="E49" s="387">
        <v>6</v>
      </c>
      <c r="F49" s="387">
        <v>4</v>
      </c>
      <c r="G49" s="767" t="s">
        <v>154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4"/>
      <c r="N49" s="150">
        <f t="shared" si="1"/>
        <v>10</v>
      </c>
    </row>
    <row r="50" spans="1:14" ht="21">
      <c r="A50" s="986"/>
      <c r="B50" s="393">
        <v>2</v>
      </c>
      <c r="C50" s="73" t="s">
        <v>1020</v>
      </c>
      <c r="D50" s="387">
        <v>9</v>
      </c>
      <c r="E50" s="387">
        <v>6</v>
      </c>
      <c r="F50" s="387">
        <v>3</v>
      </c>
      <c r="G50" s="767" t="s">
        <v>154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4" t="s">
        <v>1021</v>
      </c>
      <c r="N50" s="150">
        <f t="shared" si="1"/>
        <v>10</v>
      </c>
    </row>
    <row r="51" spans="1:14" ht="21">
      <c r="A51" s="986"/>
      <c r="B51" s="393">
        <v>3</v>
      </c>
      <c r="C51" s="73" t="s">
        <v>1022</v>
      </c>
      <c r="D51" s="387">
        <v>10</v>
      </c>
      <c r="E51" s="387">
        <v>6</v>
      </c>
      <c r="F51" s="387">
        <v>4</v>
      </c>
      <c r="G51" s="767" t="s">
        <v>154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4"/>
      <c r="N51" s="150">
        <f t="shared" si="1"/>
        <v>10</v>
      </c>
    </row>
    <row r="52" spans="1:14" ht="21">
      <c r="A52" s="986" t="s">
        <v>1023</v>
      </c>
      <c r="B52" s="393">
        <v>1</v>
      </c>
      <c r="C52" s="73" t="s">
        <v>1024</v>
      </c>
      <c r="D52" s="387">
        <v>5</v>
      </c>
      <c r="E52" s="387">
        <v>3</v>
      </c>
      <c r="F52" s="387">
        <v>2</v>
      </c>
      <c r="G52" s="767" t="s">
        <v>154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4" t="s">
        <v>1025</v>
      </c>
      <c r="N52" s="150">
        <f t="shared" si="1"/>
        <v>3</v>
      </c>
    </row>
    <row r="53" spans="1:14" ht="21">
      <c r="A53" s="986"/>
      <c r="B53" s="393">
        <v>2</v>
      </c>
      <c r="C53" s="73" t="s">
        <v>1026</v>
      </c>
      <c r="D53" s="387">
        <v>5</v>
      </c>
      <c r="E53" s="387">
        <v>3</v>
      </c>
      <c r="F53" s="387">
        <v>2</v>
      </c>
      <c r="G53" s="767" t="s">
        <v>154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4"/>
      <c r="N53" s="150">
        <f t="shared" si="1"/>
        <v>5</v>
      </c>
    </row>
    <row r="54" spans="1:14" ht="21">
      <c r="A54" s="752" t="s">
        <v>1027</v>
      </c>
      <c r="B54" s="393">
        <v>1</v>
      </c>
      <c r="C54" s="73" t="s">
        <v>1028</v>
      </c>
      <c r="D54" s="387">
        <v>2</v>
      </c>
      <c r="E54" s="387">
        <v>2</v>
      </c>
      <c r="F54" s="387">
        <v>0</v>
      </c>
      <c r="G54" s="767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4"/>
      <c r="N54" s="150">
        <f t="shared" si="1"/>
        <v>2</v>
      </c>
    </row>
    <row r="55" spans="1:14" ht="21">
      <c r="A55" s="986" t="s">
        <v>1029</v>
      </c>
      <c r="B55" s="393">
        <v>1</v>
      </c>
      <c r="C55" s="73" t="s">
        <v>1030</v>
      </c>
      <c r="D55" s="387">
        <v>6</v>
      </c>
      <c r="E55" s="387">
        <v>5</v>
      </c>
      <c r="F55" s="387">
        <v>1</v>
      </c>
      <c r="G55" s="767" t="s">
        <v>154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4"/>
      <c r="N55" s="150">
        <f t="shared" si="1"/>
        <v>6</v>
      </c>
    </row>
    <row r="56" spans="1:14" ht="21">
      <c r="A56" s="986"/>
      <c r="B56" s="393">
        <v>2</v>
      </c>
      <c r="C56" s="73" t="s">
        <v>1031</v>
      </c>
      <c r="D56" s="387">
        <v>4</v>
      </c>
      <c r="E56" s="387">
        <v>3</v>
      </c>
      <c r="F56" s="387">
        <v>1</v>
      </c>
      <c r="G56" s="767" t="s">
        <v>154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4" t="s">
        <v>960</v>
      </c>
      <c r="N56" s="150">
        <f t="shared" si="1"/>
        <v>3</v>
      </c>
    </row>
    <row r="57" spans="1:14" ht="21">
      <c r="A57" s="752" t="s">
        <v>1032</v>
      </c>
      <c r="B57" s="393">
        <v>1</v>
      </c>
      <c r="C57" s="73" t="s">
        <v>1033</v>
      </c>
      <c r="D57" s="387">
        <v>2</v>
      </c>
      <c r="E57" s="387">
        <v>1</v>
      </c>
      <c r="F57" s="387">
        <v>1</v>
      </c>
      <c r="G57" s="767" t="s">
        <v>154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4" t="s">
        <v>960</v>
      </c>
      <c r="N57" s="150">
        <f t="shared" si="1"/>
        <v>1</v>
      </c>
    </row>
    <row r="58" spans="1:14" ht="21">
      <c r="A58" s="991" t="s">
        <v>1034</v>
      </c>
      <c r="B58" s="393">
        <v>1</v>
      </c>
      <c r="C58" s="73" t="s">
        <v>1035</v>
      </c>
      <c r="D58" s="387">
        <v>0</v>
      </c>
      <c r="E58" s="387">
        <v>0</v>
      </c>
      <c r="F58" s="387">
        <v>0</v>
      </c>
      <c r="G58" s="767" t="s">
        <v>154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4" t="s">
        <v>1036</v>
      </c>
      <c r="N58" s="150">
        <f t="shared" si="1"/>
        <v>1</v>
      </c>
    </row>
    <row r="59" spans="1:14" ht="21">
      <c r="A59" s="992"/>
      <c r="B59" s="393">
        <v>2</v>
      </c>
      <c r="C59" s="73" t="s">
        <v>1037</v>
      </c>
      <c r="D59" s="387">
        <v>1</v>
      </c>
      <c r="E59" s="387">
        <v>1</v>
      </c>
      <c r="F59" s="387">
        <v>0</v>
      </c>
      <c r="G59" s="767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4"/>
      <c r="N59" s="150">
        <f t="shared" si="1"/>
        <v>1</v>
      </c>
    </row>
    <row r="60" spans="1:14" ht="21">
      <c r="A60" s="752" t="s">
        <v>1038</v>
      </c>
      <c r="B60" s="393">
        <v>1</v>
      </c>
      <c r="C60" s="73" t="s">
        <v>1039</v>
      </c>
      <c r="D60" s="387">
        <v>1</v>
      </c>
      <c r="E60" s="387">
        <v>1</v>
      </c>
      <c r="F60" s="387">
        <v>0</v>
      </c>
      <c r="G60" s="767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4"/>
      <c r="N60" s="150">
        <f t="shared" si="1"/>
        <v>1</v>
      </c>
    </row>
    <row r="61" spans="1:14" ht="21">
      <c r="A61" s="752" t="s">
        <v>1040</v>
      </c>
      <c r="B61" s="393">
        <v>1</v>
      </c>
      <c r="C61" s="73" t="s">
        <v>1041</v>
      </c>
      <c r="D61" s="387">
        <v>1</v>
      </c>
      <c r="E61" s="387">
        <v>1</v>
      </c>
      <c r="F61" s="387">
        <v>0</v>
      </c>
      <c r="G61" s="767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4"/>
      <c r="N61" s="150">
        <f t="shared" si="1"/>
        <v>1</v>
      </c>
    </row>
    <row r="62" spans="1:14" ht="21">
      <c r="A62" s="986" t="s">
        <v>1042</v>
      </c>
      <c r="B62" s="393">
        <v>1</v>
      </c>
      <c r="C62" s="73" t="s">
        <v>1043</v>
      </c>
      <c r="D62" s="387">
        <v>1</v>
      </c>
      <c r="E62" s="387">
        <v>1</v>
      </c>
      <c r="F62" s="387">
        <v>0</v>
      </c>
      <c r="G62" s="767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4"/>
      <c r="N62" s="150">
        <f t="shared" si="1"/>
        <v>1</v>
      </c>
    </row>
    <row r="63" spans="1:14" ht="21">
      <c r="A63" s="986"/>
      <c r="B63" s="393">
        <v>2</v>
      </c>
      <c r="C63" s="73" t="s">
        <v>1044</v>
      </c>
      <c r="D63" s="387">
        <v>1</v>
      </c>
      <c r="E63" s="387">
        <v>1</v>
      </c>
      <c r="F63" s="387">
        <v>0</v>
      </c>
      <c r="G63" s="767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4"/>
      <c r="N63" s="150">
        <f t="shared" si="1"/>
        <v>1</v>
      </c>
    </row>
    <row r="64" spans="1:14" ht="21">
      <c r="A64" s="986" t="s">
        <v>1045</v>
      </c>
      <c r="B64" s="393">
        <v>1</v>
      </c>
      <c r="C64" s="73" t="s">
        <v>1046</v>
      </c>
      <c r="D64" s="387">
        <v>1</v>
      </c>
      <c r="E64" s="387">
        <v>1</v>
      </c>
      <c r="F64" s="387">
        <v>0</v>
      </c>
      <c r="G64" s="767" t="s">
        <v>154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4" t="s">
        <v>1047</v>
      </c>
      <c r="N64" s="150">
        <f t="shared" si="1"/>
        <v>2</v>
      </c>
    </row>
    <row r="65" spans="1:14" ht="21">
      <c r="A65" s="986"/>
      <c r="B65" s="393">
        <v>2</v>
      </c>
      <c r="C65" s="73" t="s">
        <v>1048</v>
      </c>
      <c r="D65" s="387">
        <v>2</v>
      </c>
      <c r="E65" s="387">
        <v>2</v>
      </c>
      <c r="F65" s="387">
        <v>0</v>
      </c>
      <c r="G65" s="767" t="s">
        <v>154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4" t="s">
        <v>1047</v>
      </c>
      <c r="N65" s="150">
        <f t="shared" si="1"/>
        <v>3</v>
      </c>
    </row>
    <row r="66" spans="1:14" ht="21">
      <c r="A66" s="752" t="s">
        <v>1049</v>
      </c>
      <c r="B66" s="393">
        <v>1</v>
      </c>
      <c r="C66" s="73" t="s">
        <v>1050</v>
      </c>
      <c r="D66" s="387">
        <v>1</v>
      </c>
      <c r="E66" s="387">
        <v>1</v>
      </c>
      <c r="F66" s="387">
        <v>0</v>
      </c>
      <c r="G66" s="767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4"/>
      <c r="N66" s="150">
        <f t="shared" si="1"/>
        <v>1</v>
      </c>
    </row>
    <row r="67" spans="1:14" ht="21">
      <c r="A67" s="752" t="s">
        <v>1051</v>
      </c>
      <c r="B67" s="393">
        <v>1</v>
      </c>
      <c r="C67" s="73" t="s">
        <v>1052</v>
      </c>
      <c r="D67" s="387">
        <v>1</v>
      </c>
      <c r="E67" s="387">
        <v>0</v>
      </c>
      <c r="F67" s="387">
        <v>1</v>
      </c>
      <c r="G67" s="767" t="s">
        <v>154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4"/>
      <c r="N67" s="150">
        <f t="shared" si="1"/>
        <v>1</v>
      </c>
    </row>
    <row r="68" spans="1:14" ht="21">
      <c r="A68" s="986" t="s">
        <v>1053</v>
      </c>
      <c r="B68" s="393">
        <v>1</v>
      </c>
      <c r="C68" s="73" t="s">
        <v>1054</v>
      </c>
      <c r="D68" s="387">
        <v>3</v>
      </c>
      <c r="E68" s="387">
        <v>0</v>
      </c>
      <c r="F68" s="387">
        <v>3</v>
      </c>
      <c r="G68" s="767" t="s">
        <v>154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4"/>
      <c r="N68" s="150">
        <f t="shared" ref="N68:N78" si="3">E68+H68</f>
        <v>3</v>
      </c>
    </row>
    <row r="69" spans="1:14" ht="21">
      <c r="A69" s="986"/>
      <c r="B69" s="393">
        <v>6</v>
      </c>
      <c r="C69" s="73" t="s">
        <v>1055</v>
      </c>
      <c r="D69" s="387">
        <v>7</v>
      </c>
      <c r="E69" s="387">
        <v>0</v>
      </c>
      <c r="F69" s="387">
        <v>7</v>
      </c>
      <c r="G69" s="767" t="s">
        <v>154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4"/>
      <c r="N69" s="150">
        <f t="shared" si="3"/>
        <v>7</v>
      </c>
    </row>
    <row r="70" spans="1:14" ht="21">
      <c r="A70" s="986"/>
      <c r="B70" s="393">
        <v>7</v>
      </c>
      <c r="C70" s="73" t="s">
        <v>1056</v>
      </c>
      <c r="D70" s="387">
        <v>6</v>
      </c>
      <c r="E70" s="387">
        <v>0</v>
      </c>
      <c r="F70" s="387">
        <v>6</v>
      </c>
      <c r="G70" s="767" t="s">
        <v>154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4"/>
      <c r="N70" s="150">
        <f t="shared" si="3"/>
        <v>6</v>
      </c>
    </row>
    <row r="71" spans="1:14" ht="21">
      <c r="A71" s="986"/>
      <c r="B71" s="393">
        <v>8</v>
      </c>
      <c r="C71" s="73" t="s">
        <v>1057</v>
      </c>
      <c r="D71" s="387">
        <v>9</v>
      </c>
      <c r="E71" s="387">
        <v>0</v>
      </c>
      <c r="F71" s="387">
        <v>9</v>
      </c>
      <c r="G71" s="767" t="s">
        <v>154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4"/>
      <c r="N71" s="150">
        <f t="shared" si="3"/>
        <v>9</v>
      </c>
    </row>
    <row r="72" spans="1:14" ht="21">
      <c r="A72" s="752" t="s">
        <v>1058</v>
      </c>
      <c r="B72" s="393">
        <v>1</v>
      </c>
      <c r="C72" s="73" t="s">
        <v>1059</v>
      </c>
      <c r="D72" s="387">
        <v>1</v>
      </c>
      <c r="E72" s="387">
        <v>0</v>
      </c>
      <c r="F72" s="387">
        <v>1</v>
      </c>
      <c r="G72" s="767" t="s">
        <v>154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4"/>
      <c r="N72" s="150">
        <f t="shared" si="3"/>
        <v>1</v>
      </c>
    </row>
    <row r="73" spans="1:14" ht="21">
      <c r="A73" s="752" t="s">
        <v>1060</v>
      </c>
      <c r="B73" s="393">
        <v>1</v>
      </c>
      <c r="C73" s="73" t="s">
        <v>1061</v>
      </c>
      <c r="D73" s="387">
        <v>2</v>
      </c>
      <c r="E73" s="387">
        <v>0</v>
      </c>
      <c r="F73" s="387">
        <v>2</v>
      </c>
      <c r="G73" s="767" t="s">
        <v>154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4"/>
      <c r="N73" s="150">
        <f t="shared" si="3"/>
        <v>2</v>
      </c>
    </row>
    <row r="74" spans="1:14" ht="21">
      <c r="A74" s="752" t="s">
        <v>1062</v>
      </c>
      <c r="B74" s="393">
        <v>1</v>
      </c>
      <c r="C74" s="73" t="s">
        <v>1063</v>
      </c>
      <c r="D74" s="387">
        <v>1</v>
      </c>
      <c r="E74" s="387">
        <v>0</v>
      </c>
      <c r="F74" s="387">
        <v>1</v>
      </c>
      <c r="G74" s="767" t="s">
        <v>154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4"/>
      <c r="N74" s="150">
        <f t="shared" si="3"/>
        <v>1</v>
      </c>
    </row>
    <row r="75" spans="1:14" ht="21">
      <c r="A75" s="755" t="s">
        <v>1064</v>
      </c>
      <c r="B75" s="393">
        <v>1</v>
      </c>
      <c r="C75" s="73" t="s">
        <v>1065</v>
      </c>
      <c r="D75" s="387">
        <v>1</v>
      </c>
      <c r="E75" s="387">
        <v>0</v>
      </c>
      <c r="F75" s="387">
        <v>1</v>
      </c>
      <c r="G75" s="767" t="s">
        <v>154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4"/>
      <c r="N75" s="150">
        <f t="shared" si="3"/>
        <v>1</v>
      </c>
    </row>
    <row r="76" spans="1:14" ht="21">
      <c r="A76" s="978" t="s">
        <v>1066</v>
      </c>
      <c r="B76" s="394">
        <v>1</v>
      </c>
      <c r="C76" s="73"/>
      <c r="D76" s="387">
        <v>0</v>
      </c>
      <c r="E76" s="387">
        <v>0</v>
      </c>
      <c r="F76" s="387">
        <v>0</v>
      </c>
      <c r="G76" s="767" t="s">
        <v>154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4" t="s">
        <v>1067</v>
      </c>
      <c r="N76" s="150">
        <f t="shared" si="3"/>
        <v>4</v>
      </c>
    </row>
    <row r="77" spans="1:14" ht="21">
      <c r="A77" s="979"/>
      <c r="B77" s="394">
        <v>2</v>
      </c>
      <c r="C77" s="73"/>
      <c r="D77" s="387">
        <v>0</v>
      </c>
      <c r="E77" s="387">
        <v>0</v>
      </c>
      <c r="F77" s="387">
        <v>0</v>
      </c>
      <c r="G77" s="767" t="s">
        <v>154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4" t="s">
        <v>1068</v>
      </c>
      <c r="N77" s="150">
        <f t="shared" si="3"/>
        <v>3</v>
      </c>
    </row>
    <row r="78" spans="1:14" ht="21">
      <c r="A78" s="979"/>
      <c r="B78" s="395">
        <v>3</v>
      </c>
      <c r="C78" s="396"/>
      <c r="D78" s="397">
        <v>0</v>
      </c>
      <c r="E78" s="397">
        <v>0</v>
      </c>
      <c r="F78" s="397">
        <v>0</v>
      </c>
      <c r="G78" s="500" t="s">
        <v>154</v>
      </c>
      <c r="H78" s="499">
        <v>3</v>
      </c>
      <c r="I78" s="499">
        <v>0</v>
      </c>
      <c r="J78" s="499">
        <v>3</v>
      </c>
      <c r="K78" s="499">
        <v>0</v>
      </c>
      <c r="L78" s="247">
        <f t="shared" si="2"/>
        <v>0.34</v>
      </c>
      <c r="M78" s="727" t="s">
        <v>1068</v>
      </c>
      <c r="N78" s="312">
        <f t="shared" si="3"/>
        <v>3</v>
      </c>
    </row>
    <row r="79" spans="1:14" ht="54">
      <c r="A79" s="337" t="s">
        <v>1069</v>
      </c>
      <c r="B79" s="398" t="s">
        <v>40</v>
      </c>
      <c r="C79" s="399"/>
      <c r="D79" s="400">
        <v>0</v>
      </c>
      <c r="E79" s="400">
        <v>0</v>
      </c>
      <c r="F79" s="400">
        <v>0</v>
      </c>
      <c r="G79" s="335" t="s">
        <v>154</v>
      </c>
      <c r="H79" s="401">
        <v>3</v>
      </c>
      <c r="I79" s="401">
        <v>0</v>
      </c>
      <c r="J79" s="401">
        <v>3</v>
      </c>
      <c r="K79" s="401">
        <v>0</v>
      </c>
      <c r="L79" s="402">
        <f t="shared" ref="L79" si="4">IF(AND(E79=0,G79="In Progress"),0,ROUNDUP(((I79+J79+K79)/3)/N79*100%,2))</f>
        <v>0.34</v>
      </c>
      <c r="M79" s="336" t="s">
        <v>1068</v>
      </c>
      <c r="N79" s="150">
        <f t="shared" ref="N79" si="5">E79+H79</f>
        <v>3</v>
      </c>
    </row>
    <row r="80" spans="1:14" ht="21">
      <c r="A80" s="388"/>
      <c r="B80" s="389"/>
      <c r="C80" s="390" t="s">
        <v>254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8"/>
      <c r="B81" s="389"/>
      <c r="C81" s="75" t="s">
        <v>255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8" t="s">
        <v>1070</v>
      </c>
      <c r="B82" s="389"/>
      <c r="C82" s="403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4" t="s">
        <v>1071</v>
      </c>
      <c r="G1" s="84" t="s">
        <v>1072</v>
      </c>
      <c r="H1" s="84" t="s">
        <v>1073</v>
      </c>
      <c r="I1" s="84" t="s">
        <v>1074</v>
      </c>
      <c r="J1" s="84" t="s">
        <v>1075</v>
      </c>
      <c r="K1" s="84" t="s">
        <v>1076</v>
      </c>
      <c r="L1" s="100" t="s">
        <v>1077</v>
      </c>
      <c r="M1" s="100" t="s">
        <v>1078</v>
      </c>
      <c r="N1" s="100" t="s">
        <v>1079</v>
      </c>
      <c r="O1" s="85" t="s">
        <v>259</v>
      </c>
      <c r="P1" s="85" t="s">
        <v>260</v>
      </c>
      <c r="Q1" s="85" t="s">
        <v>261</v>
      </c>
      <c r="R1" s="85" t="s">
        <v>262</v>
      </c>
      <c r="S1" s="85" t="s">
        <v>263</v>
      </c>
      <c r="T1" s="85" t="s">
        <v>264</v>
      </c>
      <c r="U1" s="85" t="s">
        <v>265</v>
      </c>
      <c r="V1" s="85" t="s">
        <v>266</v>
      </c>
      <c r="W1" s="85" t="s">
        <v>267</v>
      </c>
      <c r="X1" s="101" t="s">
        <v>1080</v>
      </c>
      <c r="Y1" s="109" t="s">
        <v>268</v>
      </c>
    </row>
    <row r="2" spans="1:25">
      <c r="A2" s="404" t="s">
        <v>1081</v>
      </c>
      <c r="B2" s="405" t="s">
        <v>471</v>
      </c>
      <c r="C2" s="405">
        <v>1</v>
      </c>
      <c r="D2" s="405" t="s">
        <v>1082</v>
      </c>
      <c r="E2" s="405" t="s">
        <v>1083</v>
      </c>
      <c r="F2" s="405" t="s">
        <v>1084</v>
      </c>
      <c r="G2" s="405" t="s">
        <v>149</v>
      </c>
      <c r="H2" s="103">
        <v>2</v>
      </c>
      <c r="I2" s="104">
        <v>2</v>
      </c>
      <c r="J2" s="104">
        <v>4</v>
      </c>
      <c r="K2" s="103">
        <v>3</v>
      </c>
      <c r="L2" s="406">
        <f>J2-K2</f>
        <v>1</v>
      </c>
      <c r="M2" s="406" t="s">
        <v>1085</v>
      </c>
      <c r="N2" s="406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67" t="s">
        <v>154</v>
      </c>
    </row>
    <row r="3" spans="1:25">
      <c r="A3" s="404" t="s">
        <v>1081</v>
      </c>
      <c r="B3" s="405" t="s">
        <v>471</v>
      </c>
      <c r="C3" s="405">
        <v>2</v>
      </c>
      <c r="D3" s="405" t="s">
        <v>1086</v>
      </c>
      <c r="E3" s="405" t="s">
        <v>471</v>
      </c>
      <c r="F3" s="405" t="s">
        <v>1084</v>
      </c>
      <c r="G3" s="405" t="s">
        <v>149</v>
      </c>
      <c r="H3" s="103">
        <v>3</v>
      </c>
      <c r="I3" s="104">
        <v>2</v>
      </c>
      <c r="J3" s="104">
        <v>4</v>
      </c>
      <c r="K3" s="103">
        <v>3</v>
      </c>
      <c r="L3" s="406">
        <f t="shared" ref="L3:L66" si="0">J3-K3</f>
        <v>1</v>
      </c>
      <c r="M3" s="406" t="s">
        <v>1085</v>
      </c>
      <c r="N3" s="406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67" t="s">
        <v>154</v>
      </c>
    </row>
    <row r="4" spans="1:25">
      <c r="A4" s="404" t="s">
        <v>1081</v>
      </c>
      <c r="B4" s="405" t="s">
        <v>471</v>
      </c>
      <c r="C4" s="405">
        <v>4</v>
      </c>
      <c r="D4" s="405" t="s">
        <v>1087</v>
      </c>
      <c r="E4" s="405" t="s">
        <v>1088</v>
      </c>
      <c r="F4" s="405" t="s">
        <v>1084</v>
      </c>
      <c r="G4" s="405" t="s">
        <v>149</v>
      </c>
      <c r="H4" s="103">
        <v>11</v>
      </c>
      <c r="I4" s="104">
        <v>8</v>
      </c>
      <c r="J4" s="104">
        <v>16</v>
      </c>
      <c r="K4" s="103">
        <v>13</v>
      </c>
      <c r="L4" s="406">
        <f t="shared" si="0"/>
        <v>3</v>
      </c>
      <c r="M4" s="406" t="s">
        <v>1085</v>
      </c>
      <c r="N4" s="406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67" t="s">
        <v>154</v>
      </c>
    </row>
    <row r="5" spans="1:25">
      <c r="A5" s="404" t="s">
        <v>1081</v>
      </c>
      <c r="B5" s="405" t="s">
        <v>471</v>
      </c>
      <c r="C5" s="405">
        <v>5</v>
      </c>
      <c r="D5" s="405" t="s">
        <v>475</v>
      </c>
      <c r="E5" s="405" t="s">
        <v>1089</v>
      </c>
      <c r="F5" s="405" t="s">
        <v>1090</v>
      </c>
      <c r="G5" s="106" t="s">
        <v>1091</v>
      </c>
      <c r="H5" s="103">
        <v>1</v>
      </c>
      <c r="I5" s="104">
        <v>1</v>
      </c>
      <c r="J5" s="104">
        <v>2</v>
      </c>
      <c r="K5" s="103">
        <v>1</v>
      </c>
      <c r="L5" s="406">
        <f t="shared" si="0"/>
        <v>1</v>
      </c>
      <c r="M5" s="406" t="s">
        <v>1085</v>
      </c>
      <c r="N5" s="406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67" t="s">
        <v>154</v>
      </c>
    </row>
    <row r="6" spans="1:25">
      <c r="A6" s="404" t="s">
        <v>1081</v>
      </c>
      <c r="B6" s="405" t="s">
        <v>471</v>
      </c>
      <c r="C6" s="405">
        <v>5</v>
      </c>
      <c r="D6" s="405" t="s">
        <v>475</v>
      </c>
      <c r="E6" s="405" t="s">
        <v>1089</v>
      </c>
      <c r="F6" s="405" t="s">
        <v>1084</v>
      </c>
      <c r="G6" s="405" t="s">
        <v>149</v>
      </c>
      <c r="H6" s="103">
        <v>4</v>
      </c>
      <c r="I6" s="104">
        <v>3</v>
      </c>
      <c r="J6" s="104">
        <v>6</v>
      </c>
      <c r="K6" s="103">
        <v>5</v>
      </c>
      <c r="L6" s="406">
        <f t="shared" si="0"/>
        <v>1</v>
      </c>
      <c r="M6" s="406" t="s">
        <v>1085</v>
      </c>
      <c r="N6" s="406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67" t="s">
        <v>154</v>
      </c>
    </row>
    <row r="7" spans="1:25">
      <c r="A7" s="404" t="s">
        <v>1081</v>
      </c>
      <c r="B7" s="405" t="s">
        <v>471</v>
      </c>
      <c r="C7" s="405">
        <v>5</v>
      </c>
      <c r="D7" s="405" t="s">
        <v>475</v>
      </c>
      <c r="E7" s="405" t="s">
        <v>1092</v>
      </c>
      <c r="F7" s="405" t="s">
        <v>609</v>
      </c>
      <c r="G7" s="106" t="s">
        <v>1091</v>
      </c>
      <c r="H7" s="103">
        <v>2</v>
      </c>
      <c r="I7" s="104">
        <v>2</v>
      </c>
      <c r="J7" s="104">
        <v>4</v>
      </c>
      <c r="K7" s="103">
        <v>3</v>
      </c>
      <c r="L7" s="406">
        <f t="shared" si="0"/>
        <v>1</v>
      </c>
      <c r="M7" s="406" t="s">
        <v>1085</v>
      </c>
      <c r="N7" s="406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67" t="s">
        <v>154</v>
      </c>
    </row>
    <row r="8" spans="1:25">
      <c r="A8" s="404" t="s">
        <v>1093</v>
      </c>
      <c r="B8" s="405" t="s">
        <v>1094</v>
      </c>
      <c r="C8" s="405">
        <v>3</v>
      </c>
      <c r="D8" s="405" t="s">
        <v>812</v>
      </c>
      <c r="E8" s="405" t="s">
        <v>1088</v>
      </c>
      <c r="F8" s="405" t="s">
        <v>1084</v>
      </c>
      <c r="G8" s="405" t="s">
        <v>149</v>
      </c>
      <c r="H8" s="103">
        <v>6</v>
      </c>
      <c r="I8" s="104">
        <v>6</v>
      </c>
      <c r="J8" s="104">
        <v>12</v>
      </c>
      <c r="K8" s="103">
        <v>11</v>
      </c>
      <c r="L8" s="406">
        <f t="shared" si="0"/>
        <v>1</v>
      </c>
      <c r="M8" s="406" t="s">
        <v>1085</v>
      </c>
      <c r="N8" s="406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67" t="s">
        <v>154</v>
      </c>
    </row>
    <row r="9" spans="1:25">
      <c r="A9" s="404" t="s">
        <v>1093</v>
      </c>
      <c r="B9" s="405" t="s">
        <v>1095</v>
      </c>
      <c r="C9" s="405">
        <v>1</v>
      </c>
      <c r="D9" s="405" t="s">
        <v>1096</v>
      </c>
      <c r="E9" s="405" t="s">
        <v>1097</v>
      </c>
      <c r="F9" s="405" t="s">
        <v>1084</v>
      </c>
      <c r="G9" s="405" t="s">
        <v>149</v>
      </c>
      <c r="H9" s="103">
        <v>2</v>
      </c>
      <c r="I9" s="104">
        <v>2</v>
      </c>
      <c r="J9" s="104">
        <v>4</v>
      </c>
      <c r="K9" s="103">
        <v>2</v>
      </c>
      <c r="L9" s="406">
        <f t="shared" si="0"/>
        <v>2</v>
      </c>
      <c r="M9" s="406" t="s">
        <v>1098</v>
      </c>
      <c r="N9" s="406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67" t="s">
        <v>154</v>
      </c>
    </row>
    <row r="10" spans="1:25">
      <c r="A10" s="404" t="s">
        <v>1093</v>
      </c>
      <c r="B10" s="405" t="s">
        <v>1095</v>
      </c>
      <c r="C10" s="405">
        <v>1</v>
      </c>
      <c r="D10" s="405" t="s">
        <v>1099</v>
      </c>
      <c r="E10" s="405" t="s">
        <v>1088</v>
      </c>
      <c r="F10" s="405" t="s">
        <v>1084</v>
      </c>
      <c r="G10" s="405" t="s">
        <v>149</v>
      </c>
      <c r="H10" s="103">
        <v>1</v>
      </c>
      <c r="I10" s="104">
        <v>1</v>
      </c>
      <c r="J10" s="104">
        <v>2</v>
      </c>
      <c r="K10" s="103">
        <v>1</v>
      </c>
      <c r="L10" s="406">
        <f t="shared" si="0"/>
        <v>1</v>
      </c>
      <c r="M10" s="406" t="s">
        <v>1098</v>
      </c>
      <c r="N10" s="406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67" t="s">
        <v>154</v>
      </c>
    </row>
    <row r="11" spans="1:25">
      <c r="A11" s="404" t="s">
        <v>1093</v>
      </c>
      <c r="B11" s="405" t="s">
        <v>1095</v>
      </c>
      <c r="C11" s="405">
        <v>2</v>
      </c>
      <c r="D11" s="405" t="s">
        <v>1100</v>
      </c>
      <c r="E11" s="405" t="s">
        <v>1101</v>
      </c>
      <c r="F11" s="405" t="s">
        <v>1084</v>
      </c>
      <c r="G11" s="405" t="s">
        <v>149</v>
      </c>
      <c r="H11" s="103">
        <v>2</v>
      </c>
      <c r="I11" s="104">
        <v>3</v>
      </c>
      <c r="J11" s="104">
        <v>6</v>
      </c>
      <c r="K11" s="103">
        <v>2</v>
      </c>
      <c r="L11" s="406">
        <f t="shared" si="0"/>
        <v>4</v>
      </c>
      <c r="M11" s="406" t="s">
        <v>1098</v>
      </c>
      <c r="N11" s="406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67" t="s">
        <v>154</v>
      </c>
    </row>
    <row r="12" spans="1:25">
      <c r="A12" s="404" t="s">
        <v>1093</v>
      </c>
      <c r="B12" s="405" t="s">
        <v>1095</v>
      </c>
      <c r="C12" s="405">
        <v>2</v>
      </c>
      <c r="D12" s="405" t="s">
        <v>1100</v>
      </c>
      <c r="E12" s="405" t="s">
        <v>1088</v>
      </c>
      <c r="F12" s="405" t="s">
        <v>1084</v>
      </c>
      <c r="G12" s="405" t="s">
        <v>149</v>
      </c>
      <c r="H12" s="103">
        <v>4</v>
      </c>
      <c r="I12" s="104">
        <v>3</v>
      </c>
      <c r="J12" s="104">
        <v>6</v>
      </c>
      <c r="K12" s="103">
        <v>5</v>
      </c>
      <c r="L12" s="406">
        <f t="shared" si="0"/>
        <v>1</v>
      </c>
      <c r="M12" s="406" t="s">
        <v>1085</v>
      </c>
      <c r="N12" s="406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67" t="s">
        <v>154</v>
      </c>
    </row>
    <row r="13" spans="1:25">
      <c r="A13" s="404" t="s">
        <v>1093</v>
      </c>
      <c r="B13" s="405" t="s">
        <v>1102</v>
      </c>
      <c r="C13" s="405">
        <v>1</v>
      </c>
      <c r="D13" s="405" t="s">
        <v>1103</v>
      </c>
      <c r="E13" s="405" t="s">
        <v>1104</v>
      </c>
      <c r="F13" s="405" t="s">
        <v>1084</v>
      </c>
      <c r="G13" s="405" t="s">
        <v>149</v>
      </c>
      <c r="H13" s="103">
        <v>3</v>
      </c>
      <c r="I13" s="104">
        <v>3</v>
      </c>
      <c r="J13" s="104">
        <v>6</v>
      </c>
      <c r="K13" s="103">
        <v>3</v>
      </c>
      <c r="L13" s="406">
        <f t="shared" si="0"/>
        <v>3</v>
      </c>
      <c r="M13" s="406" t="s">
        <v>1098</v>
      </c>
      <c r="N13" s="406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67" t="s">
        <v>154</v>
      </c>
    </row>
    <row r="14" spans="1:25">
      <c r="A14" s="404" t="s">
        <v>1093</v>
      </c>
      <c r="B14" s="405" t="s">
        <v>1102</v>
      </c>
      <c r="C14" s="405">
        <v>2</v>
      </c>
      <c r="D14" s="405" t="s">
        <v>1105</v>
      </c>
      <c r="E14" s="405" t="s">
        <v>1106</v>
      </c>
      <c r="F14" s="405" t="s">
        <v>1084</v>
      </c>
      <c r="G14" s="405" t="s">
        <v>149</v>
      </c>
      <c r="H14" s="103">
        <v>4</v>
      </c>
      <c r="I14" s="104">
        <v>4</v>
      </c>
      <c r="J14" s="104">
        <v>8</v>
      </c>
      <c r="K14" s="103">
        <v>5</v>
      </c>
      <c r="L14" s="406">
        <f t="shared" si="0"/>
        <v>3</v>
      </c>
      <c r="M14" s="406" t="s">
        <v>1098</v>
      </c>
      <c r="N14" s="406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67" t="s">
        <v>154</v>
      </c>
    </row>
    <row r="15" spans="1:25">
      <c r="A15" s="404" t="s">
        <v>1081</v>
      </c>
      <c r="B15" s="405" t="s">
        <v>1107</v>
      </c>
      <c r="C15" s="405">
        <v>1</v>
      </c>
      <c r="D15" s="405" t="s">
        <v>1108</v>
      </c>
      <c r="E15" s="405" t="s">
        <v>471</v>
      </c>
      <c r="F15" s="405" t="s">
        <v>1084</v>
      </c>
      <c r="G15" s="405" t="s">
        <v>149</v>
      </c>
      <c r="H15" s="103">
        <v>2</v>
      </c>
      <c r="I15" s="104">
        <v>2</v>
      </c>
      <c r="J15" s="104">
        <v>4</v>
      </c>
      <c r="K15" s="103">
        <v>2</v>
      </c>
      <c r="L15" s="406">
        <f t="shared" si="0"/>
        <v>2</v>
      </c>
      <c r="M15" s="406" t="s">
        <v>1085</v>
      </c>
      <c r="N15" s="406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67" t="s">
        <v>154</v>
      </c>
    </row>
    <row r="16" spans="1:25">
      <c r="A16" s="404" t="s">
        <v>1081</v>
      </c>
      <c r="B16" s="405" t="s">
        <v>1107</v>
      </c>
      <c r="C16" s="405">
        <v>1</v>
      </c>
      <c r="D16" s="405" t="s">
        <v>1109</v>
      </c>
      <c r="E16" s="405" t="s">
        <v>1110</v>
      </c>
      <c r="F16" s="405" t="s">
        <v>1084</v>
      </c>
      <c r="G16" s="405" t="s">
        <v>149</v>
      </c>
      <c r="H16" s="103">
        <v>7</v>
      </c>
      <c r="I16" s="104">
        <v>6</v>
      </c>
      <c r="J16" s="104">
        <v>12</v>
      </c>
      <c r="K16" s="103">
        <v>8</v>
      </c>
      <c r="L16" s="406">
        <f t="shared" si="0"/>
        <v>4</v>
      </c>
      <c r="M16" s="406" t="s">
        <v>1085</v>
      </c>
      <c r="N16" s="406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67" t="s">
        <v>154</v>
      </c>
    </row>
    <row r="17" spans="1:25" ht="36">
      <c r="A17" s="404" t="s">
        <v>1081</v>
      </c>
      <c r="B17" s="405" t="s">
        <v>1107</v>
      </c>
      <c r="C17" s="405">
        <v>1</v>
      </c>
      <c r="D17" s="405" t="s">
        <v>1111</v>
      </c>
      <c r="E17" s="405" t="s">
        <v>1112</v>
      </c>
      <c r="F17" s="405" t="s">
        <v>1084</v>
      </c>
      <c r="G17" s="405" t="s">
        <v>149</v>
      </c>
      <c r="H17" s="103">
        <v>1</v>
      </c>
      <c r="I17" s="104">
        <v>2</v>
      </c>
      <c r="J17" s="104">
        <v>4</v>
      </c>
      <c r="K17" s="103">
        <v>2</v>
      </c>
      <c r="L17" s="406">
        <f t="shared" si="0"/>
        <v>2</v>
      </c>
      <c r="M17" s="107" t="s">
        <v>1113</v>
      </c>
      <c r="N17" s="107" t="s">
        <v>1114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67" t="s">
        <v>154</v>
      </c>
    </row>
    <row r="18" spans="1:25">
      <c r="A18" s="404" t="s">
        <v>1081</v>
      </c>
      <c r="B18" s="405" t="s">
        <v>1107</v>
      </c>
      <c r="C18" s="405">
        <v>2</v>
      </c>
      <c r="D18" s="405" t="s">
        <v>1115</v>
      </c>
      <c r="E18" s="405" t="s">
        <v>1116</v>
      </c>
      <c r="F18" s="405" t="s">
        <v>1084</v>
      </c>
      <c r="G18" s="405" t="s">
        <v>149</v>
      </c>
      <c r="H18" s="103">
        <v>2</v>
      </c>
      <c r="I18" s="104">
        <v>3</v>
      </c>
      <c r="J18" s="104">
        <v>6</v>
      </c>
      <c r="K18" s="103">
        <v>2</v>
      </c>
      <c r="L18" s="406">
        <f t="shared" si="0"/>
        <v>4</v>
      </c>
      <c r="M18" s="406" t="s">
        <v>1085</v>
      </c>
      <c r="N18" s="406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67" t="s">
        <v>154</v>
      </c>
    </row>
    <row r="19" spans="1:25">
      <c r="A19" s="404" t="s">
        <v>1081</v>
      </c>
      <c r="B19" s="405" t="s">
        <v>1107</v>
      </c>
      <c r="C19" s="405">
        <v>2</v>
      </c>
      <c r="D19" s="405" t="s">
        <v>1117</v>
      </c>
      <c r="E19" s="405" t="s">
        <v>1118</v>
      </c>
      <c r="F19" s="405" t="s">
        <v>1084</v>
      </c>
      <c r="G19" s="405" t="s">
        <v>149</v>
      </c>
      <c r="H19" s="103">
        <v>6</v>
      </c>
      <c r="I19" s="104">
        <v>6</v>
      </c>
      <c r="J19" s="104">
        <v>12</v>
      </c>
      <c r="K19" s="103">
        <v>8</v>
      </c>
      <c r="L19" s="406">
        <f t="shared" si="0"/>
        <v>4</v>
      </c>
      <c r="M19" s="406" t="s">
        <v>1085</v>
      </c>
      <c r="N19" s="406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67" t="s">
        <v>154</v>
      </c>
    </row>
    <row r="20" spans="1:25" ht="36">
      <c r="A20" s="404" t="s">
        <v>1081</v>
      </c>
      <c r="B20" s="405" t="s">
        <v>1107</v>
      </c>
      <c r="C20" s="405">
        <v>2</v>
      </c>
      <c r="D20" s="405" t="s">
        <v>1119</v>
      </c>
      <c r="E20" s="405" t="s">
        <v>1112</v>
      </c>
      <c r="F20" s="405" t="s">
        <v>1084</v>
      </c>
      <c r="G20" s="405" t="s">
        <v>149</v>
      </c>
      <c r="H20" s="103">
        <v>1</v>
      </c>
      <c r="I20" s="104">
        <v>2</v>
      </c>
      <c r="J20" s="104">
        <v>4</v>
      </c>
      <c r="K20" s="103">
        <v>1</v>
      </c>
      <c r="L20" s="406">
        <f t="shared" si="0"/>
        <v>3</v>
      </c>
      <c r="M20" s="107" t="s">
        <v>1113</v>
      </c>
      <c r="N20" s="107" t="s">
        <v>1114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67" t="s">
        <v>154</v>
      </c>
    </row>
    <row r="21" spans="1:25" ht="36">
      <c r="A21" s="404" t="s">
        <v>1081</v>
      </c>
      <c r="B21" s="405" t="s">
        <v>1107</v>
      </c>
      <c r="C21" s="405">
        <v>3</v>
      </c>
      <c r="D21" s="405" t="s">
        <v>1120</v>
      </c>
      <c r="E21" s="405" t="s">
        <v>1112</v>
      </c>
      <c r="F21" s="405" t="s">
        <v>1084</v>
      </c>
      <c r="G21" s="405" t="s">
        <v>149</v>
      </c>
      <c r="H21" s="103">
        <v>1</v>
      </c>
      <c r="I21" s="104">
        <v>2</v>
      </c>
      <c r="J21" s="104">
        <v>4</v>
      </c>
      <c r="K21" s="103">
        <v>1</v>
      </c>
      <c r="L21" s="406">
        <f t="shared" si="0"/>
        <v>3</v>
      </c>
      <c r="M21" s="107" t="s">
        <v>1113</v>
      </c>
      <c r="N21" s="107" t="s">
        <v>1114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67" t="s">
        <v>154</v>
      </c>
    </row>
    <row r="22" spans="1:25">
      <c r="A22" s="404" t="s">
        <v>1081</v>
      </c>
      <c r="B22" s="405" t="s">
        <v>1107</v>
      </c>
      <c r="C22" s="405">
        <v>4</v>
      </c>
      <c r="D22" s="405" t="s">
        <v>1121</v>
      </c>
      <c r="E22" s="405" t="s">
        <v>1122</v>
      </c>
      <c r="F22" s="405" t="s">
        <v>1084</v>
      </c>
      <c r="G22" s="405" t="s">
        <v>149</v>
      </c>
      <c r="H22" s="103">
        <v>3</v>
      </c>
      <c r="I22" s="104">
        <v>3</v>
      </c>
      <c r="J22" s="104">
        <v>6</v>
      </c>
      <c r="K22" s="103">
        <v>5</v>
      </c>
      <c r="L22" s="406">
        <f t="shared" si="0"/>
        <v>1</v>
      </c>
      <c r="M22" s="406" t="s">
        <v>1085</v>
      </c>
      <c r="N22" s="406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67" t="s">
        <v>154</v>
      </c>
    </row>
    <row r="23" spans="1:25">
      <c r="A23" s="404" t="s">
        <v>1081</v>
      </c>
      <c r="B23" s="405" t="s">
        <v>1107</v>
      </c>
      <c r="C23" s="405">
        <v>4</v>
      </c>
      <c r="D23" s="405" t="s">
        <v>1123</v>
      </c>
      <c r="E23" s="405" t="s">
        <v>1088</v>
      </c>
      <c r="F23" s="405" t="s">
        <v>1084</v>
      </c>
      <c r="G23" s="405" t="s">
        <v>149</v>
      </c>
      <c r="H23" s="103">
        <v>3</v>
      </c>
      <c r="I23" s="104">
        <v>3</v>
      </c>
      <c r="J23" s="104">
        <v>6</v>
      </c>
      <c r="K23" s="103">
        <v>5</v>
      </c>
      <c r="L23" s="406">
        <f t="shared" si="0"/>
        <v>1</v>
      </c>
      <c r="M23" s="406" t="s">
        <v>1098</v>
      </c>
      <c r="N23" s="406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67" t="s">
        <v>154</v>
      </c>
    </row>
    <row r="24" spans="1:25" ht="36">
      <c r="A24" s="404" t="s">
        <v>1081</v>
      </c>
      <c r="B24" s="405" t="s">
        <v>1107</v>
      </c>
      <c r="C24" s="405">
        <v>4</v>
      </c>
      <c r="D24" s="405" t="s">
        <v>1124</v>
      </c>
      <c r="E24" s="405" t="s">
        <v>1112</v>
      </c>
      <c r="F24" s="405" t="s">
        <v>1084</v>
      </c>
      <c r="G24" s="405" t="s">
        <v>149</v>
      </c>
      <c r="H24" s="103">
        <v>1</v>
      </c>
      <c r="I24" s="104">
        <v>2</v>
      </c>
      <c r="J24" s="104">
        <v>4</v>
      </c>
      <c r="K24" s="103">
        <v>2</v>
      </c>
      <c r="L24" s="406">
        <f t="shared" si="0"/>
        <v>2</v>
      </c>
      <c r="M24" s="107" t="s">
        <v>1113</v>
      </c>
      <c r="N24" s="107" t="s">
        <v>1114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67" t="s">
        <v>154</v>
      </c>
    </row>
    <row r="25" spans="1:25">
      <c r="A25" s="404" t="s">
        <v>1081</v>
      </c>
      <c r="B25" s="405" t="s">
        <v>1107</v>
      </c>
      <c r="C25" s="405">
        <v>4</v>
      </c>
      <c r="D25" s="405" t="s">
        <v>1125</v>
      </c>
      <c r="E25" s="405" t="s">
        <v>1126</v>
      </c>
      <c r="F25" s="405" t="s">
        <v>1084</v>
      </c>
      <c r="G25" s="405" t="s">
        <v>149</v>
      </c>
      <c r="H25" s="103">
        <v>7</v>
      </c>
      <c r="I25" s="104">
        <v>4</v>
      </c>
      <c r="J25" s="104">
        <v>8</v>
      </c>
      <c r="K25" s="103">
        <v>7</v>
      </c>
      <c r="L25" s="406">
        <f t="shared" si="0"/>
        <v>1</v>
      </c>
      <c r="M25" s="406" t="s">
        <v>1085</v>
      </c>
      <c r="N25" s="406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67" t="s">
        <v>154</v>
      </c>
    </row>
    <row r="26" spans="1:25">
      <c r="A26" s="404" t="s">
        <v>1081</v>
      </c>
      <c r="B26" s="405" t="s">
        <v>1107</v>
      </c>
      <c r="C26" s="405">
        <v>5</v>
      </c>
      <c r="D26" s="405" t="s">
        <v>1127</v>
      </c>
      <c r="E26" s="405" t="s">
        <v>1128</v>
      </c>
      <c r="F26" s="405" t="s">
        <v>1084</v>
      </c>
      <c r="G26" s="405" t="s">
        <v>149</v>
      </c>
      <c r="H26" s="103">
        <v>8</v>
      </c>
      <c r="I26" s="104">
        <v>5</v>
      </c>
      <c r="J26" s="104">
        <v>10</v>
      </c>
      <c r="K26" s="103">
        <v>8</v>
      </c>
      <c r="L26" s="406">
        <f t="shared" si="0"/>
        <v>2</v>
      </c>
      <c r="M26" s="406" t="s">
        <v>1085</v>
      </c>
      <c r="N26" s="406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67" t="s">
        <v>154</v>
      </c>
    </row>
    <row r="27" spans="1:25">
      <c r="A27" s="404" t="s">
        <v>768</v>
      </c>
      <c r="B27" s="405" t="s">
        <v>786</v>
      </c>
      <c r="C27" s="405">
        <v>1</v>
      </c>
      <c r="D27" s="405" t="s">
        <v>779</v>
      </c>
      <c r="E27" s="405" t="s">
        <v>471</v>
      </c>
      <c r="F27" s="405" t="s">
        <v>1084</v>
      </c>
      <c r="G27" s="405" t="s">
        <v>149</v>
      </c>
      <c r="H27" s="103">
        <v>2</v>
      </c>
      <c r="I27" s="104">
        <v>2</v>
      </c>
      <c r="J27" s="104">
        <v>4</v>
      </c>
      <c r="K27" s="103">
        <v>2</v>
      </c>
      <c r="L27" s="406">
        <f t="shared" si="0"/>
        <v>2</v>
      </c>
      <c r="M27" s="406" t="s">
        <v>1085</v>
      </c>
      <c r="N27" s="406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67" t="s">
        <v>154</v>
      </c>
    </row>
    <row r="28" spans="1:25">
      <c r="A28" s="404" t="s">
        <v>1129</v>
      </c>
      <c r="B28" s="405" t="s">
        <v>1130</v>
      </c>
      <c r="C28" s="405">
        <v>1</v>
      </c>
      <c r="D28" s="405" t="s">
        <v>546</v>
      </c>
      <c r="E28" s="405" t="s">
        <v>1131</v>
      </c>
      <c r="F28" s="405" t="s">
        <v>1084</v>
      </c>
      <c r="G28" s="405" t="s">
        <v>149</v>
      </c>
      <c r="H28" s="103">
        <v>5</v>
      </c>
      <c r="I28" s="104">
        <v>6</v>
      </c>
      <c r="J28" s="104">
        <v>12</v>
      </c>
      <c r="K28" s="103">
        <v>5</v>
      </c>
      <c r="L28" s="406">
        <f t="shared" si="0"/>
        <v>7</v>
      </c>
      <c r="M28" s="406" t="s">
        <v>1085</v>
      </c>
      <c r="N28" s="406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67" t="s">
        <v>154</v>
      </c>
    </row>
    <row r="29" spans="1:25">
      <c r="A29" s="404" t="s">
        <v>1129</v>
      </c>
      <c r="B29" s="405" t="s">
        <v>1130</v>
      </c>
      <c r="C29" s="405">
        <v>1</v>
      </c>
      <c r="D29" s="405" t="s">
        <v>553</v>
      </c>
      <c r="E29" s="405" t="s">
        <v>1132</v>
      </c>
      <c r="F29" s="405" t="s">
        <v>1084</v>
      </c>
      <c r="G29" s="405" t="s">
        <v>149</v>
      </c>
      <c r="H29" s="103">
        <v>4</v>
      </c>
      <c r="I29" s="104">
        <v>5</v>
      </c>
      <c r="J29" s="104">
        <v>10</v>
      </c>
      <c r="K29" s="103">
        <v>5</v>
      </c>
      <c r="L29" s="406">
        <f t="shared" si="0"/>
        <v>5</v>
      </c>
      <c r="M29" s="406" t="s">
        <v>1085</v>
      </c>
      <c r="N29" s="406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67" t="s">
        <v>154</v>
      </c>
    </row>
    <row r="30" spans="1:25">
      <c r="A30" s="404" t="s">
        <v>1129</v>
      </c>
      <c r="B30" s="405" t="s">
        <v>1130</v>
      </c>
      <c r="C30" s="405">
        <v>2</v>
      </c>
      <c r="D30" s="405" t="s">
        <v>1133</v>
      </c>
      <c r="E30" s="405" t="s">
        <v>1088</v>
      </c>
      <c r="F30" s="405" t="s">
        <v>1084</v>
      </c>
      <c r="G30" s="405" t="s">
        <v>149</v>
      </c>
      <c r="H30" s="103">
        <v>2</v>
      </c>
      <c r="I30" s="104">
        <v>2</v>
      </c>
      <c r="J30" s="104">
        <v>4</v>
      </c>
      <c r="K30" s="103">
        <v>3</v>
      </c>
      <c r="L30" s="406">
        <f t="shared" si="0"/>
        <v>1</v>
      </c>
      <c r="M30" s="406" t="s">
        <v>1085</v>
      </c>
      <c r="N30" s="406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67" t="s">
        <v>154</v>
      </c>
    </row>
    <row r="31" spans="1:25">
      <c r="A31" s="404" t="s">
        <v>1129</v>
      </c>
      <c r="B31" s="405" t="s">
        <v>1130</v>
      </c>
      <c r="C31" s="405">
        <v>2</v>
      </c>
      <c r="D31" s="405" t="s">
        <v>552</v>
      </c>
      <c r="E31" s="405" t="s">
        <v>1134</v>
      </c>
      <c r="F31" s="405" t="s">
        <v>1084</v>
      </c>
      <c r="G31" s="405" t="s">
        <v>149</v>
      </c>
      <c r="H31" s="103">
        <v>5</v>
      </c>
      <c r="I31" s="104">
        <v>5</v>
      </c>
      <c r="J31" s="104">
        <v>10</v>
      </c>
      <c r="K31" s="103">
        <v>6</v>
      </c>
      <c r="L31" s="406">
        <f t="shared" si="0"/>
        <v>4</v>
      </c>
      <c r="M31" s="406" t="s">
        <v>1085</v>
      </c>
      <c r="N31" s="406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67" t="s">
        <v>154</v>
      </c>
    </row>
    <row r="32" spans="1:25">
      <c r="A32" s="404" t="s">
        <v>1129</v>
      </c>
      <c r="B32" s="405" t="s">
        <v>1130</v>
      </c>
      <c r="C32" s="405">
        <v>2</v>
      </c>
      <c r="D32" s="405" t="s">
        <v>1135</v>
      </c>
      <c r="E32" s="405" t="s">
        <v>1136</v>
      </c>
      <c r="F32" s="405" t="s">
        <v>1084</v>
      </c>
      <c r="G32" s="405" t="s">
        <v>149</v>
      </c>
      <c r="H32" s="103">
        <v>5</v>
      </c>
      <c r="I32" s="104">
        <v>5</v>
      </c>
      <c r="J32" s="104">
        <v>10</v>
      </c>
      <c r="K32" s="103">
        <v>6</v>
      </c>
      <c r="L32" s="406">
        <f t="shared" si="0"/>
        <v>4</v>
      </c>
      <c r="M32" s="406" t="s">
        <v>1085</v>
      </c>
      <c r="N32" s="406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67" t="s">
        <v>154</v>
      </c>
    </row>
    <row r="33" spans="1:25">
      <c r="A33" s="404" t="s">
        <v>1129</v>
      </c>
      <c r="B33" s="405" t="s">
        <v>1137</v>
      </c>
      <c r="C33" s="405">
        <v>1</v>
      </c>
      <c r="D33" s="405" t="s">
        <v>1138</v>
      </c>
      <c r="E33" s="405" t="s">
        <v>1139</v>
      </c>
      <c r="F33" s="405" t="s">
        <v>1084</v>
      </c>
      <c r="G33" s="405" t="s">
        <v>149</v>
      </c>
      <c r="H33" s="103">
        <v>1</v>
      </c>
      <c r="I33" s="104">
        <v>1</v>
      </c>
      <c r="J33" s="104">
        <v>2</v>
      </c>
      <c r="K33" s="103">
        <v>1</v>
      </c>
      <c r="L33" s="406">
        <f t="shared" si="0"/>
        <v>1</v>
      </c>
      <c r="M33" s="406" t="s">
        <v>1085</v>
      </c>
      <c r="N33" s="406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67" t="s">
        <v>154</v>
      </c>
    </row>
    <row r="34" spans="1:25">
      <c r="A34" s="404" t="s">
        <v>1129</v>
      </c>
      <c r="B34" s="405" t="s">
        <v>1137</v>
      </c>
      <c r="C34" s="405">
        <v>6</v>
      </c>
      <c r="D34" s="405" t="s">
        <v>1140</v>
      </c>
      <c r="E34" s="405" t="s">
        <v>1141</v>
      </c>
      <c r="F34" s="405" t="s">
        <v>1084</v>
      </c>
      <c r="G34" s="405" t="s">
        <v>149</v>
      </c>
      <c r="H34" s="103">
        <v>9</v>
      </c>
      <c r="I34" s="104">
        <v>9</v>
      </c>
      <c r="J34" s="104">
        <v>18</v>
      </c>
      <c r="K34" s="103">
        <v>15</v>
      </c>
      <c r="L34" s="406">
        <f t="shared" si="0"/>
        <v>3</v>
      </c>
      <c r="M34" s="406" t="s">
        <v>1085</v>
      </c>
      <c r="N34" s="406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67" t="s">
        <v>154</v>
      </c>
    </row>
    <row r="35" spans="1:25" ht="36">
      <c r="A35" s="404" t="s">
        <v>768</v>
      </c>
      <c r="B35" s="405" t="s">
        <v>1142</v>
      </c>
      <c r="C35" s="405">
        <v>1</v>
      </c>
      <c r="D35" s="405" t="s">
        <v>1143</v>
      </c>
      <c r="E35" s="405" t="s">
        <v>1126</v>
      </c>
      <c r="F35" s="405" t="s">
        <v>1084</v>
      </c>
      <c r="G35" s="405" t="s">
        <v>149</v>
      </c>
      <c r="H35" s="103">
        <v>2</v>
      </c>
      <c r="I35" s="104">
        <v>2</v>
      </c>
      <c r="J35" s="104">
        <v>4</v>
      </c>
      <c r="K35" s="103">
        <v>3</v>
      </c>
      <c r="L35" s="406">
        <f t="shared" si="0"/>
        <v>1</v>
      </c>
      <c r="M35" s="406" t="s">
        <v>1085</v>
      </c>
      <c r="N35" s="406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67" t="s">
        <v>154</v>
      </c>
    </row>
    <row r="36" spans="1:25">
      <c r="A36" s="404" t="s">
        <v>768</v>
      </c>
      <c r="B36" s="405" t="s">
        <v>1144</v>
      </c>
      <c r="C36" s="405">
        <v>1</v>
      </c>
      <c r="D36" s="405" t="s">
        <v>1145</v>
      </c>
      <c r="E36" s="405" t="s">
        <v>1088</v>
      </c>
      <c r="F36" s="405" t="s">
        <v>1084</v>
      </c>
      <c r="G36" s="405" t="s">
        <v>149</v>
      </c>
      <c r="H36" s="103">
        <v>5</v>
      </c>
      <c r="I36" s="104">
        <v>5</v>
      </c>
      <c r="J36" s="104">
        <v>10</v>
      </c>
      <c r="K36" s="103">
        <v>9</v>
      </c>
      <c r="L36" s="406">
        <f t="shared" si="0"/>
        <v>1</v>
      </c>
      <c r="M36" s="406" t="s">
        <v>1085</v>
      </c>
      <c r="N36" s="406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67" t="s">
        <v>154</v>
      </c>
    </row>
    <row r="37" spans="1:25">
      <c r="A37" s="404" t="s">
        <v>1129</v>
      </c>
      <c r="B37" s="405" t="s">
        <v>1146</v>
      </c>
      <c r="C37" s="405">
        <v>2</v>
      </c>
      <c r="D37" s="405" t="s">
        <v>1147</v>
      </c>
      <c r="E37" s="405" t="s">
        <v>1148</v>
      </c>
      <c r="F37" s="405" t="s">
        <v>1084</v>
      </c>
      <c r="G37" s="405" t="s">
        <v>149</v>
      </c>
      <c r="H37" s="103">
        <v>4</v>
      </c>
      <c r="I37" s="104">
        <v>4</v>
      </c>
      <c r="J37" s="104">
        <v>8</v>
      </c>
      <c r="K37" s="103">
        <v>7</v>
      </c>
      <c r="L37" s="406">
        <f t="shared" si="0"/>
        <v>1</v>
      </c>
      <c r="M37" s="406" t="s">
        <v>1085</v>
      </c>
      <c r="N37" s="406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67" t="s">
        <v>154</v>
      </c>
    </row>
    <row r="38" spans="1:25">
      <c r="A38" s="404" t="s">
        <v>1129</v>
      </c>
      <c r="B38" s="405" t="s">
        <v>1149</v>
      </c>
      <c r="C38" s="405">
        <v>2</v>
      </c>
      <c r="D38" s="405" t="s">
        <v>1150</v>
      </c>
      <c r="E38" s="405" t="s">
        <v>1151</v>
      </c>
      <c r="F38" s="405" t="s">
        <v>1084</v>
      </c>
      <c r="G38" s="405" t="s">
        <v>149</v>
      </c>
      <c r="H38" s="103">
        <v>3</v>
      </c>
      <c r="I38" s="104">
        <v>3</v>
      </c>
      <c r="J38" s="104">
        <v>6</v>
      </c>
      <c r="K38" s="103">
        <v>5</v>
      </c>
      <c r="L38" s="406">
        <f t="shared" si="0"/>
        <v>1</v>
      </c>
      <c r="M38" s="406" t="s">
        <v>1085</v>
      </c>
      <c r="N38" s="406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67" t="s">
        <v>154</v>
      </c>
    </row>
    <row r="39" spans="1:25">
      <c r="A39" s="404" t="s">
        <v>1081</v>
      </c>
      <c r="B39" s="405" t="s">
        <v>484</v>
      </c>
      <c r="C39" s="405">
        <v>1</v>
      </c>
      <c r="D39" s="405" t="s">
        <v>485</v>
      </c>
      <c r="E39" s="405" t="s">
        <v>1152</v>
      </c>
      <c r="F39" s="405" t="s">
        <v>1153</v>
      </c>
      <c r="G39" s="106" t="s">
        <v>1091</v>
      </c>
      <c r="H39" s="103">
        <v>1</v>
      </c>
      <c r="I39" s="104">
        <v>1</v>
      </c>
      <c r="J39" s="104">
        <v>2</v>
      </c>
      <c r="K39" s="103">
        <v>0</v>
      </c>
      <c r="L39" s="406">
        <f t="shared" si="0"/>
        <v>2</v>
      </c>
      <c r="M39" s="406" t="s">
        <v>1085</v>
      </c>
      <c r="N39" s="406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67" t="s">
        <v>154</v>
      </c>
    </row>
    <row r="40" spans="1:25">
      <c r="A40" s="404" t="s">
        <v>1081</v>
      </c>
      <c r="B40" s="405" t="s">
        <v>484</v>
      </c>
      <c r="C40" s="405">
        <v>1</v>
      </c>
      <c r="D40" s="405" t="s">
        <v>488</v>
      </c>
      <c r="E40" s="405" t="s">
        <v>1152</v>
      </c>
      <c r="F40" s="405" t="s">
        <v>1153</v>
      </c>
      <c r="G40" s="106" t="s">
        <v>1091</v>
      </c>
      <c r="H40" s="103">
        <v>1</v>
      </c>
      <c r="I40" s="104">
        <v>1</v>
      </c>
      <c r="J40" s="104">
        <v>2</v>
      </c>
      <c r="K40" s="103">
        <v>1</v>
      </c>
      <c r="L40" s="406">
        <f t="shared" si="0"/>
        <v>1</v>
      </c>
      <c r="M40" s="406" t="s">
        <v>1085</v>
      </c>
      <c r="N40" s="406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67" t="s">
        <v>154</v>
      </c>
    </row>
    <row r="41" spans="1:25">
      <c r="A41" s="404" t="s">
        <v>1081</v>
      </c>
      <c r="B41" s="405" t="s">
        <v>398</v>
      </c>
      <c r="C41" s="405">
        <v>1</v>
      </c>
      <c r="D41" s="405" t="s">
        <v>352</v>
      </c>
      <c r="E41" s="405" t="s">
        <v>1154</v>
      </c>
      <c r="F41" s="405" t="s">
        <v>1155</v>
      </c>
      <c r="G41" s="106" t="s">
        <v>1091</v>
      </c>
      <c r="H41" s="103">
        <v>1</v>
      </c>
      <c r="I41" s="104">
        <v>1</v>
      </c>
      <c r="J41" s="104">
        <v>2</v>
      </c>
      <c r="K41" s="103">
        <v>1</v>
      </c>
      <c r="L41" s="406">
        <f t="shared" si="0"/>
        <v>1</v>
      </c>
      <c r="M41" s="406" t="s">
        <v>1085</v>
      </c>
      <c r="N41" s="406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67" t="s">
        <v>154</v>
      </c>
    </row>
    <row r="42" spans="1:25">
      <c r="A42" s="404" t="s">
        <v>1081</v>
      </c>
      <c r="B42" s="405" t="s">
        <v>398</v>
      </c>
      <c r="C42" s="405">
        <v>1</v>
      </c>
      <c r="D42" s="405" t="s">
        <v>352</v>
      </c>
      <c r="E42" s="405" t="s">
        <v>1156</v>
      </c>
      <c r="F42" s="405" t="s">
        <v>1153</v>
      </c>
      <c r="G42" s="106" t="s">
        <v>1091</v>
      </c>
      <c r="H42" s="103">
        <v>2</v>
      </c>
      <c r="I42" s="104">
        <v>2</v>
      </c>
      <c r="J42" s="104">
        <v>4</v>
      </c>
      <c r="K42" s="103">
        <v>0</v>
      </c>
      <c r="L42" s="406">
        <f t="shared" si="0"/>
        <v>4</v>
      </c>
      <c r="M42" s="406" t="s">
        <v>1085</v>
      </c>
      <c r="N42" s="406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67" t="s">
        <v>154</v>
      </c>
    </row>
    <row r="43" spans="1:25">
      <c r="A43" s="404" t="s">
        <v>1081</v>
      </c>
      <c r="B43" s="405" t="s">
        <v>398</v>
      </c>
      <c r="C43" s="405">
        <v>1</v>
      </c>
      <c r="D43" s="405" t="s">
        <v>352</v>
      </c>
      <c r="E43" s="405" t="s">
        <v>1156</v>
      </c>
      <c r="F43" s="405" t="s">
        <v>1153</v>
      </c>
      <c r="G43" s="106" t="s">
        <v>1091</v>
      </c>
      <c r="H43" s="103" t="s">
        <v>40</v>
      </c>
      <c r="I43" s="104">
        <v>1</v>
      </c>
      <c r="J43" s="104">
        <v>2</v>
      </c>
      <c r="K43" s="103">
        <v>0</v>
      </c>
      <c r="L43" s="406">
        <f t="shared" si="0"/>
        <v>2</v>
      </c>
      <c r="M43" s="406" t="s">
        <v>1085</v>
      </c>
      <c r="N43" s="406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67" t="s">
        <v>154</v>
      </c>
    </row>
    <row r="44" spans="1:25">
      <c r="A44" s="404" t="s">
        <v>1157</v>
      </c>
      <c r="B44" s="405" t="s">
        <v>398</v>
      </c>
      <c r="C44" s="405">
        <v>1</v>
      </c>
      <c r="D44" s="405" t="s">
        <v>415</v>
      </c>
      <c r="E44" s="405" t="s">
        <v>1154</v>
      </c>
      <c r="F44" s="405" t="s">
        <v>1155</v>
      </c>
      <c r="G44" s="106" t="s">
        <v>1091</v>
      </c>
      <c r="H44" s="103">
        <v>1</v>
      </c>
      <c r="I44" s="104">
        <v>1</v>
      </c>
      <c r="J44" s="104">
        <v>2</v>
      </c>
      <c r="K44" s="103">
        <v>0</v>
      </c>
      <c r="L44" s="406">
        <f t="shared" si="0"/>
        <v>2</v>
      </c>
      <c r="M44" s="406" t="s">
        <v>1085</v>
      </c>
      <c r="N44" s="406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67" t="s">
        <v>154</v>
      </c>
    </row>
    <row r="45" spans="1:25">
      <c r="A45" s="404" t="s">
        <v>1157</v>
      </c>
      <c r="B45" s="405" t="s">
        <v>398</v>
      </c>
      <c r="C45" s="405">
        <v>1</v>
      </c>
      <c r="D45" s="405" t="s">
        <v>415</v>
      </c>
      <c r="E45" s="405" t="s">
        <v>1156</v>
      </c>
      <c r="F45" s="405" t="s">
        <v>1153</v>
      </c>
      <c r="G45" s="106" t="s">
        <v>1091</v>
      </c>
      <c r="H45" s="103">
        <v>2</v>
      </c>
      <c r="I45" s="104">
        <v>2</v>
      </c>
      <c r="J45" s="104">
        <v>4</v>
      </c>
      <c r="K45" s="103">
        <v>0</v>
      </c>
      <c r="L45" s="406">
        <f t="shared" si="0"/>
        <v>4</v>
      </c>
      <c r="M45" s="406" t="s">
        <v>1085</v>
      </c>
      <c r="N45" s="406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67" t="s">
        <v>154</v>
      </c>
    </row>
    <row r="46" spans="1:25">
      <c r="A46" s="404" t="s">
        <v>1157</v>
      </c>
      <c r="B46" s="405" t="s">
        <v>398</v>
      </c>
      <c r="C46" s="405">
        <v>1</v>
      </c>
      <c r="D46" s="405" t="s">
        <v>415</v>
      </c>
      <c r="E46" s="405" t="s">
        <v>1156</v>
      </c>
      <c r="F46" s="405" t="s">
        <v>1158</v>
      </c>
      <c r="G46" s="106" t="s">
        <v>1091</v>
      </c>
      <c r="H46" s="103" t="s">
        <v>40</v>
      </c>
      <c r="I46" s="104">
        <v>1</v>
      </c>
      <c r="J46" s="104">
        <v>2</v>
      </c>
      <c r="K46" s="103">
        <v>1</v>
      </c>
      <c r="L46" s="406">
        <f t="shared" si="0"/>
        <v>1</v>
      </c>
      <c r="M46" s="406" t="s">
        <v>1085</v>
      </c>
      <c r="N46" s="406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67" t="s">
        <v>154</v>
      </c>
    </row>
    <row r="47" spans="1:25">
      <c r="A47" s="404" t="s">
        <v>1157</v>
      </c>
      <c r="B47" s="405" t="s">
        <v>398</v>
      </c>
      <c r="C47" s="405">
        <v>2</v>
      </c>
      <c r="D47" s="405" t="s">
        <v>426</v>
      </c>
      <c r="E47" s="405" t="s">
        <v>1159</v>
      </c>
      <c r="F47" s="405" t="s">
        <v>1084</v>
      </c>
      <c r="G47" s="405" t="s">
        <v>149</v>
      </c>
      <c r="H47" s="103">
        <v>1</v>
      </c>
      <c r="I47" s="104">
        <v>1</v>
      </c>
      <c r="J47" s="104">
        <v>2</v>
      </c>
      <c r="K47" s="103">
        <v>1</v>
      </c>
      <c r="L47" s="406">
        <f t="shared" si="0"/>
        <v>1</v>
      </c>
      <c r="M47" s="406" t="s">
        <v>1098</v>
      </c>
      <c r="N47" s="406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67" t="s">
        <v>154</v>
      </c>
    </row>
    <row r="48" spans="1:25">
      <c r="A48" s="404" t="s">
        <v>1157</v>
      </c>
      <c r="B48" s="405" t="s">
        <v>398</v>
      </c>
      <c r="C48" s="405">
        <v>3</v>
      </c>
      <c r="D48" s="405" t="s">
        <v>428</v>
      </c>
      <c r="E48" s="405" t="s">
        <v>1159</v>
      </c>
      <c r="F48" s="405" t="s">
        <v>1084</v>
      </c>
      <c r="G48" s="405" t="s">
        <v>149</v>
      </c>
      <c r="H48" s="103">
        <v>6</v>
      </c>
      <c r="I48" s="104">
        <v>4</v>
      </c>
      <c r="J48" s="104">
        <v>8</v>
      </c>
      <c r="K48" s="103">
        <v>6</v>
      </c>
      <c r="L48" s="406">
        <f t="shared" si="0"/>
        <v>2</v>
      </c>
      <c r="M48" s="406" t="s">
        <v>1085</v>
      </c>
      <c r="N48" s="406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67" t="s">
        <v>154</v>
      </c>
    </row>
    <row r="49" spans="1:25">
      <c r="A49" s="404" t="s">
        <v>1160</v>
      </c>
      <c r="B49" s="405" t="s">
        <v>398</v>
      </c>
      <c r="C49" s="405" t="s">
        <v>940</v>
      </c>
      <c r="D49" s="405" t="s">
        <v>406</v>
      </c>
      <c r="E49" s="405" t="s">
        <v>1152</v>
      </c>
      <c r="F49" s="405" t="s">
        <v>1153</v>
      </c>
      <c r="G49" s="106" t="s">
        <v>1091</v>
      </c>
      <c r="H49" s="103">
        <v>1</v>
      </c>
      <c r="I49" s="104">
        <v>1</v>
      </c>
      <c r="J49" s="104">
        <v>2</v>
      </c>
      <c r="K49" s="103">
        <v>1</v>
      </c>
      <c r="L49" s="406">
        <f t="shared" si="0"/>
        <v>1</v>
      </c>
      <c r="M49" s="406" t="s">
        <v>1085</v>
      </c>
      <c r="N49" s="406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67" t="s">
        <v>154</v>
      </c>
    </row>
    <row r="50" spans="1:25">
      <c r="A50" s="404" t="s">
        <v>1157</v>
      </c>
      <c r="B50" s="405" t="s">
        <v>695</v>
      </c>
      <c r="C50" s="405">
        <v>1</v>
      </c>
      <c r="D50" s="405" t="s">
        <v>701</v>
      </c>
      <c r="E50" s="405" t="s">
        <v>1152</v>
      </c>
      <c r="F50" s="405" t="s">
        <v>1153</v>
      </c>
      <c r="G50" s="106" t="s">
        <v>1091</v>
      </c>
      <c r="H50" s="103">
        <v>1</v>
      </c>
      <c r="I50" s="104">
        <v>1</v>
      </c>
      <c r="J50" s="104">
        <v>2</v>
      </c>
      <c r="K50" s="103">
        <v>0</v>
      </c>
      <c r="L50" s="406">
        <f t="shared" si="0"/>
        <v>2</v>
      </c>
      <c r="M50" s="406" t="s">
        <v>1085</v>
      </c>
      <c r="N50" s="406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67" t="s">
        <v>154</v>
      </c>
    </row>
    <row r="51" spans="1:25">
      <c r="A51" s="404" t="s">
        <v>1157</v>
      </c>
      <c r="B51" s="405" t="s">
        <v>1161</v>
      </c>
      <c r="C51" s="405">
        <v>1</v>
      </c>
      <c r="D51" s="405" t="s">
        <v>1161</v>
      </c>
      <c r="E51" s="405" t="s">
        <v>1162</v>
      </c>
      <c r="F51" s="405" t="s">
        <v>1084</v>
      </c>
      <c r="G51" s="405" t="s">
        <v>149</v>
      </c>
      <c r="H51" s="103">
        <v>1</v>
      </c>
      <c r="I51" s="104">
        <v>2</v>
      </c>
      <c r="J51" s="104">
        <v>4</v>
      </c>
      <c r="K51" s="103">
        <v>1</v>
      </c>
      <c r="L51" s="406">
        <f t="shared" si="0"/>
        <v>3</v>
      </c>
      <c r="M51" s="406" t="s">
        <v>1098</v>
      </c>
      <c r="N51" s="406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67" t="s">
        <v>154</v>
      </c>
    </row>
    <row r="52" spans="1:25">
      <c r="A52" s="404" t="s">
        <v>1081</v>
      </c>
      <c r="B52" s="405" t="s">
        <v>1163</v>
      </c>
      <c r="C52" s="405">
        <v>1</v>
      </c>
      <c r="D52" s="405" t="s">
        <v>1163</v>
      </c>
      <c r="E52" s="405" t="s">
        <v>1162</v>
      </c>
      <c r="F52" s="405" t="s">
        <v>1084</v>
      </c>
      <c r="G52" s="405" t="s">
        <v>149</v>
      </c>
      <c r="H52" s="103">
        <v>1</v>
      </c>
      <c r="I52" s="104">
        <v>2</v>
      </c>
      <c r="J52" s="104">
        <v>4</v>
      </c>
      <c r="K52" s="103">
        <v>2</v>
      </c>
      <c r="L52" s="406">
        <f t="shared" si="0"/>
        <v>2</v>
      </c>
      <c r="M52" s="406" t="s">
        <v>1098</v>
      </c>
      <c r="N52" s="406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67" t="s">
        <v>154</v>
      </c>
    </row>
    <row r="53" spans="1:25">
      <c r="A53" s="404" t="s">
        <v>1081</v>
      </c>
      <c r="B53" s="405" t="s">
        <v>1164</v>
      </c>
      <c r="C53" s="405">
        <v>1</v>
      </c>
      <c r="D53" s="405" t="s">
        <v>1164</v>
      </c>
      <c r="E53" s="405" t="s">
        <v>1162</v>
      </c>
      <c r="F53" s="405" t="s">
        <v>1084</v>
      </c>
      <c r="G53" s="405" t="s">
        <v>149</v>
      </c>
      <c r="H53" s="103">
        <v>1</v>
      </c>
      <c r="I53" s="104">
        <v>2</v>
      </c>
      <c r="J53" s="104">
        <v>4</v>
      </c>
      <c r="K53" s="103">
        <v>1</v>
      </c>
      <c r="L53" s="406">
        <f t="shared" si="0"/>
        <v>3</v>
      </c>
      <c r="M53" s="406" t="s">
        <v>1098</v>
      </c>
      <c r="N53" s="406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67" t="s">
        <v>154</v>
      </c>
    </row>
    <row r="54" spans="1:25">
      <c r="A54" s="404" t="s">
        <v>1129</v>
      </c>
      <c r="B54" s="405" t="s">
        <v>1165</v>
      </c>
      <c r="C54" s="405">
        <v>1</v>
      </c>
      <c r="D54" s="405" t="s">
        <v>1165</v>
      </c>
      <c r="E54" s="405" t="s">
        <v>1166</v>
      </c>
      <c r="F54" s="405" t="s">
        <v>1084</v>
      </c>
      <c r="G54" s="405" t="s">
        <v>149</v>
      </c>
      <c r="H54" s="103">
        <v>2</v>
      </c>
      <c r="I54" s="104">
        <v>2</v>
      </c>
      <c r="J54" s="104">
        <v>4</v>
      </c>
      <c r="K54" s="103">
        <v>2</v>
      </c>
      <c r="L54" s="406">
        <f t="shared" si="0"/>
        <v>2</v>
      </c>
      <c r="M54" s="406" t="s">
        <v>1085</v>
      </c>
      <c r="N54" s="406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67" t="s">
        <v>154</v>
      </c>
    </row>
    <row r="55" spans="1:25">
      <c r="A55" s="404" t="s">
        <v>1129</v>
      </c>
      <c r="B55" s="405" t="s">
        <v>1165</v>
      </c>
      <c r="C55" s="405">
        <v>1</v>
      </c>
      <c r="D55" s="405" t="s">
        <v>1165</v>
      </c>
      <c r="E55" s="405" t="s">
        <v>1166</v>
      </c>
      <c r="F55" s="405" t="s">
        <v>1153</v>
      </c>
      <c r="G55" s="106" t="s">
        <v>1091</v>
      </c>
      <c r="H55" s="103">
        <v>2</v>
      </c>
      <c r="I55" s="104">
        <v>2</v>
      </c>
      <c r="J55" s="104">
        <v>4</v>
      </c>
      <c r="K55" s="103">
        <v>2</v>
      </c>
      <c r="L55" s="406">
        <f t="shared" si="0"/>
        <v>2</v>
      </c>
      <c r="M55" s="406" t="s">
        <v>1085</v>
      </c>
      <c r="N55" s="406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67" t="s">
        <v>154</v>
      </c>
    </row>
    <row r="56" spans="1:25">
      <c r="A56" s="404" t="s">
        <v>1129</v>
      </c>
      <c r="B56" s="405" t="s">
        <v>1167</v>
      </c>
      <c r="C56" s="405">
        <v>1</v>
      </c>
      <c r="D56" s="405" t="s">
        <v>574</v>
      </c>
      <c r="E56" s="405" t="s">
        <v>1088</v>
      </c>
      <c r="F56" s="405" t="s">
        <v>1084</v>
      </c>
      <c r="G56" s="405" t="s">
        <v>149</v>
      </c>
      <c r="H56" s="103">
        <v>2</v>
      </c>
      <c r="I56" s="104">
        <v>2</v>
      </c>
      <c r="J56" s="104">
        <v>4</v>
      </c>
      <c r="K56" s="103">
        <v>2</v>
      </c>
      <c r="L56" s="406">
        <f t="shared" si="0"/>
        <v>2</v>
      </c>
      <c r="M56" s="406" t="s">
        <v>1098</v>
      </c>
      <c r="N56" s="406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67" t="s">
        <v>154</v>
      </c>
    </row>
    <row r="57" spans="1:25">
      <c r="A57" s="404" t="s">
        <v>1129</v>
      </c>
      <c r="B57" s="405" t="s">
        <v>1167</v>
      </c>
      <c r="C57" s="405">
        <v>1</v>
      </c>
      <c r="D57" s="405" t="s">
        <v>575</v>
      </c>
      <c r="E57" s="405" t="s">
        <v>1088</v>
      </c>
      <c r="F57" s="405" t="s">
        <v>1084</v>
      </c>
      <c r="G57" s="405" t="s">
        <v>149</v>
      </c>
      <c r="H57" s="103">
        <v>2</v>
      </c>
      <c r="I57" s="104">
        <v>2</v>
      </c>
      <c r="J57" s="104">
        <v>4</v>
      </c>
      <c r="K57" s="103">
        <v>2</v>
      </c>
      <c r="L57" s="406">
        <f t="shared" si="0"/>
        <v>2</v>
      </c>
      <c r="M57" s="406" t="s">
        <v>1098</v>
      </c>
      <c r="N57" s="406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67" t="s">
        <v>154</v>
      </c>
    </row>
    <row r="58" spans="1:25">
      <c r="A58" s="404" t="s">
        <v>1129</v>
      </c>
      <c r="B58" s="405" t="s">
        <v>1168</v>
      </c>
      <c r="C58" s="405">
        <v>1</v>
      </c>
      <c r="D58" s="405" t="s">
        <v>1169</v>
      </c>
      <c r="E58" s="405" t="s">
        <v>1088</v>
      </c>
      <c r="F58" s="405" t="s">
        <v>1084</v>
      </c>
      <c r="G58" s="405" t="s">
        <v>149</v>
      </c>
      <c r="H58" s="103">
        <v>2</v>
      </c>
      <c r="I58" s="104">
        <v>2</v>
      </c>
      <c r="J58" s="104">
        <v>4</v>
      </c>
      <c r="K58" s="103">
        <v>2</v>
      </c>
      <c r="L58" s="406">
        <f t="shared" si="0"/>
        <v>2</v>
      </c>
      <c r="M58" s="406" t="s">
        <v>1085</v>
      </c>
      <c r="N58" s="406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67" t="s">
        <v>154</v>
      </c>
    </row>
    <row r="59" spans="1:25" ht="36">
      <c r="A59" s="404" t="s">
        <v>1160</v>
      </c>
      <c r="B59" s="405" t="s">
        <v>1170</v>
      </c>
      <c r="C59" s="405">
        <v>1</v>
      </c>
      <c r="D59" s="405" t="s">
        <v>689</v>
      </c>
      <c r="E59" s="405" t="s">
        <v>1159</v>
      </c>
      <c r="F59" s="405" t="s">
        <v>1084</v>
      </c>
      <c r="G59" s="405" t="s">
        <v>149</v>
      </c>
      <c r="H59" s="103" t="s">
        <v>40</v>
      </c>
      <c r="I59" s="104">
        <v>33</v>
      </c>
      <c r="J59" s="104">
        <v>66</v>
      </c>
      <c r="K59" s="103">
        <v>18</v>
      </c>
      <c r="L59" s="406">
        <f t="shared" si="0"/>
        <v>48</v>
      </c>
      <c r="M59" s="406" t="s">
        <v>1085</v>
      </c>
      <c r="N59" s="406" t="s">
        <v>1171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67" t="s">
        <v>154</v>
      </c>
    </row>
    <row r="60" spans="1:25">
      <c r="A60" s="404" t="s">
        <v>1160</v>
      </c>
      <c r="B60" s="405" t="s">
        <v>1170</v>
      </c>
      <c r="C60" s="405">
        <v>1</v>
      </c>
      <c r="D60" s="405" t="s">
        <v>1172</v>
      </c>
      <c r="E60" s="405" t="s">
        <v>1173</v>
      </c>
      <c r="F60" s="405" t="s">
        <v>1084</v>
      </c>
      <c r="G60" s="405" t="s">
        <v>149</v>
      </c>
      <c r="H60" s="103">
        <v>1</v>
      </c>
      <c r="I60" s="104">
        <v>2</v>
      </c>
      <c r="J60" s="104">
        <v>4</v>
      </c>
      <c r="K60" s="103">
        <v>3</v>
      </c>
      <c r="L60" s="406">
        <f t="shared" si="0"/>
        <v>1</v>
      </c>
      <c r="M60" s="406" t="s">
        <v>1098</v>
      </c>
      <c r="N60" s="406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67" t="s">
        <v>154</v>
      </c>
    </row>
    <row r="61" spans="1:25" ht="36">
      <c r="A61" s="404" t="s">
        <v>1160</v>
      </c>
      <c r="B61" s="405" t="s">
        <v>1174</v>
      </c>
      <c r="C61" s="405">
        <v>1</v>
      </c>
      <c r="D61" s="405" t="s">
        <v>685</v>
      </c>
      <c r="E61" s="405" t="s">
        <v>1159</v>
      </c>
      <c r="F61" s="405" t="s">
        <v>1084</v>
      </c>
      <c r="G61" s="405" t="s">
        <v>149</v>
      </c>
      <c r="H61" s="103" t="s">
        <v>40</v>
      </c>
      <c r="I61" s="104">
        <v>34</v>
      </c>
      <c r="J61" s="104">
        <v>68</v>
      </c>
      <c r="K61" s="103">
        <v>11</v>
      </c>
      <c r="L61" s="406">
        <f t="shared" si="0"/>
        <v>57</v>
      </c>
      <c r="M61" s="406" t="s">
        <v>1085</v>
      </c>
      <c r="N61" s="406" t="s">
        <v>1175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67" t="s">
        <v>154</v>
      </c>
    </row>
    <row r="62" spans="1:25">
      <c r="A62" s="404" t="s">
        <v>1157</v>
      </c>
      <c r="B62" s="405" t="s">
        <v>1176</v>
      </c>
      <c r="C62" s="405">
        <v>1</v>
      </c>
      <c r="D62" s="405" t="s">
        <v>1177</v>
      </c>
      <c r="E62" s="405" t="s">
        <v>1088</v>
      </c>
      <c r="F62" s="405" t="s">
        <v>1084</v>
      </c>
      <c r="G62" s="405" t="s">
        <v>149</v>
      </c>
      <c r="H62" s="103">
        <v>1</v>
      </c>
      <c r="I62" s="104">
        <v>1</v>
      </c>
      <c r="J62" s="104">
        <v>2</v>
      </c>
      <c r="K62" s="103">
        <v>1</v>
      </c>
      <c r="L62" s="406">
        <f t="shared" si="0"/>
        <v>1</v>
      </c>
      <c r="M62" s="406" t="s">
        <v>1098</v>
      </c>
      <c r="N62" s="406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67" t="s">
        <v>154</v>
      </c>
    </row>
    <row r="63" spans="1:25">
      <c r="A63" s="404" t="s">
        <v>1160</v>
      </c>
      <c r="B63" s="405" t="s">
        <v>1178</v>
      </c>
      <c r="C63" s="405">
        <v>1</v>
      </c>
      <c r="D63" s="405" t="s">
        <v>645</v>
      </c>
      <c r="E63" s="405" t="s">
        <v>1159</v>
      </c>
      <c r="F63" s="405" t="s">
        <v>1084</v>
      </c>
      <c r="G63" s="405" t="s">
        <v>149</v>
      </c>
      <c r="H63" s="103">
        <v>8</v>
      </c>
      <c r="I63" s="104">
        <v>7</v>
      </c>
      <c r="J63" s="104">
        <v>14</v>
      </c>
      <c r="K63" s="103">
        <v>12</v>
      </c>
      <c r="L63" s="406">
        <f t="shared" si="0"/>
        <v>2</v>
      </c>
      <c r="M63" s="406" t="s">
        <v>1085</v>
      </c>
      <c r="N63" s="406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67" t="s">
        <v>154</v>
      </c>
    </row>
    <row r="64" spans="1:25">
      <c r="A64" s="404" t="s">
        <v>1160</v>
      </c>
      <c r="B64" s="405" t="s">
        <v>1178</v>
      </c>
      <c r="C64" s="405">
        <v>3</v>
      </c>
      <c r="D64" s="405" t="s">
        <v>668</v>
      </c>
      <c r="E64" s="405" t="s">
        <v>1152</v>
      </c>
      <c r="F64" s="405" t="s">
        <v>1084</v>
      </c>
      <c r="G64" s="405" t="s">
        <v>149</v>
      </c>
      <c r="H64" s="103">
        <v>3</v>
      </c>
      <c r="I64" s="104">
        <v>2</v>
      </c>
      <c r="J64" s="104">
        <v>4</v>
      </c>
      <c r="K64" s="103">
        <v>3</v>
      </c>
      <c r="L64" s="406">
        <f t="shared" si="0"/>
        <v>1</v>
      </c>
      <c r="M64" s="406" t="s">
        <v>1085</v>
      </c>
      <c r="N64" s="406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67" t="s">
        <v>154</v>
      </c>
    </row>
    <row r="65" spans="1:25">
      <c r="A65" s="404" t="s">
        <v>1160</v>
      </c>
      <c r="B65" s="405" t="s">
        <v>1178</v>
      </c>
      <c r="C65" s="405">
        <v>3</v>
      </c>
      <c r="D65" s="405" t="s">
        <v>669</v>
      </c>
      <c r="E65" s="405" t="s">
        <v>1152</v>
      </c>
      <c r="F65" s="405" t="s">
        <v>1084</v>
      </c>
      <c r="G65" s="405" t="s">
        <v>149</v>
      </c>
      <c r="H65" s="103">
        <v>3</v>
      </c>
      <c r="I65" s="104">
        <v>2</v>
      </c>
      <c r="J65" s="104">
        <v>4</v>
      </c>
      <c r="K65" s="103">
        <v>3</v>
      </c>
      <c r="L65" s="406">
        <f t="shared" si="0"/>
        <v>1</v>
      </c>
      <c r="M65" s="406" t="s">
        <v>1085</v>
      </c>
      <c r="N65" s="406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67" t="s">
        <v>154</v>
      </c>
    </row>
    <row r="66" spans="1:25">
      <c r="A66" s="404" t="s">
        <v>1160</v>
      </c>
      <c r="B66" s="405" t="s">
        <v>1178</v>
      </c>
      <c r="C66" s="405">
        <v>4</v>
      </c>
      <c r="D66" s="405" t="s">
        <v>1179</v>
      </c>
      <c r="E66" s="405" t="s">
        <v>1152</v>
      </c>
      <c r="F66" s="405" t="s">
        <v>1084</v>
      </c>
      <c r="G66" s="405" t="s">
        <v>149</v>
      </c>
      <c r="H66" s="103">
        <v>3</v>
      </c>
      <c r="I66" s="104">
        <v>2</v>
      </c>
      <c r="J66" s="104">
        <v>4</v>
      </c>
      <c r="K66" s="103">
        <v>3</v>
      </c>
      <c r="L66" s="406">
        <f t="shared" si="0"/>
        <v>1</v>
      </c>
      <c r="M66" s="406" t="s">
        <v>1085</v>
      </c>
      <c r="N66" s="406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67" t="s">
        <v>154</v>
      </c>
    </row>
    <row r="67" spans="1:25">
      <c r="A67" s="404" t="s">
        <v>1160</v>
      </c>
      <c r="B67" s="405" t="s">
        <v>1178</v>
      </c>
      <c r="C67" s="405">
        <v>4</v>
      </c>
      <c r="D67" s="405" t="s">
        <v>1180</v>
      </c>
      <c r="E67" s="405" t="s">
        <v>1152</v>
      </c>
      <c r="F67" s="405" t="s">
        <v>1084</v>
      </c>
      <c r="G67" s="405" t="s">
        <v>149</v>
      </c>
      <c r="H67" s="103">
        <v>3</v>
      </c>
      <c r="I67" s="104">
        <v>3</v>
      </c>
      <c r="J67" s="104">
        <v>6</v>
      </c>
      <c r="K67" s="103">
        <v>5</v>
      </c>
      <c r="L67" s="406">
        <f t="shared" ref="L67:L97" si="1">J67-K67</f>
        <v>1</v>
      </c>
      <c r="M67" s="406" t="s">
        <v>1085</v>
      </c>
      <c r="N67" s="406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67" t="s">
        <v>154</v>
      </c>
    </row>
    <row r="68" spans="1:25">
      <c r="A68" s="404" t="s">
        <v>1160</v>
      </c>
      <c r="B68" s="405" t="s">
        <v>1178</v>
      </c>
      <c r="C68" s="405">
        <v>4</v>
      </c>
      <c r="D68" s="405" t="s">
        <v>1180</v>
      </c>
      <c r="E68" s="405" t="s">
        <v>1159</v>
      </c>
      <c r="F68" s="405" t="s">
        <v>1084</v>
      </c>
      <c r="G68" s="405" t="s">
        <v>149</v>
      </c>
      <c r="H68" s="103">
        <v>4</v>
      </c>
      <c r="I68" s="104">
        <v>3</v>
      </c>
      <c r="J68" s="104">
        <v>6</v>
      </c>
      <c r="K68" s="103">
        <v>5</v>
      </c>
      <c r="L68" s="406">
        <f t="shared" si="1"/>
        <v>1</v>
      </c>
      <c r="M68" s="406" t="s">
        <v>1085</v>
      </c>
      <c r="N68" s="406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67" t="s">
        <v>154</v>
      </c>
    </row>
    <row r="69" spans="1:25">
      <c r="A69" s="404" t="s">
        <v>1160</v>
      </c>
      <c r="B69" s="405" t="s">
        <v>1178</v>
      </c>
      <c r="C69" s="405">
        <v>4</v>
      </c>
      <c r="D69" s="405" t="s">
        <v>1181</v>
      </c>
      <c r="E69" s="405" t="s">
        <v>1152</v>
      </c>
      <c r="F69" s="405" t="s">
        <v>1084</v>
      </c>
      <c r="G69" s="405" t="s">
        <v>149</v>
      </c>
      <c r="H69" s="103">
        <v>3</v>
      </c>
      <c r="I69" s="104">
        <v>3</v>
      </c>
      <c r="J69" s="104">
        <v>6</v>
      </c>
      <c r="K69" s="103">
        <v>5</v>
      </c>
      <c r="L69" s="406">
        <f t="shared" si="1"/>
        <v>1</v>
      </c>
      <c r="M69" s="406" t="s">
        <v>1085</v>
      </c>
      <c r="N69" s="406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67" t="s">
        <v>154</v>
      </c>
    </row>
    <row r="70" spans="1:25">
      <c r="A70" s="404" t="s">
        <v>1160</v>
      </c>
      <c r="B70" s="405" t="s">
        <v>1178</v>
      </c>
      <c r="C70" s="405">
        <v>4</v>
      </c>
      <c r="D70" s="405" t="s">
        <v>1182</v>
      </c>
      <c r="E70" s="405" t="s">
        <v>1159</v>
      </c>
      <c r="F70" s="405" t="s">
        <v>1084</v>
      </c>
      <c r="G70" s="405" t="s">
        <v>149</v>
      </c>
      <c r="H70" s="103">
        <v>3</v>
      </c>
      <c r="I70" s="104">
        <v>3</v>
      </c>
      <c r="J70" s="104">
        <v>6</v>
      </c>
      <c r="K70" s="103">
        <v>4</v>
      </c>
      <c r="L70" s="406">
        <f t="shared" si="1"/>
        <v>2</v>
      </c>
      <c r="M70" s="406" t="s">
        <v>1085</v>
      </c>
      <c r="N70" s="406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67" t="s">
        <v>154</v>
      </c>
    </row>
    <row r="71" spans="1:25">
      <c r="A71" s="404" t="s">
        <v>1160</v>
      </c>
      <c r="B71" s="405" t="s">
        <v>1178</v>
      </c>
      <c r="C71" s="405">
        <v>4</v>
      </c>
      <c r="D71" s="405" t="s">
        <v>1183</v>
      </c>
      <c r="E71" s="405" t="s">
        <v>1159</v>
      </c>
      <c r="F71" s="405" t="s">
        <v>1084</v>
      </c>
      <c r="G71" s="405" t="s">
        <v>149</v>
      </c>
      <c r="H71" s="103">
        <v>4</v>
      </c>
      <c r="I71" s="104">
        <v>3</v>
      </c>
      <c r="J71" s="104">
        <v>6</v>
      </c>
      <c r="K71" s="103">
        <v>4</v>
      </c>
      <c r="L71" s="406">
        <f t="shared" si="1"/>
        <v>2</v>
      </c>
      <c r="M71" s="406" t="s">
        <v>1085</v>
      </c>
      <c r="N71" s="406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67" t="s">
        <v>154</v>
      </c>
    </row>
    <row r="72" spans="1:25">
      <c r="A72" s="404" t="s">
        <v>1160</v>
      </c>
      <c r="B72" s="405" t="s">
        <v>1178</v>
      </c>
      <c r="C72" s="405">
        <v>4</v>
      </c>
      <c r="D72" s="405" t="s">
        <v>1184</v>
      </c>
      <c r="E72" s="405" t="s">
        <v>1152</v>
      </c>
      <c r="F72" s="405" t="s">
        <v>1084</v>
      </c>
      <c r="G72" s="405" t="s">
        <v>149</v>
      </c>
      <c r="H72" s="103">
        <v>3</v>
      </c>
      <c r="I72" s="104">
        <v>3</v>
      </c>
      <c r="J72" s="104">
        <v>6</v>
      </c>
      <c r="K72" s="103">
        <v>5</v>
      </c>
      <c r="L72" s="406">
        <f t="shared" si="1"/>
        <v>1</v>
      </c>
      <c r="M72" s="406" t="s">
        <v>1085</v>
      </c>
      <c r="N72" s="406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67" t="s">
        <v>154</v>
      </c>
    </row>
    <row r="73" spans="1:25">
      <c r="A73" s="404" t="s">
        <v>1160</v>
      </c>
      <c r="B73" s="405" t="s">
        <v>1178</v>
      </c>
      <c r="C73" s="405">
        <v>4</v>
      </c>
      <c r="D73" s="405" t="s">
        <v>673</v>
      </c>
      <c r="E73" s="405" t="s">
        <v>1159</v>
      </c>
      <c r="F73" s="405" t="s">
        <v>1084</v>
      </c>
      <c r="G73" s="405" t="s">
        <v>149</v>
      </c>
      <c r="H73" s="103">
        <v>2</v>
      </c>
      <c r="I73" s="104">
        <v>2</v>
      </c>
      <c r="J73" s="104">
        <v>4</v>
      </c>
      <c r="K73" s="103">
        <v>2</v>
      </c>
      <c r="L73" s="406">
        <f t="shared" si="1"/>
        <v>2</v>
      </c>
      <c r="M73" s="406" t="s">
        <v>1085</v>
      </c>
      <c r="N73" s="406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67" t="s">
        <v>154</v>
      </c>
    </row>
    <row r="74" spans="1:25">
      <c r="A74" s="404" t="s">
        <v>1160</v>
      </c>
      <c r="B74" s="405" t="s">
        <v>1178</v>
      </c>
      <c r="C74" s="405">
        <v>4</v>
      </c>
      <c r="D74" s="405" t="s">
        <v>673</v>
      </c>
      <c r="E74" s="405" t="s">
        <v>1159</v>
      </c>
      <c r="F74" s="405" t="s">
        <v>1153</v>
      </c>
      <c r="G74" s="106" t="s">
        <v>1091</v>
      </c>
      <c r="H74" s="103">
        <v>1</v>
      </c>
      <c r="I74" s="104">
        <v>1</v>
      </c>
      <c r="J74" s="104">
        <v>2</v>
      </c>
      <c r="K74" s="103">
        <v>0</v>
      </c>
      <c r="L74" s="406">
        <f t="shared" si="1"/>
        <v>2</v>
      </c>
      <c r="M74" s="406" t="s">
        <v>1085</v>
      </c>
      <c r="N74" s="406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67" t="s">
        <v>154</v>
      </c>
    </row>
    <row r="75" spans="1:25" ht="36">
      <c r="A75" s="404" t="s">
        <v>1160</v>
      </c>
      <c r="B75" s="405" t="s">
        <v>1178</v>
      </c>
      <c r="C75" s="405">
        <v>4</v>
      </c>
      <c r="D75" s="405" t="s">
        <v>674</v>
      </c>
      <c r="E75" s="405" t="s">
        <v>1185</v>
      </c>
      <c r="F75" s="405" t="s">
        <v>1084</v>
      </c>
      <c r="G75" s="405" t="s">
        <v>149</v>
      </c>
      <c r="H75" s="103">
        <v>1</v>
      </c>
      <c r="I75" s="104">
        <v>2</v>
      </c>
      <c r="J75" s="104">
        <v>4</v>
      </c>
      <c r="K75" s="103">
        <v>1</v>
      </c>
      <c r="L75" s="406">
        <f t="shared" si="1"/>
        <v>3</v>
      </c>
      <c r="M75" s="406" t="s">
        <v>1098</v>
      </c>
      <c r="N75" s="406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67" t="s">
        <v>154</v>
      </c>
    </row>
    <row r="76" spans="1:25">
      <c r="A76" s="404" t="s">
        <v>1160</v>
      </c>
      <c r="B76" s="405" t="s">
        <v>1178</v>
      </c>
      <c r="C76" s="405">
        <v>4</v>
      </c>
      <c r="D76" s="405" t="s">
        <v>676</v>
      </c>
      <c r="E76" s="405" t="s">
        <v>1152</v>
      </c>
      <c r="F76" s="405" t="s">
        <v>1153</v>
      </c>
      <c r="G76" s="106" t="s">
        <v>1091</v>
      </c>
      <c r="H76" s="103">
        <v>2</v>
      </c>
      <c r="I76" s="104">
        <v>2</v>
      </c>
      <c r="J76" s="104">
        <v>4</v>
      </c>
      <c r="K76" s="103">
        <v>0</v>
      </c>
      <c r="L76" s="406">
        <f t="shared" si="1"/>
        <v>4</v>
      </c>
      <c r="M76" s="406" t="s">
        <v>1085</v>
      </c>
      <c r="N76" s="406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67" t="s">
        <v>154</v>
      </c>
    </row>
    <row r="77" spans="1:25">
      <c r="A77" s="404" t="s">
        <v>1160</v>
      </c>
      <c r="B77" s="405" t="s">
        <v>1178</v>
      </c>
      <c r="C77" s="405">
        <v>4</v>
      </c>
      <c r="D77" s="405" t="s">
        <v>677</v>
      </c>
      <c r="E77" s="405" t="s">
        <v>1088</v>
      </c>
      <c r="F77" s="405" t="s">
        <v>1084</v>
      </c>
      <c r="G77" s="405" t="s">
        <v>149</v>
      </c>
      <c r="H77" s="103">
        <v>1</v>
      </c>
      <c r="I77" s="104">
        <v>2</v>
      </c>
      <c r="J77" s="104">
        <v>4</v>
      </c>
      <c r="K77" s="103">
        <v>1</v>
      </c>
      <c r="L77" s="406">
        <f t="shared" si="1"/>
        <v>3</v>
      </c>
      <c r="M77" s="406" t="s">
        <v>1098</v>
      </c>
      <c r="N77" s="406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67" t="s">
        <v>154</v>
      </c>
    </row>
    <row r="78" spans="1:25">
      <c r="A78" s="404" t="s">
        <v>1160</v>
      </c>
      <c r="B78" s="405" t="s">
        <v>1178</v>
      </c>
      <c r="C78" s="405" t="s">
        <v>1186</v>
      </c>
      <c r="D78" s="405" t="s">
        <v>650</v>
      </c>
      <c r="E78" s="405" t="s">
        <v>1088</v>
      </c>
      <c r="F78" s="405" t="s">
        <v>1084</v>
      </c>
      <c r="G78" s="405" t="s">
        <v>149</v>
      </c>
      <c r="H78" s="103">
        <v>1</v>
      </c>
      <c r="I78" s="104">
        <v>2</v>
      </c>
      <c r="J78" s="104">
        <v>4</v>
      </c>
      <c r="K78" s="103">
        <v>1</v>
      </c>
      <c r="L78" s="406">
        <f t="shared" si="1"/>
        <v>3</v>
      </c>
      <c r="M78" s="406" t="s">
        <v>1085</v>
      </c>
      <c r="N78" s="406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67" t="s">
        <v>154</v>
      </c>
    </row>
    <row r="79" spans="1:25">
      <c r="A79" s="404" t="s">
        <v>1160</v>
      </c>
      <c r="B79" s="405" t="s">
        <v>1178</v>
      </c>
      <c r="C79" s="405" t="s">
        <v>940</v>
      </c>
      <c r="D79" s="405" t="s">
        <v>626</v>
      </c>
      <c r="E79" s="405" t="s">
        <v>1154</v>
      </c>
      <c r="F79" s="405" t="s">
        <v>1155</v>
      </c>
      <c r="G79" s="106" t="s">
        <v>1091</v>
      </c>
      <c r="H79" s="103">
        <v>1</v>
      </c>
      <c r="I79" s="104">
        <v>1</v>
      </c>
      <c r="J79" s="104">
        <v>2</v>
      </c>
      <c r="K79" s="103">
        <v>0</v>
      </c>
      <c r="L79" s="406">
        <f t="shared" si="1"/>
        <v>2</v>
      </c>
      <c r="M79" s="406" t="s">
        <v>1085</v>
      </c>
      <c r="N79" s="406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67" t="s">
        <v>154</v>
      </c>
    </row>
    <row r="80" spans="1:25">
      <c r="A80" s="404" t="s">
        <v>1160</v>
      </c>
      <c r="B80" s="405" t="s">
        <v>1178</v>
      </c>
      <c r="C80" s="405" t="s">
        <v>940</v>
      </c>
      <c r="D80" s="405" t="s">
        <v>640</v>
      </c>
      <c r="E80" s="405" t="s">
        <v>1152</v>
      </c>
      <c r="F80" s="405" t="s">
        <v>1153</v>
      </c>
      <c r="G80" s="106" t="s">
        <v>1091</v>
      </c>
      <c r="H80" s="103">
        <v>1</v>
      </c>
      <c r="I80" s="104">
        <v>1</v>
      </c>
      <c r="J80" s="104">
        <v>2</v>
      </c>
      <c r="K80" s="103">
        <v>1</v>
      </c>
      <c r="L80" s="406">
        <f t="shared" si="1"/>
        <v>1</v>
      </c>
      <c r="M80" s="406" t="s">
        <v>1085</v>
      </c>
      <c r="N80" s="406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67" t="s">
        <v>154</v>
      </c>
    </row>
    <row r="81" spans="1:25">
      <c r="A81" s="404" t="s">
        <v>1160</v>
      </c>
      <c r="B81" s="405" t="s">
        <v>1178</v>
      </c>
      <c r="C81" s="405" t="s">
        <v>940</v>
      </c>
      <c r="D81" s="405" t="s">
        <v>641</v>
      </c>
      <c r="E81" s="405" t="s">
        <v>1152</v>
      </c>
      <c r="F81" s="405" t="s">
        <v>1153</v>
      </c>
      <c r="G81" s="106" t="s">
        <v>1091</v>
      </c>
      <c r="H81" s="103">
        <v>2</v>
      </c>
      <c r="I81" s="104">
        <v>2</v>
      </c>
      <c r="J81" s="104">
        <v>4</v>
      </c>
      <c r="K81" s="103">
        <v>0</v>
      </c>
      <c r="L81" s="406">
        <f t="shared" si="1"/>
        <v>4</v>
      </c>
      <c r="M81" s="406" t="s">
        <v>1085</v>
      </c>
      <c r="N81" s="406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67" t="s">
        <v>154</v>
      </c>
    </row>
    <row r="82" spans="1:25">
      <c r="A82" s="404" t="s">
        <v>1081</v>
      </c>
      <c r="B82" s="405" t="s">
        <v>1187</v>
      </c>
      <c r="C82" s="405">
        <v>1</v>
      </c>
      <c r="D82" s="405" t="s">
        <v>1188</v>
      </c>
      <c r="E82" s="405" t="s">
        <v>1189</v>
      </c>
      <c r="F82" s="405" t="s">
        <v>1084</v>
      </c>
      <c r="G82" s="405" t="s">
        <v>149</v>
      </c>
      <c r="H82" s="103">
        <v>2</v>
      </c>
      <c r="I82" s="104">
        <v>3</v>
      </c>
      <c r="J82" s="104">
        <v>6</v>
      </c>
      <c r="K82" s="103">
        <v>5</v>
      </c>
      <c r="L82" s="406">
        <f t="shared" si="1"/>
        <v>1</v>
      </c>
      <c r="M82" s="406" t="s">
        <v>1085</v>
      </c>
      <c r="N82" s="406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67" t="s">
        <v>154</v>
      </c>
    </row>
    <row r="83" spans="1:25">
      <c r="A83" s="404" t="s">
        <v>768</v>
      </c>
      <c r="B83" s="405" t="s">
        <v>763</v>
      </c>
      <c r="C83" s="405">
        <v>2</v>
      </c>
      <c r="D83" s="405" t="s">
        <v>37</v>
      </c>
      <c r="E83" s="405" t="s">
        <v>1088</v>
      </c>
      <c r="F83" s="405" t="s">
        <v>1084</v>
      </c>
      <c r="G83" s="405" t="s">
        <v>149</v>
      </c>
      <c r="H83" s="103">
        <v>6</v>
      </c>
      <c r="I83" s="104">
        <v>6</v>
      </c>
      <c r="J83" s="104">
        <v>12</v>
      </c>
      <c r="K83" s="103">
        <v>6</v>
      </c>
      <c r="L83" s="406">
        <f t="shared" si="1"/>
        <v>6</v>
      </c>
      <c r="M83" s="406" t="s">
        <v>1085</v>
      </c>
      <c r="N83" s="406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67" t="s">
        <v>154</v>
      </c>
    </row>
    <row r="84" spans="1:25" ht="36">
      <c r="A84" s="404" t="s">
        <v>768</v>
      </c>
      <c r="B84" s="405" t="s">
        <v>763</v>
      </c>
      <c r="C84" s="405">
        <v>2</v>
      </c>
      <c r="D84" s="405" t="s">
        <v>774</v>
      </c>
      <c r="E84" s="405" t="s">
        <v>1112</v>
      </c>
      <c r="F84" s="405" t="s">
        <v>1084</v>
      </c>
      <c r="G84" s="405" t="s">
        <v>149</v>
      </c>
      <c r="H84" s="103">
        <v>1</v>
      </c>
      <c r="I84" s="104">
        <v>1</v>
      </c>
      <c r="J84" s="104">
        <v>2</v>
      </c>
      <c r="K84" s="103">
        <v>1</v>
      </c>
      <c r="L84" s="406">
        <f t="shared" si="1"/>
        <v>1</v>
      </c>
      <c r="M84" s="107" t="s">
        <v>1113</v>
      </c>
      <c r="N84" s="107" t="s">
        <v>1114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67" t="s">
        <v>154</v>
      </c>
    </row>
    <row r="85" spans="1:25">
      <c r="A85" s="404" t="s">
        <v>1157</v>
      </c>
      <c r="B85" s="405" t="s">
        <v>1190</v>
      </c>
      <c r="C85" s="405">
        <v>1</v>
      </c>
      <c r="D85" s="405" t="s">
        <v>69</v>
      </c>
      <c r="E85" s="405" t="s">
        <v>1191</v>
      </c>
      <c r="F85" s="405" t="s">
        <v>1084</v>
      </c>
      <c r="G85" s="405" t="s">
        <v>149</v>
      </c>
      <c r="H85" s="103">
        <v>2</v>
      </c>
      <c r="I85" s="104">
        <v>2</v>
      </c>
      <c r="J85" s="104">
        <v>4</v>
      </c>
      <c r="K85" s="103">
        <v>2</v>
      </c>
      <c r="L85" s="406">
        <f t="shared" si="1"/>
        <v>2</v>
      </c>
      <c r="M85" s="406" t="s">
        <v>1085</v>
      </c>
      <c r="N85" s="406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67" t="s">
        <v>154</v>
      </c>
    </row>
    <row r="86" spans="1:25">
      <c r="A86" s="404" t="s">
        <v>1081</v>
      </c>
      <c r="B86" s="405" t="s">
        <v>1192</v>
      </c>
      <c r="C86" s="405">
        <v>1</v>
      </c>
      <c r="D86" s="405" t="s">
        <v>516</v>
      </c>
      <c r="E86" s="405" t="s">
        <v>1193</v>
      </c>
      <c r="F86" s="405" t="s">
        <v>1153</v>
      </c>
      <c r="G86" s="106" t="s">
        <v>1091</v>
      </c>
      <c r="H86" s="103">
        <v>2</v>
      </c>
      <c r="I86" s="104">
        <v>2</v>
      </c>
      <c r="J86" s="104">
        <v>4</v>
      </c>
      <c r="K86" s="103">
        <v>0</v>
      </c>
      <c r="L86" s="406">
        <f>J86-K86</f>
        <v>4</v>
      </c>
      <c r="M86" s="406" t="s">
        <v>1085</v>
      </c>
      <c r="N86" s="406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67" t="s">
        <v>154</v>
      </c>
    </row>
    <row r="87" spans="1:25">
      <c r="A87" s="404" t="s">
        <v>1081</v>
      </c>
      <c r="B87" s="405" t="s">
        <v>1194</v>
      </c>
      <c r="C87" s="405">
        <v>1</v>
      </c>
      <c r="D87" s="405" t="s">
        <v>1195</v>
      </c>
      <c r="E87" s="405" t="s">
        <v>1088</v>
      </c>
      <c r="F87" s="405" t="s">
        <v>1084</v>
      </c>
      <c r="G87" s="405" t="s">
        <v>149</v>
      </c>
      <c r="H87" s="103">
        <v>4</v>
      </c>
      <c r="I87" s="104">
        <v>3</v>
      </c>
      <c r="J87" s="104">
        <v>6</v>
      </c>
      <c r="K87" s="103">
        <v>5</v>
      </c>
      <c r="L87" s="406">
        <f t="shared" si="1"/>
        <v>1</v>
      </c>
      <c r="M87" s="406" t="s">
        <v>1085</v>
      </c>
      <c r="N87" s="406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67" t="s">
        <v>154</v>
      </c>
    </row>
    <row r="88" spans="1:25">
      <c r="A88" s="404" t="s">
        <v>1081</v>
      </c>
      <c r="B88" s="405" t="s">
        <v>1196</v>
      </c>
      <c r="C88" s="405">
        <v>1</v>
      </c>
      <c r="D88" s="405" t="s">
        <v>514</v>
      </c>
      <c r="E88" s="405" t="s">
        <v>1088</v>
      </c>
      <c r="F88" s="405" t="s">
        <v>1084</v>
      </c>
      <c r="G88" s="405" t="s">
        <v>149</v>
      </c>
      <c r="H88" s="103">
        <v>5</v>
      </c>
      <c r="I88" s="104">
        <v>5</v>
      </c>
      <c r="J88" s="104">
        <v>10</v>
      </c>
      <c r="K88" s="103">
        <v>7</v>
      </c>
      <c r="L88" s="406">
        <f t="shared" si="1"/>
        <v>3</v>
      </c>
      <c r="M88" s="406" t="s">
        <v>1085</v>
      </c>
      <c r="N88" s="406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67" t="s">
        <v>154</v>
      </c>
    </row>
    <row r="89" spans="1:25" ht="36">
      <c r="A89" s="404" t="s">
        <v>1081</v>
      </c>
      <c r="B89" s="405" t="s">
        <v>1196</v>
      </c>
      <c r="C89" s="405">
        <v>1</v>
      </c>
      <c r="D89" s="405" t="s">
        <v>1197</v>
      </c>
      <c r="E89" s="405" t="s">
        <v>1198</v>
      </c>
      <c r="F89" s="405" t="s">
        <v>1084</v>
      </c>
      <c r="G89" s="405" t="s">
        <v>149</v>
      </c>
      <c r="H89" s="103">
        <v>1</v>
      </c>
      <c r="I89" s="104">
        <v>2</v>
      </c>
      <c r="J89" s="104">
        <v>4</v>
      </c>
      <c r="K89" s="103">
        <v>1</v>
      </c>
      <c r="L89" s="406">
        <f t="shared" si="1"/>
        <v>3</v>
      </c>
      <c r="M89" s="107" t="s">
        <v>1113</v>
      </c>
      <c r="N89" s="107" t="s">
        <v>1114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67" t="s">
        <v>154</v>
      </c>
    </row>
    <row r="90" spans="1:25" ht="36">
      <c r="A90" s="404" t="s">
        <v>1081</v>
      </c>
      <c r="B90" s="405" t="s">
        <v>1196</v>
      </c>
      <c r="C90" s="405">
        <v>1</v>
      </c>
      <c r="D90" s="405" t="s">
        <v>1197</v>
      </c>
      <c r="E90" s="405" t="s">
        <v>1199</v>
      </c>
      <c r="F90" s="405" t="s">
        <v>1084</v>
      </c>
      <c r="G90" s="405" t="s">
        <v>149</v>
      </c>
      <c r="H90" s="103">
        <v>2</v>
      </c>
      <c r="I90" s="104">
        <v>2</v>
      </c>
      <c r="J90" s="104">
        <v>4</v>
      </c>
      <c r="K90" s="103">
        <v>1</v>
      </c>
      <c r="L90" s="406">
        <f t="shared" si="1"/>
        <v>3</v>
      </c>
      <c r="M90" s="107" t="s">
        <v>1113</v>
      </c>
      <c r="N90" s="107" t="s">
        <v>1114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67" t="s">
        <v>154</v>
      </c>
    </row>
    <row r="91" spans="1:25" ht="36">
      <c r="A91" s="404" t="s">
        <v>1081</v>
      </c>
      <c r="B91" s="405" t="s">
        <v>1196</v>
      </c>
      <c r="C91" s="405">
        <v>1</v>
      </c>
      <c r="D91" s="405" t="s">
        <v>1197</v>
      </c>
      <c r="E91" s="405" t="s">
        <v>1200</v>
      </c>
      <c r="F91" s="405" t="s">
        <v>1084</v>
      </c>
      <c r="G91" s="405" t="s">
        <v>149</v>
      </c>
      <c r="H91" s="103">
        <v>1</v>
      </c>
      <c r="I91" s="104">
        <v>1</v>
      </c>
      <c r="J91" s="104">
        <v>2</v>
      </c>
      <c r="K91" s="103">
        <v>1</v>
      </c>
      <c r="L91" s="406">
        <f t="shared" si="1"/>
        <v>1</v>
      </c>
      <c r="M91" s="107" t="s">
        <v>1113</v>
      </c>
      <c r="N91" s="107" t="s">
        <v>1114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67" t="s">
        <v>154</v>
      </c>
    </row>
    <row r="92" spans="1:25">
      <c r="A92" s="404" t="s">
        <v>1129</v>
      </c>
      <c r="B92" s="405" t="s">
        <v>1201</v>
      </c>
      <c r="C92" s="405">
        <v>1</v>
      </c>
      <c r="D92" s="405" t="s">
        <v>1202</v>
      </c>
      <c r="E92" s="405" t="s">
        <v>1203</v>
      </c>
      <c r="F92" s="405" t="s">
        <v>1084</v>
      </c>
      <c r="G92" s="405" t="s">
        <v>149</v>
      </c>
      <c r="H92" s="103">
        <v>1</v>
      </c>
      <c r="I92" s="104">
        <v>1</v>
      </c>
      <c r="J92" s="104">
        <v>2</v>
      </c>
      <c r="K92" s="103">
        <v>1</v>
      </c>
      <c r="L92" s="406">
        <f t="shared" si="1"/>
        <v>1</v>
      </c>
      <c r="M92" s="406" t="s">
        <v>1085</v>
      </c>
      <c r="N92" s="406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67" t="s">
        <v>154</v>
      </c>
    </row>
    <row r="93" spans="1:25">
      <c r="A93" s="404" t="s">
        <v>1129</v>
      </c>
      <c r="B93" s="405" t="s">
        <v>1204</v>
      </c>
      <c r="C93" s="405">
        <v>1</v>
      </c>
      <c r="D93" s="405" t="s">
        <v>1202</v>
      </c>
      <c r="E93" s="405" t="s">
        <v>1205</v>
      </c>
      <c r="F93" s="405" t="s">
        <v>1084</v>
      </c>
      <c r="G93" s="405" t="s">
        <v>149</v>
      </c>
      <c r="H93" s="103">
        <v>1</v>
      </c>
      <c r="I93" s="104">
        <v>1</v>
      </c>
      <c r="J93" s="104">
        <v>2</v>
      </c>
      <c r="K93" s="103">
        <v>1</v>
      </c>
      <c r="L93" s="406">
        <f t="shared" si="1"/>
        <v>1</v>
      </c>
      <c r="M93" s="406" t="s">
        <v>1085</v>
      </c>
      <c r="N93" s="406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67" t="s">
        <v>154</v>
      </c>
    </row>
    <row r="94" spans="1:25">
      <c r="A94" s="404" t="s">
        <v>1093</v>
      </c>
      <c r="B94" s="405" t="s">
        <v>1206</v>
      </c>
      <c r="C94" s="405">
        <v>1</v>
      </c>
      <c r="D94" s="405" t="s">
        <v>1207</v>
      </c>
      <c r="E94" s="405" t="s">
        <v>471</v>
      </c>
      <c r="F94" s="405" t="s">
        <v>1153</v>
      </c>
      <c r="G94" s="106" t="s">
        <v>1091</v>
      </c>
      <c r="H94" s="103" t="s">
        <v>40</v>
      </c>
      <c r="I94" s="104">
        <v>1</v>
      </c>
      <c r="J94" s="104">
        <v>2</v>
      </c>
      <c r="K94" s="103">
        <v>0</v>
      </c>
      <c r="L94" s="406">
        <f t="shared" si="1"/>
        <v>2</v>
      </c>
      <c r="M94" s="406" t="s">
        <v>1085</v>
      </c>
      <c r="N94" s="406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67" t="s">
        <v>154</v>
      </c>
    </row>
    <row r="95" spans="1:25">
      <c r="A95" s="404" t="s">
        <v>1093</v>
      </c>
      <c r="B95" s="405" t="s">
        <v>1206</v>
      </c>
      <c r="C95" s="405">
        <v>2</v>
      </c>
      <c r="D95" s="405" t="s">
        <v>1208</v>
      </c>
      <c r="E95" s="405" t="s">
        <v>1088</v>
      </c>
      <c r="F95" s="405" t="s">
        <v>1084</v>
      </c>
      <c r="G95" s="405" t="s">
        <v>149</v>
      </c>
      <c r="H95" s="103">
        <v>2</v>
      </c>
      <c r="I95" s="104">
        <v>2</v>
      </c>
      <c r="J95" s="104">
        <v>4</v>
      </c>
      <c r="K95" s="103">
        <v>2</v>
      </c>
      <c r="L95" s="406">
        <f t="shared" si="1"/>
        <v>2</v>
      </c>
      <c r="M95" s="406" t="s">
        <v>1085</v>
      </c>
      <c r="N95" s="406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67" t="s">
        <v>154</v>
      </c>
    </row>
    <row r="96" spans="1:25">
      <c r="A96" s="404" t="s">
        <v>1160</v>
      </c>
      <c r="B96" s="405" t="s">
        <v>1209</v>
      </c>
      <c r="C96" s="405">
        <v>2</v>
      </c>
      <c r="D96" s="405" t="s">
        <v>1210</v>
      </c>
      <c r="E96" s="405" t="s">
        <v>1211</v>
      </c>
      <c r="F96" s="405" t="s">
        <v>1084</v>
      </c>
      <c r="G96" s="405" t="s">
        <v>149</v>
      </c>
      <c r="H96" s="103">
        <v>1</v>
      </c>
      <c r="I96" s="104">
        <v>3</v>
      </c>
      <c r="J96" s="104">
        <v>6</v>
      </c>
      <c r="K96" s="103">
        <v>3</v>
      </c>
      <c r="L96" s="406">
        <f t="shared" si="1"/>
        <v>3</v>
      </c>
      <c r="M96" s="406" t="s">
        <v>1098</v>
      </c>
      <c r="N96" s="406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67" t="s">
        <v>154</v>
      </c>
    </row>
    <row r="97" spans="1:25">
      <c r="A97" s="404" t="s">
        <v>1093</v>
      </c>
      <c r="B97" s="405" t="s">
        <v>826</v>
      </c>
      <c r="C97" s="405">
        <v>1</v>
      </c>
      <c r="D97" s="405" t="s">
        <v>846</v>
      </c>
      <c r="E97" s="405" t="s">
        <v>471</v>
      </c>
      <c r="F97" s="405" t="s">
        <v>1084</v>
      </c>
      <c r="G97" s="405" t="s">
        <v>149</v>
      </c>
      <c r="H97" s="103">
        <v>3</v>
      </c>
      <c r="I97" s="104">
        <v>3</v>
      </c>
      <c r="J97" s="104">
        <v>6</v>
      </c>
      <c r="K97" s="103">
        <v>4</v>
      </c>
      <c r="L97" s="406">
        <f t="shared" si="1"/>
        <v>2</v>
      </c>
      <c r="M97" s="406" t="s">
        <v>1085</v>
      </c>
      <c r="N97" s="406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67" t="s">
        <v>154</v>
      </c>
    </row>
    <row r="98" spans="1:25">
      <c r="B98" s="92">
        <f>COUNTIF(Table26[สถานที่],"*")</f>
        <v>96</v>
      </c>
      <c r="N98" s="108" t="s">
        <v>1212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3" bestFit="1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9" width="7.6640625" style="423" bestFit="1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9.44140625" style="423" customWidth="1"/>
    <col min="18" max="18" width="9.88671875" style="423" customWidth="1"/>
    <col min="19" max="19" width="10.33203125" style="423" customWidth="1"/>
    <col min="20" max="20" width="9.6640625" style="423" customWidth="1"/>
    <col min="21" max="21" width="9.33203125" style="423" customWidth="1"/>
    <col min="22" max="23" width="17.88671875" style="423"/>
    <col min="24" max="24" width="25.88671875" style="423" bestFit="1" customWidth="1"/>
    <col min="25" max="27" width="12.6640625" style="423" customWidth="1"/>
    <col min="28" max="28" width="25.88671875" style="423" bestFit="1" customWidth="1"/>
    <col min="29" max="41" width="12.6640625" style="423" customWidth="1"/>
    <col min="42" max="16384" width="17.88671875" style="423"/>
  </cols>
  <sheetData>
    <row r="1" spans="1:45" ht="30" customHeight="1">
      <c r="A1" s="780" t="s">
        <v>1213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780"/>
      <c r="O1" s="780"/>
      <c r="P1" s="780"/>
      <c r="Q1" s="780"/>
      <c r="R1" s="780"/>
      <c r="S1" s="780"/>
      <c r="T1" s="780"/>
    </row>
    <row r="2" spans="1:45" ht="18" customHeight="1">
      <c r="A2" s="782" t="s">
        <v>1214</v>
      </c>
      <c r="B2" s="782"/>
      <c r="C2" s="782"/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</row>
    <row r="4" spans="1:45" ht="28.8">
      <c r="A4" s="424"/>
      <c r="B4" s="424" t="str">
        <f>'SVB-รายสัปดาห์'!B4</f>
        <v>W.1
(14/2-20/2)</v>
      </c>
      <c r="C4" s="424" t="str">
        <f>'SVB-รายสัปดาห์'!C4</f>
        <v>W.2
(21/2-27/2)</v>
      </c>
      <c r="D4" s="424" t="str">
        <f>'SVB-รายสัปดาห์'!D4</f>
        <v>W.3
(28/2-6/3)</v>
      </c>
      <c r="E4" s="424" t="str">
        <f>'SVB-รายสัปดาห์'!E4</f>
        <v>W.4
(7/3-13/3)</v>
      </c>
      <c r="F4" s="424" t="str">
        <f>'SVB-รายสัปดาห์'!F4</f>
        <v>W.5
(14/3-20/3)</v>
      </c>
      <c r="G4" s="424" t="str">
        <f>'SVB-รายสัปดาห์'!G4</f>
        <v>W.6
(21/3-27/3)</v>
      </c>
      <c r="H4" s="424" t="str">
        <f>'SVB-รายสัปดาห์'!H4</f>
        <v>W.7
(28/3-3/4)</v>
      </c>
      <c r="I4" s="424" t="str">
        <f>'SVB-รายสัปดาห์'!I4</f>
        <v>W.8
(4/4-10/4)</v>
      </c>
      <c r="J4" s="424" t="str">
        <f>'SVB-รายสัปดาห์'!J4</f>
        <v>W.9
(11/4-17/4)</v>
      </c>
      <c r="K4" s="424" t="str">
        <f>'SVB-รายสัปดาห์'!K4</f>
        <v>W.10
(18/4-24/4)</v>
      </c>
      <c r="L4" s="424" t="str">
        <f>'SVB-รายสัปดาห์'!L4</f>
        <v>W.11
(25/4-1/5)</v>
      </c>
      <c r="M4" s="424" t="str">
        <f>'SVB-รายสัปดาห์'!M4</f>
        <v>W.12
(2/5-8/5)</v>
      </c>
      <c r="N4" s="424" t="str">
        <f>'SVB-รายสัปดาห์'!N4</f>
        <v>W.13
(9/5-15/5)</v>
      </c>
      <c r="O4" s="424" t="str">
        <f>'SVB-รายสัปดาห์'!O4</f>
        <v>W.14
(16/5-22/5)</v>
      </c>
      <c r="P4" s="424" t="str">
        <f>'SVB-รายสัปดาห์'!P4</f>
        <v>W.15
(23/5-29/5)</v>
      </c>
      <c r="Q4" s="424" t="str">
        <f>'SVB-รายสัปดาห์'!Q4</f>
        <v>W.16
(30/5-5/6)</v>
      </c>
      <c r="R4" s="424" t="str">
        <f>'SVB-รายสัปดาห์'!R4</f>
        <v>W.17
(6/6-12/6)</v>
      </c>
      <c r="S4" s="711" t="str">
        <f>'SVB-รายสัปดาห์'!S4</f>
        <v>W.18
(13/6-19/6)</v>
      </c>
      <c r="T4" s="711" t="str">
        <f>'SVB-รายสัปดาห์'!T4</f>
        <v>W.19
(20/6-26/6)</v>
      </c>
      <c r="U4" s="711" t="str">
        <f>'SVB-รายสัปดาห์'!U4</f>
        <v>W.20
(27/6-3/7)</v>
      </c>
      <c r="V4" s="711" t="s">
        <v>29</v>
      </c>
      <c r="X4" s="424"/>
      <c r="Y4" s="424" t="s">
        <v>1215</v>
      </c>
      <c r="Z4" s="424" t="s">
        <v>1216</v>
      </c>
      <c r="AB4" s="424"/>
      <c r="AC4" s="424" t="str">
        <f t="shared" ref="AC4:AS4" si="0">B4</f>
        <v>W.1
(14/2-20/2)</v>
      </c>
      <c r="AD4" s="424" t="str">
        <f t="shared" si="0"/>
        <v>W.2
(21/2-27/2)</v>
      </c>
      <c r="AE4" s="424" t="str">
        <f t="shared" si="0"/>
        <v>W.3
(28/2-6/3)</v>
      </c>
      <c r="AF4" s="424" t="str">
        <f t="shared" si="0"/>
        <v>W.4
(7/3-13/3)</v>
      </c>
      <c r="AG4" s="424" t="str">
        <f t="shared" si="0"/>
        <v>W.5
(14/3-20/3)</v>
      </c>
      <c r="AH4" s="424" t="str">
        <f t="shared" si="0"/>
        <v>W.6
(21/3-27/3)</v>
      </c>
      <c r="AI4" s="424" t="str">
        <f t="shared" si="0"/>
        <v>W.7
(28/3-3/4)</v>
      </c>
      <c r="AJ4" s="424" t="str">
        <f t="shared" si="0"/>
        <v>W.8
(4/4-10/4)</v>
      </c>
      <c r="AK4" s="424" t="str">
        <f t="shared" si="0"/>
        <v>W.9
(11/4-17/4)</v>
      </c>
      <c r="AL4" s="424" t="str">
        <f t="shared" si="0"/>
        <v>W.10
(18/4-24/4)</v>
      </c>
      <c r="AM4" s="424" t="str">
        <f t="shared" si="0"/>
        <v>W.11
(25/4-1/5)</v>
      </c>
      <c r="AN4" s="424" t="str">
        <f t="shared" si="0"/>
        <v>W.12
(2/5-8/5)</v>
      </c>
      <c r="AO4" s="424" t="str">
        <f t="shared" si="0"/>
        <v>W.13
(9/5-15/5)</v>
      </c>
      <c r="AP4" s="424" t="str">
        <f t="shared" si="0"/>
        <v>W.14
(16/5-22/5)</v>
      </c>
      <c r="AQ4" s="424" t="str">
        <f t="shared" si="0"/>
        <v>W.15
(23/5-29/5)</v>
      </c>
      <c r="AR4" s="424" t="str">
        <f t="shared" si="0"/>
        <v>W.16
(30/5-5/6)</v>
      </c>
      <c r="AS4" s="424" t="str">
        <f t="shared" si="0"/>
        <v>W.17
(6/6-12/6)</v>
      </c>
    </row>
    <row r="5" spans="1:45" ht="18" customHeight="1">
      <c r="A5" s="447" t="s">
        <v>306</v>
      </c>
      <c r="B5" s="448">
        <f>'SVB-รายสัปดาห์'!B7</f>
        <v>153</v>
      </c>
      <c r="C5" s="448">
        <f>'SVB-รายสัปดาห์'!C7</f>
        <v>69</v>
      </c>
      <c r="D5" s="448">
        <f>'SVB-รายสัปดาห์'!D7</f>
        <v>66</v>
      </c>
      <c r="E5" s="448">
        <f>'SVB-รายสัปดาห์'!E7</f>
        <v>53</v>
      </c>
      <c r="F5" s="448">
        <f>'SVB-รายสัปดาห์'!F7</f>
        <v>101</v>
      </c>
      <c r="G5" s="448">
        <f>'SVB-รายสัปดาห์'!G7</f>
        <v>241</v>
      </c>
      <c r="H5" s="448">
        <f>'SVB-รายสัปดาห์'!H7</f>
        <v>49</v>
      </c>
      <c r="I5" s="448">
        <f>'SVB-รายสัปดาห์'!I7</f>
        <v>50</v>
      </c>
      <c r="J5" s="448">
        <f>'SVB-รายสัปดาห์'!J7</f>
        <v>31</v>
      </c>
      <c r="K5" s="448">
        <f>'SVB-รายสัปดาห์'!K7</f>
        <v>86</v>
      </c>
      <c r="L5" s="448">
        <f>'SVB-รายสัปดาห์'!L7</f>
        <v>93</v>
      </c>
      <c r="M5" s="448">
        <f>'SVB-รายสัปดาห์'!M7</f>
        <v>97</v>
      </c>
      <c r="N5" s="448">
        <f>'SVB-รายสัปดาห์'!N7</f>
        <v>50</v>
      </c>
      <c r="O5" s="448">
        <f>'SVB-รายสัปดาห์'!O7</f>
        <v>58</v>
      </c>
      <c r="P5" s="448">
        <f>'SVB-รายสัปดาห์'!P7</f>
        <v>77</v>
      </c>
      <c r="Q5" s="448">
        <f>'SVB-รายสัปดาห์'!Q7</f>
        <v>99</v>
      </c>
      <c r="R5" s="448">
        <f>'SVB-รายสัปดาห์'!R7</f>
        <v>99</v>
      </c>
      <c r="S5" s="712">
        <f>'SVB-รายสัปดาห์'!S7</f>
        <v>97</v>
      </c>
      <c r="T5" s="712">
        <f>'SVB-รายสัปดาห์'!T7</f>
        <v>23</v>
      </c>
      <c r="U5" s="712">
        <f>'SVB-รายสัปดาห์'!U7</f>
        <v>0</v>
      </c>
      <c r="V5" s="712">
        <f t="shared" ref="V5:V12" si="1">SUM(B5:U5)</f>
        <v>1592</v>
      </c>
      <c r="X5" s="518" t="s">
        <v>1217</v>
      </c>
      <c r="Y5" s="662">
        <v>0.8</v>
      </c>
      <c r="Z5" s="662">
        <f>R6*Y5</f>
        <v>53.6</v>
      </c>
      <c r="AB5" s="447" t="s">
        <v>1218</v>
      </c>
      <c r="AC5" s="448">
        <f>SUM(AC6:AC7)</f>
        <v>79</v>
      </c>
      <c r="AD5" s="448">
        <f t="shared" ref="AD5:AR5" si="2">SUM(AD6:AD7)</f>
        <v>40.799999999999997</v>
      </c>
      <c r="AE5" s="448">
        <f t="shared" si="2"/>
        <v>51.2</v>
      </c>
      <c r="AF5" s="448">
        <f t="shared" si="2"/>
        <v>42.400000000000006</v>
      </c>
      <c r="AG5" s="448">
        <f t="shared" si="2"/>
        <v>80.800000000000011</v>
      </c>
      <c r="AH5" s="448">
        <f t="shared" si="2"/>
        <v>85</v>
      </c>
      <c r="AI5" s="448">
        <f t="shared" si="2"/>
        <v>27.8</v>
      </c>
      <c r="AJ5" s="448">
        <f t="shared" si="2"/>
        <v>31</v>
      </c>
      <c r="AK5" s="448">
        <f t="shared" si="2"/>
        <v>24.8</v>
      </c>
      <c r="AL5" s="448">
        <f t="shared" si="2"/>
        <v>46.6</v>
      </c>
      <c r="AM5" s="448">
        <f t="shared" si="2"/>
        <v>48</v>
      </c>
      <c r="AN5" s="448">
        <f t="shared" si="2"/>
        <v>77.600000000000009</v>
      </c>
      <c r="AO5" s="448">
        <f t="shared" si="2"/>
        <v>40</v>
      </c>
      <c r="AP5" s="448">
        <f t="shared" si="2"/>
        <v>46.400000000000006</v>
      </c>
      <c r="AQ5" s="448">
        <f t="shared" si="2"/>
        <v>61.6</v>
      </c>
      <c r="AR5" s="448">
        <f t="shared" si="2"/>
        <v>72.600000000000009</v>
      </c>
      <c r="AS5" s="448">
        <f>SUM(AC5:AR5)</f>
        <v>855.60000000000014</v>
      </c>
    </row>
    <row r="6" spans="1:45" ht="18" customHeight="1">
      <c r="A6" s="447" t="s">
        <v>880</v>
      </c>
      <c r="B6" s="448">
        <f>'SVB-รายสัปดาห์'!B11</f>
        <v>88</v>
      </c>
      <c r="C6" s="448">
        <f>'SVB-รายสัปดาห์'!C11</f>
        <v>45</v>
      </c>
      <c r="D6" s="448">
        <f>'SVB-รายสัปดาห์'!D11</f>
        <v>64</v>
      </c>
      <c r="E6" s="448">
        <f>'SVB-รายสัปดาห์'!E11</f>
        <v>53</v>
      </c>
      <c r="F6" s="448">
        <f>'SVB-รายสัปดาห์'!F11</f>
        <v>101</v>
      </c>
      <c r="G6" s="448">
        <f>'SVB-รายสัปดาห์'!G11</f>
        <v>62</v>
      </c>
      <c r="H6" s="448">
        <f>'SVB-รายสัปดาห์'!H11</f>
        <v>30</v>
      </c>
      <c r="I6" s="448">
        <f>'SVB-รายสัปดาห์'!I11</f>
        <v>35</v>
      </c>
      <c r="J6" s="448">
        <f>'SVB-รายสัปดาห์'!J11</f>
        <v>31</v>
      </c>
      <c r="K6" s="448">
        <f>'SVB-รายสัปดาห์'!K11</f>
        <v>49</v>
      </c>
      <c r="L6" s="448">
        <f>'SVB-รายสัปดาห์'!L11</f>
        <v>49</v>
      </c>
      <c r="M6" s="448">
        <f>'SVB-รายสัปดาห์'!M11</f>
        <v>97</v>
      </c>
      <c r="N6" s="448">
        <f>'SVB-รายสัปดาห์'!N11</f>
        <v>50</v>
      </c>
      <c r="O6" s="448">
        <f>'SVB-รายสัปดาห์'!O11</f>
        <v>58</v>
      </c>
      <c r="P6" s="448">
        <f>'SVB-รายสัปดาห์'!P11</f>
        <v>77</v>
      </c>
      <c r="Q6" s="448">
        <f>'SVB-รายสัปดาห์'!Q11</f>
        <v>88</v>
      </c>
      <c r="R6" s="448">
        <f>'SVB-รายสัปดาห์'!R11</f>
        <v>67</v>
      </c>
      <c r="S6" s="712">
        <f>'SVB-รายสัปดาห์'!S11</f>
        <v>55</v>
      </c>
      <c r="T6" s="712">
        <f>'SVB-รายสัปดาห์'!T11</f>
        <v>22</v>
      </c>
      <c r="U6" s="712">
        <f>'SVB-รายสัปดาห์'!U11</f>
        <v>0</v>
      </c>
      <c r="V6" s="712">
        <f t="shared" si="1"/>
        <v>1121</v>
      </c>
      <c r="X6" s="518" t="s">
        <v>1219</v>
      </c>
      <c r="Y6" s="662">
        <v>0.2</v>
      </c>
      <c r="Z6" s="662">
        <f>R7*Y6</f>
        <v>6.4</v>
      </c>
      <c r="AB6" s="447" t="s">
        <v>1220</v>
      </c>
      <c r="AC6" s="448">
        <f t="shared" ref="AC6:AR6" si="3">B6*$Y$5</f>
        <v>70.400000000000006</v>
      </c>
      <c r="AD6" s="448">
        <f t="shared" si="3"/>
        <v>36</v>
      </c>
      <c r="AE6" s="448">
        <f t="shared" si="3"/>
        <v>51.2</v>
      </c>
      <c r="AF6" s="448">
        <f t="shared" si="3"/>
        <v>42.400000000000006</v>
      </c>
      <c r="AG6" s="448">
        <f t="shared" si="3"/>
        <v>80.800000000000011</v>
      </c>
      <c r="AH6" s="448">
        <f t="shared" si="3"/>
        <v>49.6</v>
      </c>
      <c r="AI6" s="448">
        <f t="shared" si="3"/>
        <v>24</v>
      </c>
      <c r="AJ6" s="448">
        <f t="shared" si="3"/>
        <v>28</v>
      </c>
      <c r="AK6" s="448">
        <f t="shared" si="3"/>
        <v>24.8</v>
      </c>
      <c r="AL6" s="448">
        <f t="shared" si="3"/>
        <v>39.200000000000003</v>
      </c>
      <c r="AM6" s="448">
        <f t="shared" si="3"/>
        <v>39.200000000000003</v>
      </c>
      <c r="AN6" s="448">
        <f t="shared" si="3"/>
        <v>77.600000000000009</v>
      </c>
      <c r="AO6" s="448">
        <f t="shared" si="3"/>
        <v>40</v>
      </c>
      <c r="AP6" s="448">
        <f t="shared" si="3"/>
        <v>46.400000000000006</v>
      </c>
      <c r="AQ6" s="448">
        <f t="shared" si="3"/>
        <v>61.6</v>
      </c>
      <c r="AR6" s="448">
        <f t="shared" si="3"/>
        <v>70.400000000000006</v>
      </c>
      <c r="AS6" s="448">
        <f>SUM(AC6:AR6)</f>
        <v>781.6</v>
      </c>
    </row>
    <row r="7" spans="1:45" ht="18" customHeight="1">
      <c r="A7" s="447" t="s">
        <v>886</v>
      </c>
      <c r="B7" s="448">
        <f>'SVB-รายสัปดาห์'!B15</f>
        <v>43</v>
      </c>
      <c r="C7" s="448">
        <f>'SVB-รายสัปดาห์'!C15</f>
        <v>24</v>
      </c>
      <c r="D7" s="448">
        <f>'SVB-รายสัปดาห์'!D15</f>
        <v>0</v>
      </c>
      <c r="E7" s="448">
        <f>'SVB-รายสัปดาห์'!E15</f>
        <v>0</v>
      </c>
      <c r="F7" s="448">
        <f>'SVB-รายสัปดาห์'!F15</f>
        <v>0</v>
      </c>
      <c r="G7" s="448">
        <f>'SVB-รายสัปดาห์'!G15</f>
        <v>177</v>
      </c>
      <c r="H7" s="448">
        <f>'SVB-รายสัปดาห์'!H15</f>
        <v>19</v>
      </c>
      <c r="I7" s="448">
        <f>'SVB-รายสัปดาห์'!I15</f>
        <v>15</v>
      </c>
      <c r="J7" s="448">
        <f>'SVB-รายสัปดาห์'!J15</f>
        <v>0</v>
      </c>
      <c r="K7" s="448">
        <f>'SVB-รายสัปดาห์'!K15</f>
        <v>37</v>
      </c>
      <c r="L7" s="448">
        <f>'SVB-รายสัปดาห์'!L15</f>
        <v>44</v>
      </c>
      <c r="M7" s="448">
        <f>'SVB-รายสัปดาห์'!M15</f>
        <v>0</v>
      </c>
      <c r="N7" s="448">
        <f>'SVB-รายสัปดาห์'!N15</f>
        <v>0</v>
      </c>
      <c r="O7" s="448">
        <f>'SVB-รายสัปดาห์'!O15</f>
        <v>0</v>
      </c>
      <c r="P7" s="448">
        <f>'SVB-รายสัปดาห์'!P15</f>
        <v>0</v>
      </c>
      <c r="Q7" s="448">
        <f>'SVB-รายสัปดาห์'!Q15</f>
        <v>11</v>
      </c>
      <c r="R7" s="448">
        <f>'SVB-รายสัปดาห์'!R15</f>
        <v>32</v>
      </c>
      <c r="S7" s="712">
        <f>'SVB-รายสัปดาห์'!S15</f>
        <v>42</v>
      </c>
      <c r="T7" s="712">
        <f>'SVB-รายสัปดาห์'!T15</f>
        <v>1</v>
      </c>
      <c r="U7" s="712">
        <f>'SVB-รายสัปดาห์'!U15</f>
        <v>0</v>
      </c>
      <c r="V7" s="712">
        <f t="shared" si="1"/>
        <v>445</v>
      </c>
      <c r="Y7" s="664" t="s">
        <v>1221</v>
      </c>
      <c r="Z7" s="663">
        <f>SUM(Z5:Z6)</f>
        <v>60</v>
      </c>
      <c r="AB7" s="447" t="s">
        <v>1222</v>
      </c>
      <c r="AC7" s="448">
        <f t="shared" ref="AC7:AR7" si="4">B7*$Y$6</f>
        <v>8.6</v>
      </c>
      <c r="AD7" s="448">
        <f t="shared" si="4"/>
        <v>4.8000000000000007</v>
      </c>
      <c r="AE7" s="448">
        <f t="shared" si="4"/>
        <v>0</v>
      </c>
      <c r="AF7" s="448">
        <f t="shared" si="4"/>
        <v>0</v>
      </c>
      <c r="AG7" s="448">
        <f t="shared" si="4"/>
        <v>0</v>
      </c>
      <c r="AH7" s="448">
        <f t="shared" si="4"/>
        <v>35.4</v>
      </c>
      <c r="AI7" s="448">
        <f t="shared" si="4"/>
        <v>3.8000000000000003</v>
      </c>
      <c r="AJ7" s="448">
        <f t="shared" si="4"/>
        <v>3</v>
      </c>
      <c r="AK7" s="448">
        <f t="shared" si="4"/>
        <v>0</v>
      </c>
      <c r="AL7" s="448">
        <f t="shared" si="4"/>
        <v>7.4</v>
      </c>
      <c r="AM7" s="448">
        <f t="shared" si="4"/>
        <v>8.8000000000000007</v>
      </c>
      <c r="AN7" s="448">
        <f t="shared" si="4"/>
        <v>0</v>
      </c>
      <c r="AO7" s="448">
        <f t="shared" si="4"/>
        <v>0</v>
      </c>
      <c r="AP7" s="448">
        <f t="shared" si="4"/>
        <v>0</v>
      </c>
      <c r="AQ7" s="448">
        <f t="shared" si="4"/>
        <v>0</v>
      </c>
      <c r="AR7" s="448">
        <f t="shared" si="4"/>
        <v>2.2000000000000002</v>
      </c>
      <c r="AS7" s="448">
        <f>SUM(AC7:AR7)</f>
        <v>74</v>
      </c>
    </row>
    <row r="8" spans="1:45" ht="18" customHeight="1">
      <c r="A8" s="449" t="s">
        <v>329</v>
      </c>
      <c r="B8" s="450">
        <f>'SVB-รายสัปดาห์'!B20</f>
        <v>179</v>
      </c>
      <c r="C8" s="450">
        <f>'SVB-รายสัปดาห์'!C20</f>
        <v>45</v>
      </c>
      <c r="D8" s="450">
        <f>'SVB-รายสัปดาห์'!D20</f>
        <v>64</v>
      </c>
      <c r="E8" s="450">
        <f>'SVB-รายสัปดาห์'!E20</f>
        <v>51</v>
      </c>
      <c r="F8" s="450">
        <f>'SVB-รายสัปดาห์'!F20</f>
        <v>120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717"/>
      <c r="S8" s="717"/>
      <c r="T8" s="717"/>
      <c r="U8" s="717"/>
      <c r="V8" s="713">
        <f t="shared" si="1"/>
        <v>459</v>
      </c>
      <c r="AB8" s="449" t="s">
        <v>1223</v>
      </c>
      <c r="AC8" s="657">
        <f>SUM(AC9:AC10)</f>
        <v>83.800000000000011</v>
      </c>
      <c r="AD8" s="657">
        <f t="shared" ref="AD8:AR8" si="5">SUM(AD9:AD10)</f>
        <v>36</v>
      </c>
      <c r="AE8" s="657">
        <f t="shared" si="5"/>
        <v>51.2</v>
      </c>
      <c r="AF8" s="657">
        <f t="shared" si="5"/>
        <v>40.800000000000004</v>
      </c>
      <c r="AG8" s="657">
        <f t="shared" si="5"/>
        <v>96</v>
      </c>
      <c r="AH8" s="657">
        <f t="shared" si="5"/>
        <v>0</v>
      </c>
      <c r="AI8" s="657">
        <f t="shared" si="5"/>
        <v>0</v>
      </c>
      <c r="AJ8" s="657">
        <f t="shared" si="5"/>
        <v>0</v>
      </c>
      <c r="AK8" s="657">
        <f t="shared" si="5"/>
        <v>0</v>
      </c>
      <c r="AL8" s="657">
        <f t="shared" si="5"/>
        <v>0</v>
      </c>
      <c r="AM8" s="657">
        <f t="shared" si="5"/>
        <v>0</v>
      </c>
      <c r="AN8" s="657">
        <f t="shared" si="5"/>
        <v>0</v>
      </c>
      <c r="AO8" s="657">
        <f t="shared" si="5"/>
        <v>0</v>
      </c>
      <c r="AP8" s="657">
        <f t="shared" si="5"/>
        <v>0</v>
      </c>
      <c r="AQ8" s="657">
        <f t="shared" si="5"/>
        <v>0</v>
      </c>
      <c r="AR8" s="657">
        <f t="shared" si="5"/>
        <v>0</v>
      </c>
      <c r="AS8" s="657">
        <f t="shared" ref="AS8:AS10" si="6">SUM(AC8:AR8)</f>
        <v>307.8</v>
      </c>
    </row>
    <row r="9" spans="1:45" ht="18" customHeight="1">
      <c r="A9" s="449" t="s">
        <v>330</v>
      </c>
      <c r="B9" s="450">
        <f>'SVB-รายสัปดาห์'!B25</f>
        <v>179</v>
      </c>
      <c r="C9" s="450">
        <f>'SVB-รายสัปดาห์'!C25</f>
        <v>45</v>
      </c>
      <c r="D9" s="450">
        <f>'SVB-รายสัปดาห์'!D25</f>
        <v>64</v>
      </c>
      <c r="E9" s="450">
        <f>'SVB-รายสัปดาห์'!E25</f>
        <v>51</v>
      </c>
      <c r="F9" s="450">
        <f>'SVB-รายสัปดาห์'!F25</f>
        <v>120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717"/>
      <c r="S9" s="717"/>
      <c r="T9" s="717"/>
      <c r="U9" s="717"/>
      <c r="V9" s="713">
        <f t="shared" si="1"/>
        <v>459</v>
      </c>
      <c r="AB9" s="449" t="s">
        <v>1224</v>
      </c>
      <c r="AC9" s="657">
        <f t="shared" ref="AC9:AR9" si="7">B11*$Y$5</f>
        <v>70.400000000000006</v>
      </c>
      <c r="AD9" s="657">
        <f t="shared" si="7"/>
        <v>36</v>
      </c>
      <c r="AE9" s="657">
        <f t="shared" si="7"/>
        <v>51.2</v>
      </c>
      <c r="AF9" s="657">
        <f t="shared" si="7"/>
        <v>40.800000000000004</v>
      </c>
      <c r="AG9" s="657">
        <f t="shared" si="7"/>
        <v>96</v>
      </c>
      <c r="AH9" s="657">
        <f t="shared" si="7"/>
        <v>0</v>
      </c>
      <c r="AI9" s="657">
        <f t="shared" si="7"/>
        <v>0</v>
      </c>
      <c r="AJ9" s="657">
        <f t="shared" si="7"/>
        <v>0</v>
      </c>
      <c r="AK9" s="657">
        <f t="shared" si="7"/>
        <v>0</v>
      </c>
      <c r="AL9" s="657">
        <f t="shared" si="7"/>
        <v>0</v>
      </c>
      <c r="AM9" s="657">
        <f t="shared" si="7"/>
        <v>0</v>
      </c>
      <c r="AN9" s="657">
        <f t="shared" si="7"/>
        <v>0</v>
      </c>
      <c r="AO9" s="657">
        <f t="shared" si="7"/>
        <v>0</v>
      </c>
      <c r="AP9" s="657">
        <f t="shared" si="7"/>
        <v>0</v>
      </c>
      <c r="AQ9" s="657">
        <f t="shared" si="7"/>
        <v>0</v>
      </c>
      <c r="AR9" s="657">
        <f t="shared" si="7"/>
        <v>0</v>
      </c>
      <c r="AS9" s="657">
        <f t="shared" si="6"/>
        <v>294.40000000000003</v>
      </c>
    </row>
    <row r="10" spans="1:45" ht="18" customHeight="1">
      <c r="A10" s="449" t="s">
        <v>331</v>
      </c>
      <c r="B10" s="450">
        <f>'SVB-รายสัปดาห์'!B30</f>
        <v>179</v>
      </c>
      <c r="C10" s="450">
        <f>'SVB-รายสัปดาห์'!C30</f>
        <v>45</v>
      </c>
      <c r="D10" s="450">
        <f>'SVB-รายสัปดาห์'!D30</f>
        <v>64</v>
      </c>
      <c r="E10" s="450">
        <f>'SVB-รายสัปดาห์'!E30</f>
        <v>51</v>
      </c>
      <c r="F10" s="450">
        <f>'SVB-รายสัปดาห์'!F30</f>
        <v>120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717"/>
      <c r="S10" s="717"/>
      <c r="T10" s="717"/>
      <c r="U10" s="717"/>
      <c r="V10" s="713">
        <f t="shared" si="1"/>
        <v>459</v>
      </c>
      <c r="AB10" s="449" t="s">
        <v>1225</v>
      </c>
      <c r="AC10" s="657">
        <f t="shared" ref="AC10:AR10" si="8">B12*$Y$6</f>
        <v>13.4</v>
      </c>
      <c r="AD10" s="657">
        <f t="shared" si="8"/>
        <v>0</v>
      </c>
      <c r="AE10" s="657">
        <f t="shared" si="8"/>
        <v>0</v>
      </c>
      <c r="AF10" s="657">
        <f t="shared" si="8"/>
        <v>0</v>
      </c>
      <c r="AG10" s="657">
        <f t="shared" si="8"/>
        <v>0</v>
      </c>
      <c r="AH10" s="657">
        <f t="shared" si="8"/>
        <v>0</v>
      </c>
      <c r="AI10" s="657">
        <f t="shared" si="8"/>
        <v>0</v>
      </c>
      <c r="AJ10" s="657">
        <f t="shared" si="8"/>
        <v>0</v>
      </c>
      <c r="AK10" s="657">
        <f t="shared" si="8"/>
        <v>0</v>
      </c>
      <c r="AL10" s="657">
        <f t="shared" si="8"/>
        <v>0</v>
      </c>
      <c r="AM10" s="657">
        <f t="shared" si="8"/>
        <v>0</v>
      </c>
      <c r="AN10" s="657">
        <f t="shared" si="8"/>
        <v>0</v>
      </c>
      <c r="AO10" s="657">
        <f t="shared" si="8"/>
        <v>0</v>
      </c>
      <c r="AP10" s="657">
        <f t="shared" si="8"/>
        <v>0</v>
      </c>
      <c r="AQ10" s="657">
        <f t="shared" si="8"/>
        <v>0</v>
      </c>
      <c r="AR10" s="657">
        <f t="shared" si="8"/>
        <v>0</v>
      </c>
      <c r="AS10" s="657">
        <f t="shared" si="6"/>
        <v>13.4</v>
      </c>
    </row>
    <row r="11" spans="1:45" ht="18" customHeight="1">
      <c r="A11" s="449" t="s">
        <v>1226</v>
      </c>
      <c r="B11" s="450">
        <f>'SVB-รายสัปดาห์'!B37</f>
        <v>88</v>
      </c>
      <c r="C11" s="450">
        <f>'SVB-รายสัปดาห์'!C37</f>
        <v>45</v>
      </c>
      <c r="D11" s="450">
        <f>'SVB-รายสัปดาห์'!D37</f>
        <v>64</v>
      </c>
      <c r="E11" s="450">
        <f>'SVB-รายสัปดาห์'!E37</f>
        <v>51</v>
      </c>
      <c r="F11" s="450">
        <f>'SVB-รายสัปดาห์'!F37</f>
        <v>120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717"/>
      <c r="S11" s="717"/>
      <c r="T11" s="717"/>
      <c r="U11" s="717"/>
      <c r="V11" s="713">
        <f t="shared" si="1"/>
        <v>368</v>
      </c>
      <c r="AB11" s="453" t="s">
        <v>1227</v>
      </c>
      <c r="AC11" s="454">
        <f t="shared" ref="AC11:AR11" si="9">(AC5/$AS$5)</f>
        <v>9.2332865825151919E-2</v>
      </c>
      <c r="AD11" s="454">
        <f t="shared" si="9"/>
        <v>4.7685834502103779E-2</v>
      </c>
      <c r="AE11" s="454">
        <f t="shared" si="9"/>
        <v>5.9841047218326317E-2</v>
      </c>
      <c r="AF11" s="454">
        <f t="shared" si="9"/>
        <v>4.9555867227676485E-2</v>
      </c>
      <c r="AG11" s="454">
        <f t="shared" si="9"/>
        <v>9.4436652641421218E-2</v>
      </c>
      <c r="AH11" s="454">
        <f t="shared" si="9"/>
        <v>9.9345488546049535E-2</v>
      </c>
      <c r="AI11" s="454">
        <f t="shared" si="9"/>
        <v>3.2491818606825616E-2</v>
      </c>
      <c r="AJ11" s="454">
        <f t="shared" si="9"/>
        <v>3.6231884057971009E-2</v>
      </c>
      <c r="AK11" s="454">
        <f t="shared" si="9"/>
        <v>2.8985507246376808E-2</v>
      </c>
      <c r="AL11" s="454">
        <f t="shared" si="9"/>
        <v>5.4464703132304809E-2</v>
      </c>
      <c r="AM11" s="454">
        <f t="shared" si="9"/>
        <v>5.6100981767180917E-2</v>
      </c>
      <c r="AN11" s="454">
        <f t="shared" si="9"/>
        <v>9.0696587190275832E-2</v>
      </c>
      <c r="AO11" s="454">
        <f t="shared" si="9"/>
        <v>4.6750818139317432E-2</v>
      </c>
      <c r="AP11" s="454">
        <f t="shared" si="9"/>
        <v>5.4230949041608224E-2</v>
      </c>
      <c r="AQ11" s="454">
        <f t="shared" si="9"/>
        <v>7.1996259934548848E-2</v>
      </c>
      <c r="AR11" s="454">
        <f t="shared" si="9"/>
        <v>8.4852734922861148E-2</v>
      </c>
      <c r="AS11" s="665">
        <f>SUM(AC11:AR11)</f>
        <v>0.99999999999999989</v>
      </c>
    </row>
    <row r="12" spans="1:45" ht="18" customHeight="1">
      <c r="A12" s="449" t="s">
        <v>1225</v>
      </c>
      <c r="B12" s="450">
        <f>'SVB-รายสัปดาห์'!B44</f>
        <v>67</v>
      </c>
      <c r="C12" s="450">
        <f>'SVB-รายสัปดาห์'!C44</f>
        <v>0</v>
      </c>
      <c r="D12" s="450">
        <f>'SVB-รายสัปดาห์'!D44</f>
        <v>0</v>
      </c>
      <c r="E12" s="450">
        <f>'SVB-รายสัปดาห์'!E44</f>
        <v>0</v>
      </c>
      <c r="F12" s="450">
        <f>'SVB-รายสัปดาห์'!F44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717"/>
      <c r="S12" s="717"/>
      <c r="T12" s="717"/>
      <c r="U12" s="717"/>
      <c r="V12" s="713">
        <f t="shared" si="1"/>
        <v>67</v>
      </c>
      <c r="AB12" s="453" t="s">
        <v>1228</v>
      </c>
      <c r="AC12" s="665">
        <f>SUM(AC11)</f>
        <v>9.2332865825151919E-2</v>
      </c>
      <c r="AD12" s="665">
        <f>SUM(AC11:AD11)</f>
        <v>0.14001870032725569</v>
      </c>
      <c r="AE12" s="665">
        <f>SUM(AC11:AE11)</f>
        <v>0.199859747545582</v>
      </c>
      <c r="AF12" s="665">
        <f>SUM(AC11:AF11)</f>
        <v>0.24941561477325849</v>
      </c>
      <c r="AG12" s="665">
        <f>SUM(AC11:AG11)</f>
        <v>0.34385226741467972</v>
      </c>
      <c r="AH12" s="665">
        <f>SUM(AC11:AH11)</f>
        <v>0.44319775596072924</v>
      </c>
      <c r="AI12" s="665">
        <f>SUM(AC11:AI11)</f>
        <v>0.47568957456755484</v>
      </c>
      <c r="AJ12" s="665">
        <f>SUM(AC11:AJ11)</f>
        <v>0.51192145862552585</v>
      </c>
      <c r="AK12" s="665">
        <f>SUM(AC11:AK11)</f>
        <v>0.54090696587190268</v>
      </c>
      <c r="AL12" s="665">
        <f>SUM(AC11:AL11)</f>
        <v>0.59537166900420746</v>
      </c>
      <c r="AM12" s="665">
        <f>SUM(AC11:AM11)</f>
        <v>0.65147265077138838</v>
      </c>
      <c r="AN12" s="665">
        <f>SUM(AC11:AN11)</f>
        <v>0.74216923796166423</v>
      </c>
      <c r="AO12" s="665">
        <f>SUM(AC11:AO11)</f>
        <v>0.7889200561009817</v>
      </c>
      <c r="AP12" s="665">
        <f>SUM(AC11:AP11)</f>
        <v>0.84315100514258989</v>
      </c>
      <c r="AQ12" s="665">
        <f>SUM(AC11:AQ11)</f>
        <v>0.91514726507713873</v>
      </c>
      <c r="AR12" s="665">
        <f>SUM(AC11:AR11)</f>
        <v>0.99999999999999989</v>
      </c>
      <c r="AS12" s="665"/>
    </row>
    <row r="13" spans="1:45" ht="18" customHeight="1">
      <c r="A13" s="449" t="s">
        <v>332</v>
      </c>
      <c r="B13" s="450">
        <f>'SVB-รายสัปดาห์'!B53</f>
        <v>179</v>
      </c>
      <c r="C13" s="450">
        <f>'SVB-รายสัปดาห์'!C53</f>
        <v>224</v>
      </c>
      <c r="D13" s="450">
        <f>'SVB-รายสัปดาห์'!D53</f>
        <v>288</v>
      </c>
      <c r="E13" s="450">
        <f>'SVB-รายสัปดาห์'!E53</f>
        <v>339</v>
      </c>
      <c r="F13" s="450">
        <f>'SVB-รายสัปดาห์'!F53</f>
        <v>459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717"/>
      <c r="S13" s="717"/>
      <c r="T13" s="717"/>
      <c r="U13" s="717"/>
      <c r="V13" s="713"/>
      <c r="AB13" s="453" t="s">
        <v>1229</v>
      </c>
      <c r="AC13" s="454">
        <f t="shared" ref="AC13:AR13" si="10">(AC8/$AS$5)</f>
        <v>9.7942964001870025E-2</v>
      </c>
      <c r="AD13" s="454">
        <f t="shared" si="10"/>
        <v>4.2075736325385686E-2</v>
      </c>
      <c r="AE13" s="454">
        <f t="shared" si="10"/>
        <v>5.9841047218326317E-2</v>
      </c>
      <c r="AF13" s="454">
        <f t="shared" si="10"/>
        <v>4.7685834502103785E-2</v>
      </c>
      <c r="AG13" s="454">
        <f t="shared" si="10"/>
        <v>0.11220196353436183</v>
      </c>
      <c r="AH13" s="454">
        <f t="shared" si="10"/>
        <v>0</v>
      </c>
      <c r="AI13" s="454">
        <f t="shared" si="10"/>
        <v>0</v>
      </c>
      <c r="AJ13" s="454">
        <f t="shared" si="10"/>
        <v>0</v>
      </c>
      <c r="AK13" s="454">
        <f t="shared" si="10"/>
        <v>0</v>
      </c>
      <c r="AL13" s="454">
        <f t="shared" si="10"/>
        <v>0</v>
      </c>
      <c r="AM13" s="454">
        <f t="shared" si="10"/>
        <v>0</v>
      </c>
      <c r="AN13" s="454">
        <f t="shared" si="10"/>
        <v>0</v>
      </c>
      <c r="AO13" s="454">
        <f t="shared" si="10"/>
        <v>0</v>
      </c>
      <c r="AP13" s="454">
        <f t="shared" si="10"/>
        <v>0</v>
      </c>
      <c r="AQ13" s="454">
        <f t="shared" si="10"/>
        <v>0</v>
      </c>
      <c r="AR13" s="454">
        <f t="shared" si="10"/>
        <v>0</v>
      </c>
      <c r="AS13" s="665">
        <f>SUM(AC13:AR13)</f>
        <v>0.35974754558204763</v>
      </c>
    </row>
    <row r="14" spans="1:45" ht="18" customHeight="1">
      <c r="A14" s="449" t="s">
        <v>1230</v>
      </c>
      <c r="B14" s="450">
        <f>'SVB-รายสัปดาห์'!B61</f>
        <v>88</v>
      </c>
      <c r="C14" s="450">
        <f>'SVB-รายสัปดาห์'!C61</f>
        <v>133</v>
      </c>
      <c r="D14" s="450">
        <f>'SVB-รายสัปดาห์'!D61</f>
        <v>197</v>
      </c>
      <c r="E14" s="450">
        <f>'SVB-รายสัปดาห์'!E61</f>
        <v>248</v>
      </c>
      <c r="F14" s="450">
        <f>'SVB-รายสัปดาห์'!F61</f>
        <v>368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717"/>
      <c r="S14" s="717"/>
      <c r="T14" s="717"/>
      <c r="U14" s="717"/>
      <c r="V14" s="713"/>
      <c r="AB14" s="453" t="s">
        <v>1231</v>
      </c>
      <c r="AC14" s="665">
        <f>SUM(AC13)</f>
        <v>9.7942964001870025E-2</v>
      </c>
      <c r="AD14" s="665">
        <f>SUM(AC13:AD13)</f>
        <v>0.14001870032725572</v>
      </c>
      <c r="AE14" s="665">
        <f>SUM(AC13:AE13)</f>
        <v>0.19985974754558203</v>
      </c>
      <c r="AF14" s="665">
        <f>SUM(AC13:AF13)</f>
        <v>0.24754558204768581</v>
      </c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</row>
    <row r="15" spans="1:45" ht="18" customHeight="1">
      <c r="A15" s="449" t="s">
        <v>1232</v>
      </c>
      <c r="B15" s="450">
        <f>'SVB-รายสัปดาห์'!B69</f>
        <v>67</v>
      </c>
      <c r="C15" s="450">
        <f>'SVB-รายสัปดาห์'!C69</f>
        <v>67</v>
      </c>
      <c r="D15" s="450">
        <f>'SVB-รายสัปดาห์'!D69</f>
        <v>67</v>
      </c>
      <c r="E15" s="450">
        <f>'SVB-รายสัปดาห์'!E69</f>
        <v>67</v>
      </c>
      <c r="F15" s="450">
        <f>'SVB-รายสัปดาห์'!F69</f>
        <v>67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717"/>
      <c r="S15" s="717"/>
      <c r="T15" s="717"/>
      <c r="U15" s="717"/>
      <c r="V15" s="713"/>
    </row>
    <row r="16" spans="1:45" ht="18" customHeight="1">
      <c r="A16" s="453" t="s">
        <v>312</v>
      </c>
      <c r="B16" s="650">
        <f>'SVB-รายสัปดาห์'!B31</f>
        <v>26</v>
      </c>
      <c r="C16" s="650">
        <f>'SVB-รายสัปดาห์'!C31</f>
        <v>0</v>
      </c>
      <c r="D16" s="650">
        <f>'SVB-รายสัปดาห์'!D31</f>
        <v>0</v>
      </c>
      <c r="E16" s="650">
        <f>'SVB-รายสัปดาห์'!E31</f>
        <v>0</v>
      </c>
      <c r="F16" s="650">
        <f>'SVB-รายสัปดาห์'!F31</f>
        <v>19</v>
      </c>
      <c r="G16" s="650"/>
      <c r="H16" s="650"/>
      <c r="I16" s="650"/>
      <c r="J16" s="650"/>
      <c r="K16" s="650"/>
      <c r="L16" s="650"/>
      <c r="M16" s="650"/>
      <c r="N16" s="650"/>
      <c r="O16" s="650"/>
      <c r="P16" s="650"/>
      <c r="Q16" s="650"/>
      <c r="R16" s="718"/>
      <c r="S16" s="718"/>
      <c r="T16" s="718"/>
      <c r="U16" s="718"/>
      <c r="V16" s="718">
        <f t="shared" ref="V16:V21" si="11">SUM(B16:U16)</f>
        <v>45</v>
      </c>
    </row>
    <row r="17" spans="1:22" ht="18" customHeight="1">
      <c r="A17" s="453" t="s">
        <v>313</v>
      </c>
      <c r="B17" s="650">
        <f>'SVB-รายสัปดาห์'!B32</f>
        <v>0</v>
      </c>
      <c r="C17" s="650">
        <f>'SVB-รายสัปดาห์'!C32</f>
        <v>24</v>
      </c>
      <c r="D17" s="650">
        <f>'SVB-รายสัปดาห์'!D32</f>
        <v>2</v>
      </c>
      <c r="E17" s="650">
        <f>'SVB-รายสัปดาห์'!E32</f>
        <v>2</v>
      </c>
      <c r="F17" s="650">
        <f>'SVB-รายสัปดาห์'!F32</f>
        <v>0</v>
      </c>
      <c r="G17" s="650"/>
      <c r="H17" s="650"/>
      <c r="I17" s="650"/>
      <c r="J17" s="650"/>
      <c r="K17" s="650"/>
      <c r="L17" s="650"/>
      <c r="M17" s="650"/>
      <c r="N17" s="650"/>
      <c r="O17" s="650"/>
      <c r="P17" s="650"/>
      <c r="Q17" s="650"/>
      <c r="R17" s="718"/>
      <c r="S17" s="718"/>
      <c r="T17" s="718"/>
      <c r="U17" s="718"/>
      <c r="V17" s="718">
        <f t="shared" si="11"/>
        <v>28</v>
      </c>
    </row>
    <row r="18" spans="1:22" ht="18" customHeight="1">
      <c r="A18" s="453" t="s">
        <v>882</v>
      </c>
      <c r="B18" s="650">
        <f>'SVB-รายสัปดาห์'!B38</f>
        <v>0</v>
      </c>
      <c r="C18" s="650">
        <f>'SVB-รายสัปดาห์'!C38</f>
        <v>0</v>
      </c>
      <c r="D18" s="650">
        <f>'SVB-รายสัปดาห์'!D38</f>
        <v>0</v>
      </c>
      <c r="E18" s="650">
        <f>'SVB-รายสัปดาห์'!E38</f>
        <v>0</v>
      </c>
      <c r="F18" s="650">
        <f>'SVB-รายสัปดาห์'!F38</f>
        <v>19</v>
      </c>
      <c r="G18" s="650"/>
      <c r="H18" s="650"/>
      <c r="I18" s="650"/>
      <c r="J18" s="650"/>
      <c r="K18" s="650"/>
      <c r="L18" s="650"/>
      <c r="M18" s="650"/>
      <c r="N18" s="650"/>
      <c r="O18" s="650"/>
      <c r="P18" s="650"/>
      <c r="Q18" s="650"/>
      <c r="R18" s="718"/>
      <c r="S18" s="718"/>
      <c r="T18" s="718"/>
      <c r="U18" s="718"/>
      <c r="V18" s="718">
        <f t="shared" si="11"/>
        <v>19</v>
      </c>
    </row>
    <row r="19" spans="1:22" ht="18" customHeight="1">
      <c r="A19" s="453" t="s">
        <v>883</v>
      </c>
      <c r="B19" s="650">
        <f>'SVB-รายสัปดาห์'!B39</f>
        <v>0</v>
      </c>
      <c r="C19" s="650">
        <f>'SVB-รายสัปดาห์'!C39</f>
        <v>0</v>
      </c>
      <c r="D19" s="650">
        <f>'SVB-รายสัปดาห์'!D39</f>
        <v>0</v>
      </c>
      <c r="E19" s="650">
        <f>'SVB-รายสัปดาห์'!E39</f>
        <v>2</v>
      </c>
      <c r="F19" s="650">
        <f>'SVB-รายสัปดาห์'!F39</f>
        <v>0</v>
      </c>
      <c r="G19" s="650"/>
      <c r="H19" s="650"/>
      <c r="I19" s="650"/>
      <c r="J19" s="650"/>
      <c r="K19" s="650"/>
      <c r="L19" s="650"/>
      <c r="M19" s="650"/>
      <c r="N19" s="650"/>
      <c r="O19" s="650"/>
      <c r="P19" s="650"/>
      <c r="Q19" s="650"/>
      <c r="R19" s="718"/>
      <c r="S19" s="718"/>
      <c r="T19" s="718"/>
      <c r="U19" s="718"/>
      <c r="V19" s="718">
        <f t="shared" si="11"/>
        <v>2</v>
      </c>
    </row>
    <row r="20" spans="1:22" ht="18" customHeight="1">
      <c r="A20" s="453" t="s">
        <v>888</v>
      </c>
      <c r="B20" s="650">
        <f>'SVB-รายสัปดาห์'!B45</f>
        <v>24</v>
      </c>
      <c r="C20" s="650">
        <f>'SVB-รายสัปดาห์'!C45</f>
        <v>0</v>
      </c>
      <c r="D20" s="650">
        <f>'SVB-รายสัปดาห์'!D45</f>
        <v>0</v>
      </c>
      <c r="E20" s="650">
        <f>'SVB-รายสัปดาห์'!E45</f>
        <v>0</v>
      </c>
      <c r="F20" s="650">
        <f>'SVB-รายสัปดาห์'!F45</f>
        <v>0</v>
      </c>
      <c r="G20" s="650"/>
      <c r="H20" s="650"/>
      <c r="I20" s="650"/>
      <c r="J20" s="650"/>
      <c r="K20" s="650"/>
      <c r="L20" s="650"/>
      <c r="M20" s="650"/>
      <c r="N20" s="650"/>
      <c r="O20" s="650"/>
      <c r="P20" s="650"/>
      <c r="Q20" s="650"/>
      <c r="R20" s="718"/>
      <c r="S20" s="718"/>
      <c r="T20" s="718"/>
      <c r="U20" s="718"/>
      <c r="V20" s="718">
        <f t="shared" si="11"/>
        <v>24</v>
      </c>
    </row>
    <row r="21" spans="1:22" ht="18" customHeight="1">
      <c r="A21" s="453" t="s">
        <v>889</v>
      </c>
      <c r="B21" s="650">
        <f>'SVB-รายสัปดาห์'!B46</f>
        <v>0</v>
      </c>
      <c r="C21" s="650">
        <f>'SVB-รายสัปดาห์'!C46</f>
        <v>24</v>
      </c>
      <c r="D21" s="650">
        <f>'SVB-รายสัปดาห์'!D46</f>
        <v>0</v>
      </c>
      <c r="E21" s="650">
        <f>'SVB-รายสัปดาห์'!E46</f>
        <v>0</v>
      </c>
      <c r="F21" s="650">
        <f>'SVB-รายสัปดาห์'!F46</f>
        <v>0</v>
      </c>
      <c r="G21" s="650"/>
      <c r="H21" s="650"/>
      <c r="I21" s="650"/>
      <c r="J21" s="650"/>
      <c r="K21" s="650"/>
      <c r="L21" s="650"/>
      <c r="M21" s="650"/>
      <c r="N21" s="650"/>
      <c r="O21" s="650"/>
      <c r="P21" s="650"/>
      <c r="Q21" s="650"/>
      <c r="R21" s="718"/>
      <c r="S21" s="718"/>
      <c r="T21" s="718"/>
      <c r="U21" s="718"/>
      <c r="V21" s="718">
        <f t="shared" si="11"/>
        <v>24</v>
      </c>
    </row>
    <row r="22" spans="1:22" ht="18" customHeight="1">
      <c r="A22" s="451" t="s">
        <v>1233</v>
      </c>
      <c r="B22" s="452">
        <f>'SVB-รายสัปดาห์'!B50</f>
        <v>1.1699346405228759</v>
      </c>
      <c r="C22" s="452">
        <f>'SVB-รายสัปดาห์'!C50</f>
        <v>0.65217391304347827</v>
      </c>
      <c r="D22" s="452">
        <f>'SVB-รายสัปดาห์'!D50</f>
        <v>0.96969696969696972</v>
      </c>
      <c r="E22" s="452">
        <f>'SVB-รายสัปดาห์'!E50</f>
        <v>0.96226415094339623</v>
      </c>
      <c r="F22" s="452">
        <f>'SVB-รายสัปดาห์'!F50</f>
        <v>1.1881188118811881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714"/>
      <c r="T22" s="714"/>
      <c r="U22" s="714"/>
      <c r="V22" s="714"/>
    </row>
    <row r="23" spans="1:22" ht="18" customHeight="1">
      <c r="A23" s="453" t="s">
        <v>334</v>
      </c>
      <c r="B23" s="454">
        <f>'SVB-รายสัปดาห์'!B55</f>
        <v>9.6105527638190955E-2</v>
      </c>
      <c r="C23" s="454">
        <f>'SVB-รายสัปดาห์'!C55</f>
        <v>0.13944723618090452</v>
      </c>
      <c r="D23" s="454">
        <f>'SVB-รายสัปดาห์'!D55</f>
        <v>0.18090452261306533</v>
      </c>
      <c r="E23" s="454">
        <f>'SVB-รายสัปดาห์'!E55</f>
        <v>0.21419597989949749</v>
      </c>
      <c r="F23" s="454">
        <f>'SVB-รายสัปดาห์'!F55</f>
        <v>0.27763819095477388</v>
      </c>
      <c r="G23" s="454">
        <f>'SVB-รายสัปดาห์'!G55</f>
        <v>0.42902010050251255</v>
      </c>
      <c r="H23" s="454">
        <f>'SVB-รายสัปดาห์'!H55</f>
        <v>0.45979899497487436</v>
      </c>
      <c r="I23" s="454">
        <f>'SVB-รายสัปดาห์'!I55</f>
        <v>0.49120603015075376</v>
      </c>
      <c r="J23" s="454">
        <f>'SVB-รายสัปดาห์'!J55</f>
        <v>0.51067839195979903</v>
      </c>
      <c r="K23" s="454">
        <f>'SVB-รายสัปดาห์'!K55</f>
        <v>0.56469849246231152</v>
      </c>
      <c r="L23" s="454">
        <f>'SVB-รายสัปดาห์'!L55</f>
        <v>0.62311557788944727</v>
      </c>
      <c r="M23" s="454">
        <f>'SVB-รายสัปดาห์'!M55</f>
        <v>0.68404522613065322</v>
      </c>
      <c r="N23" s="454">
        <f>'SVB-รายสัปดาห์'!N55</f>
        <v>0.71545226130653261</v>
      </c>
      <c r="O23" s="454">
        <f>'SVB-รายสัปดาห์'!O55</f>
        <v>0.75188442211055273</v>
      </c>
      <c r="P23" s="454">
        <f>'SVB-รายสัปดาห์'!P55</f>
        <v>0.80025125628140703</v>
      </c>
      <c r="Q23" s="454">
        <f>'SVB-รายสัปดาห์'!Q55</f>
        <v>0.86243718592964824</v>
      </c>
      <c r="R23" s="454">
        <f>'SVB-รายสัปดาห์'!R55</f>
        <v>0.92462311557788945</v>
      </c>
      <c r="S23" s="715">
        <f>'SVB-รายสัปดาห์'!S55</f>
        <v>0.98555276381909551</v>
      </c>
      <c r="T23" s="715">
        <f>'SVB-รายสัปดาห์'!T55</f>
        <v>1</v>
      </c>
      <c r="U23" s="715">
        <f>'SVB-รายสัปดาห์'!U55</f>
        <v>1</v>
      </c>
      <c r="V23" s="715"/>
    </row>
    <row r="24" spans="1:22" ht="18" customHeight="1">
      <c r="A24" s="453" t="s">
        <v>335</v>
      </c>
      <c r="B24" s="454">
        <f>'SVB-รายสัปดาห์'!B54</f>
        <v>0.11243718592964824</v>
      </c>
      <c r="C24" s="454">
        <f>'SVB-รายสัปดาห์'!C54</f>
        <v>0.1407035175879397</v>
      </c>
      <c r="D24" s="454">
        <f>'SVB-รายสัปดาห์'!D54</f>
        <v>0.18090452261306533</v>
      </c>
      <c r="E24" s="454">
        <f>'SVB-รายสัปดาห์'!E54</f>
        <v>0.2129396984924623</v>
      </c>
      <c r="F24" s="454">
        <f>'SVB-รายสัปดาห์'!F54</f>
        <v>0.28831658291457285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715"/>
      <c r="T24" s="715"/>
      <c r="U24" s="715"/>
      <c r="V24" s="715"/>
    </row>
    <row r="25" spans="1:22" ht="18" customHeight="1">
      <c r="A25" s="453" t="s">
        <v>1234</v>
      </c>
      <c r="B25" s="454">
        <f>'SVB-รายสัปดาห์'!B63</f>
        <v>7.8501338090990191E-2</v>
      </c>
      <c r="C25" s="454">
        <f>'SVB-รายสัปดาห์'!C63</f>
        <v>0.11864406779661017</v>
      </c>
      <c r="D25" s="454">
        <f>'SVB-รายสัปดาห์'!D63</f>
        <v>0.17573595004460305</v>
      </c>
      <c r="E25" s="454">
        <f>'SVB-รายสัปดาห์'!E63</f>
        <v>0.22301516503122212</v>
      </c>
      <c r="F25" s="454">
        <f>'SVB-รายสัปดาห์'!F63</f>
        <v>0.31311329170383584</v>
      </c>
      <c r="G25" s="454">
        <f>'SVB-รายสัปดาห์'!G63</f>
        <v>0.36842105263157893</v>
      </c>
      <c r="H25" s="454">
        <f>'SVB-รายสัปดาห์'!H63</f>
        <v>0.39518287243532563</v>
      </c>
      <c r="I25" s="454">
        <f>'SVB-รายสัปดาห์'!I63</f>
        <v>0.42640499553969669</v>
      </c>
      <c r="J25" s="454">
        <f>'SVB-รายสัปดาห์'!J63</f>
        <v>0.45405887600356826</v>
      </c>
      <c r="K25" s="454">
        <f>'SVB-รายสัปดาห์'!K63</f>
        <v>0.49776984834968779</v>
      </c>
      <c r="L25" s="454">
        <f>'SVB-รายสัปดาห์'!L63</f>
        <v>0.54148082069580727</v>
      </c>
      <c r="M25" s="454">
        <f>'SVB-รายสัปดาห์'!M63</f>
        <v>0.62801070472792153</v>
      </c>
      <c r="N25" s="454">
        <f>'SVB-รายสัปดาห์'!N63</f>
        <v>0.67261373773416588</v>
      </c>
      <c r="O25" s="454">
        <f>'SVB-รายสัปดาห์'!O63</f>
        <v>0.72435325602140943</v>
      </c>
      <c r="P25" s="454">
        <f>'SVB-รายสัปดาห์'!P63</f>
        <v>0.79304192685102592</v>
      </c>
      <c r="Q25" s="454">
        <f>'SVB-รายสัปดาห์'!Q63</f>
        <v>0.87154326494201606</v>
      </c>
      <c r="R25" s="454">
        <f>'SVB-รายสัปดาห์'!R63</f>
        <v>0.93131132917038362</v>
      </c>
      <c r="S25" s="715">
        <f>'SVB-รายสัปดาห์'!S63</f>
        <v>0.98037466547725249</v>
      </c>
      <c r="T25" s="715">
        <f>'SVB-รายสัปดาห์'!T63</f>
        <v>1</v>
      </c>
      <c r="U25" s="715">
        <f>'SVB-รายสัปดาห์'!U63</f>
        <v>1</v>
      </c>
      <c r="V25" s="715"/>
    </row>
    <row r="26" spans="1:22" ht="18" customHeight="1">
      <c r="A26" s="453" t="s">
        <v>1235</v>
      </c>
      <c r="B26" s="454">
        <f>'SVB-รายสัปดาห์'!B62</f>
        <v>7.8501338090990191E-2</v>
      </c>
      <c r="C26" s="454">
        <f>'SVB-รายสัปดาห์'!C62</f>
        <v>0.11864406779661017</v>
      </c>
      <c r="D26" s="454">
        <f>'SVB-รายสัปดาห์'!D62</f>
        <v>0.17573595004460305</v>
      </c>
      <c r="E26" s="454">
        <f>'SVB-รายสัปดาห์'!E62</f>
        <v>0.22123104371097235</v>
      </c>
      <c r="F26" s="454">
        <f>'SVB-รายสัปดาห์'!F62</f>
        <v>0.32827832292595899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715"/>
      <c r="T26" s="715"/>
      <c r="U26" s="715"/>
      <c r="V26" s="715"/>
    </row>
    <row r="27" spans="1:22" ht="18" customHeight="1">
      <c r="A27" s="453" t="s">
        <v>1236</v>
      </c>
      <c r="B27" s="454">
        <f>'SVB-รายสัปดาห์'!B71</f>
        <v>9.662921348314607E-2</v>
      </c>
      <c r="C27" s="454">
        <f>'SVB-รายสัปดาห์'!C71</f>
        <v>0.15056179775280898</v>
      </c>
      <c r="D27" s="454">
        <f>'SVB-รายสัปดาห์'!D71</f>
        <v>0.15056179775280898</v>
      </c>
      <c r="E27" s="454">
        <f>'SVB-รายสัปดาห์'!E71</f>
        <v>0.15056179775280898</v>
      </c>
      <c r="F27" s="454">
        <f>'SVB-รายสัปดาห์'!F71</f>
        <v>0.15056179775280898</v>
      </c>
      <c r="G27" s="454">
        <f>'SVB-รายสัปดาห์'!G71</f>
        <v>0.54831460674157306</v>
      </c>
      <c r="H27" s="454">
        <f>'SVB-รายสัปดาห์'!H71</f>
        <v>0.59101123595505622</v>
      </c>
      <c r="I27" s="454">
        <f>'SVB-รายสัปดาห์'!I71</f>
        <v>0.62471910112359552</v>
      </c>
      <c r="J27" s="454">
        <f>'SVB-รายสัปดาห์'!J71</f>
        <v>0.62471910112359552</v>
      </c>
      <c r="K27" s="454">
        <f>'SVB-รายสัปดาห์'!K71</f>
        <v>0.7078651685393258</v>
      </c>
      <c r="L27" s="454">
        <f>'SVB-รายสัปดาห์'!L71</f>
        <v>0.80674157303370786</v>
      </c>
      <c r="M27" s="454">
        <f>'SVB-รายสัปดาห์'!M71</f>
        <v>0.80674157303370786</v>
      </c>
      <c r="N27" s="454">
        <f>'SVB-รายสัปดาห์'!N71</f>
        <v>0.80674157303370786</v>
      </c>
      <c r="O27" s="454">
        <f>'SVB-รายสัปดาห์'!O71</f>
        <v>0.80674157303370786</v>
      </c>
      <c r="P27" s="454">
        <f>'SVB-รายสัปดาห์'!P71</f>
        <v>0.80674157303370786</v>
      </c>
      <c r="Q27" s="454">
        <f>'SVB-รายสัปดาห์'!Q71</f>
        <v>0.8314606741573034</v>
      </c>
      <c r="R27" s="454">
        <f>'SVB-รายสัปดาห์'!R71</f>
        <v>0.90337078651685399</v>
      </c>
      <c r="S27" s="715">
        <f>'SVB-รายสัปดาห์'!S71</f>
        <v>0.99775280898876406</v>
      </c>
      <c r="T27" s="715">
        <f>'SVB-รายสัปดาห์'!T71</f>
        <v>1</v>
      </c>
      <c r="U27" s="715">
        <f>'SVB-รายสัปดาห์'!U71</f>
        <v>1</v>
      </c>
      <c r="V27" s="715"/>
    </row>
    <row r="28" spans="1:22" ht="18" customHeight="1">
      <c r="A28" s="453" t="s">
        <v>1237</v>
      </c>
      <c r="B28" s="454">
        <f>'SVB-รายสัปดาห์'!B70</f>
        <v>0.15056179775280898</v>
      </c>
      <c r="C28" s="454">
        <f>'SVB-รายสัปดาห์'!C70</f>
        <v>0.15056179775280898</v>
      </c>
      <c r="D28" s="454">
        <f>'SVB-รายสัปดาห์'!D70</f>
        <v>0.15056179775280898</v>
      </c>
      <c r="E28" s="454">
        <f>'SVB-รายสัปดาห์'!E70</f>
        <v>0.15056179775280898</v>
      </c>
      <c r="F28" s="454">
        <f>'SVB-รายสัปดาห์'!F70</f>
        <v>0.15056179775280898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715"/>
      <c r="T28" s="715"/>
      <c r="U28" s="715"/>
      <c r="V28" s="715"/>
    </row>
    <row r="29" spans="1:22" ht="18" customHeight="1">
      <c r="A29" s="455" t="s">
        <v>1238</v>
      </c>
      <c r="B29" s="456">
        <f t="shared" ref="B29:C29" si="12">IF(B5=0,0,B8/B5)</f>
        <v>1.1699346405228759</v>
      </c>
      <c r="C29" s="456">
        <f t="shared" si="12"/>
        <v>0.65217391304347827</v>
      </c>
      <c r="D29" s="456">
        <f t="shared" ref="D29:E29" si="13">IF(D5=0,0,D8/D5)</f>
        <v>0.96969696969696972</v>
      </c>
      <c r="E29" s="456">
        <f t="shared" si="13"/>
        <v>0.96226415094339623</v>
      </c>
      <c r="F29" s="456">
        <f t="shared" ref="F29" si="14">IF(F5=0,0,F8/F5)</f>
        <v>1.1881188118811881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716"/>
      <c r="T29" s="716"/>
      <c r="U29" s="716"/>
      <c r="V29" s="716"/>
    </row>
    <row r="30" spans="1:22" ht="18" customHeight="1">
      <c r="A30" s="455" t="s">
        <v>1239</v>
      </c>
      <c r="B30" s="456">
        <f t="shared" ref="B30:C30" si="15">IF(B5=0,0,B9/B5)</f>
        <v>1.1699346405228759</v>
      </c>
      <c r="C30" s="456">
        <f t="shared" si="15"/>
        <v>0.65217391304347827</v>
      </c>
      <c r="D30" s="456">
        <f t="shared" ref="D30:E30" si="16">IF(D5=0,0,D9/D5)</f>
        <v>0.96969696969696972</v>
      </c>
      <c r="E30" s="456">
        <f t="shared" si="16"/>
        <v>0.96226415094339623</v>
      </c>
      <c r="F30" s="456">
        <f t="shared" ref="F30" si="17">IF(F5=0,0,F9/F5)</f>
        <v>1.1881188118811881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716"/>
      <c r="T30" s="716"/>
      <c r="U30" s="716"/>
      <c r="V30" s="716"/>
    </row>
    <row r="31" spans="1:22" ht="18" customHeight="1">
      <c r="A31" s="455" t="s">
        <v>1240</v>
      </c>
      <c r="B31" s="456">
        <f t="shared" ref="B31:C31" si="18">IF(B5=0,0,B10/B5)</f>
        <v>1.1699346405228759</v>
      </c>
      <c r="C31" s="456">
        <f t="shared" si="18"/>
        <v>0.65217391304347827</v>
      </c>
      <c r="D31" s="456">
        <f t="shared" ref="D31:E31" si="19">IF(D5=0,0,D10/D5)</f>
        <v>0.96969696969696972</v>
      </c>
      <c r="E31" s="456">
        <f t="shared" si="19"/>
        <v>0.96226415094339623</v>
      </c>
      <c r="F31" s="456">
        <f t="shared" ref="F31" si="20">IF(F5=0,0,F10/F5)</f>
        <v>1.1881188118811881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716"/>
      <c r="T31" s="716"/>
      <c r="U31" s="716"/>
      <c r="V31" s="716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3" customWidth="1"/>
    <col min="2" max="8" width="14" style="423" customWidth="1"/>
    <col min="9" max="9" width="8.6640625" style="423"/>
    <col min="10" max="10" width="16.33203125" style="423" customWidth="1"/>
    <col min="11" max="16" width="14.33203125" style="423" customWidth="1"/>
    <col min="17" max="17" width="14.6640625" style="423" customWidth="1"/>
    <col min="18" max="18" width="8.6640625" style="423"/>
    <col min="19" max="26" width="15.33203125" style="423" customWidth="1"/>
    <col min="27" max="16384" width="8.6640625" style="423"/>
  </cols>
  <sheetData>
    <row r="1" spans="1:26" ht="30" customHeight="1">
      <c r="A1" s="780" t="s">
        <v>1241</v>
      </c>
      <c r="B1" s="780"/>
      <c r="C1" s="780"/>
      <c r="D1" s="780"/>
      <c r="E1" s="780"/>
      <c r="F1" s="780"/>
      <c r="G1" s="780"/>
      <c r="H1" s="780"/>
      <c r="J1" s="780" t="s">
        <v>1242</v>
      </c>
      <c r="K1" s="780"/>
      <c r="L1" s="780"/>
      <c r="M1" s="780"/>
      <c r="N1" s="780"/>
      <c r="O1" s="780"/>
      <c r="P1" s="780"/>
      <c r="Q1" s="780"/>
      <c r="S1" s="780" t="s">
        <v>1243</v>
      </c>
      <c r="T1" s="780"/>
      <c r="U1" s="780"/>
      <c r="V1" s="780"/>
      <c r="W1" s="780"/>
      <c r="X1" s="780"/>
      <c r="Y1" s="780"/>
      <c r="Z1" s="780"/>
    </row>
    <row r="2" spans="1:26" ht="18" customHeight="1">
      <c r="A2" s="998" t="s">
        <v>1244</v>
      </c>
      <c r="B2" s="998"/>
      <c r="C2" s="998"/>
      <c r="D2" s="998"/>
      <c r="E2" s="998"/>
      <c r="F2" s="998"/>
      <c r="G2" s="998"/>
      <c r="H2" s="998"/>
      <c r="J2" s="998" t="s">
        <v>1244</v>
      </c>
      <c r="K2" s="998"/>
      <c r="L2" s="998"/>
      <c r="M2" s="998"/>
      <c r="N2" s="998"/>
      <c r="O2" s="998"/>
      <c r="P2" s="998"/>
      <c r="Q2" s="998"/>
      <c r="S2" s="998" t="s">
        <v>1244</v>
      </c>
      <c r="T2" s="998"/>
      <c r="U2" s="998"/>
      <c r="V2" s="998"/>
      <c r="W2" s="998"/>
      <c r="X2" s="998"/>
      <c r="Y2" s="998"/>
      <c r="Z2" s="998"/>
    </row>
    <row r="4" spans="1:26" ht="15.75" customHeight="1">
      <c r="A4" s="546" t="s">
        <v>1245</v>
      </c>
      <c r="B4" s="547" t="s">
        <v>1246</v>
      </c>
      <c r="J4" s="546" t="s">
        <v>1245</v>
      </c>
      <c r="K4" s="547" t="s">
        <v>352</v>
      </c>
      <c r="S4" s="546" t="s">
        <v>1245</v>
      </c>
      <c r="T4" s="547" t="s">
        <v>531</v>
      </c>
    </row>
    <row r="5" spans="1:26" ht="4.5" customHeight="1"/>
    <row r="6" spans="1:26" ht="19.5" customHeight="1">
      <c r="A6" s="617" t="s">
        <v>343</v>
      </c>
      <c r="B6" s="617" t="s">
        <v>1247</v>
      </c>
      <c r="C6" s="617" t="s">
        <v>1248</v>
      </c>
      <c r="D6" s="617" t="s">
        <v>1249</v>
      </c>
      <c r="E6" s="617" t="s">
        <v>28</v>
      </c>
      <c r="F6" s="617" t="s">
        <v>1238</v>
      </c>
      <c r="G6" s="617" t="s">
        <v>1239</v>
      </c>
      <c r="H6" s="617" t="s">
        <v>1240</v>
      </c>
      <c r="J6" s="617" t="s">
        <v>343</v>
      </c>
      <c r="K6" s="617" t="s">
        <v>1247</v>
      </c>
      <c r="L6" s="617" t="s">
        <v>1248</v>
      </c>
      <c r="M6" s="617" t="s">
        <v>1249</v>
      </c>
      <c r="N6" s="617" t="s">
        <v>28</v>
      </c>
      <c r="O6" s="617" t="s">
        <v>1238</v>
      </c>
      <c r="P6" s="617" t="s">
        <v>1239</v>
      </c>
      <c r="Q6" s="617" t="s">
        <v>1240</v>
      </c>
      <c r="S6" s="617" t="s">
        <v>343</v>
      </c>
      <c r="T6" s="617" t="s">
        <v>1247</v>
      </c>
      <c r="U6" s="617" t="s">
        <v>1248</v>
      </c>
      <c r="V6" s="617" t="s">
        <v>1249</v>
      </c>
      <c r="W6" s="617" t="s">
        <v>28</v>
      </c>
      <c r="X6" s="617" t="s">
        <v>1238</v>
      </c>
      <c r="Y6" s="617" t="s">
        <v>1239</v>
      </c>
      <c r="Z6" s="617" t="s">
        <v>1240</v>
      </c>
    </row>
    <row r="7" spans="1:26" ht="18" customHeight="1">
      <c r="A7" s="542" t="s">
        <v>1246</v>
      </c>
      <c r="B7" s="548" cm="1">
        <f t="array" ref="B7">SUMPRODUCT((SVB!$B$2:$B$740&lt;&gt;"")*(ISNUMBER(SVB!$F$2:$F$740))*(SVB!$F$2:$F$740))</f>
        <v>1592</v>
      </c>
      <c r="C7" s="548" cm="1">
        <f t="array" ref="C7">SUMPRODUCT((SVB!$B$2:$B$740&lt;&gt;"")*(ISNUMBER(SVB!$M$2:$M$740))*(SVB!$M$2:$M$740))</f>
        <v>460</v>
      </c>
      <c r="D7" s="548" cm="1">
        <f t="array" ref="D7">SUMPRODUCT((SVB!$B$2:$B$740&lt;&gt;"")*(ISNUMBER(SVB!$N$2:$N$740))*(SVB!$N$2:$N$740))</f>
        <v>460</v>
      </c>
      <c r="E7" s="548" cm="1">
        <f t="array" ref="E7">SUMPRODUCT((SVB!$B$2:$B$740&lt;&gt;"")*(ISNUMBER(SVB!$O$2:$O$740))*(SVB!$O$2:$O$740))</f>
        <v>460</v>
      </c>
      <c r="F7" s="549">
        <f t="shared" ref="F7:F14" si="0">IF(B7=0,"-",C7/B7)</f>
        <v>0.28894472361809043</v>
      </c>
      <c r="G7" s="549">
        <f t="shared" ref="G7:G14" si="1">IF(B7=0,"-",D7/B7)</f>
        <v>0.28894472361809043</v>
      </c>
      <c r="H7" s="549">
        <f t="shared" ref="H7:H14" si="2">IF(B7=0,"-",E7/B7)</f>
        <v>0.28894472361809043</v>
      </c>
      <c r="J7" s="542" t="s">
        <v>1246</v>
      </c>
      <c r="K7" s="548" cm="1">
        <f t="array" ref="K7">SUMPRODUCT((SVB!$B$2:$B$740&lt;&gt;"")*(SVB!$K$2:$K$740="Switch")*(ISNUMBER(SVB!$F$2:$F$740))*(SVB!$F$2:$F$740))</f>
        <v>1121</v>
      </c>
      <c r="L7" s="548" cm="1">
        <f t="array" ref="L7">SUMPRODUCT((SVB!$B$2:$B$740&lt;&gt;"")*(SVB!$K$2:$K$740="Switch")*(ISNUMBER(SVB!$M$2:$M$740))*(SVB!$M$2:$M$740))</f>
        <v>369</v>
      </c>
      <c r="M7" s="548" cm="1">
        <f t="array" ref="M7">SUMPRODUCT((SVB!$B$2:$B$740&lt;&gt;"")*(SVB!$K$2:$K$740="Switch")*(ISNUMBER(SVB!$N$2:$N$740))*(SVB!$N$2:$N$740))</f>
        <v>369</v>
      </c>
      <c r="N7" s="548" cm="1">
        <f t="array" ref="N7">SUMPRODUCT((SVB!$B$2:$B$740&lt;&gt;"")*(SVB!$K$2:$K$740="Switch")*(ISNUMBER(SVB!$O$2:$O$740))*(SVB!$O$2:$O$740))</f>
        <v>369</v>
      </c>
      <c r="O7" s="549">
        <f t="shared" ref="O7:O14" si="3">IF(K7=0,"-",L7/K7)</f>
        <v>0.32917038358608386</v>
      </c>
      <c r="P7" s="549">
        <f t="shared" ref="P7:P14" si="4">IF(K7=0,"-",M7/K7)</f>
        <v>0.32917038358608386</v>
      </c>
      <c r="Q7" s="549">
        <f t="shared" ref="Q7:Q14" si="5">IF(K7=0,"-",N7/K7)</f>
        <v>0.32917038358608386</v>
      </c>
      <c r="S7" s="542" t="s">
        <v>1246</v>
      </c>
      <c r="T7" s="548" cm="1">
        <f t="array" ref="T7">SUMPRODUCT((SVB!$B$2:$B$740&lt;&gt;"")*(SVB!$K$2:$K$740="AP")*(ISNUMBER(SVB!$F$2:$F$740))*(SVB!$F$2:$F$740))</f>
        <v>445</v>
      </c>
      <c r="U7" s="548" cm="1">
        <f t="array" ref="U7">SUMPRODUCT((SVB!$B$2:$B$740&lt;&gt;"")*(SVB!$K$2:$K$740="Switch")*(ISNUMBER(SVB!$M$2:$M$740))*(SVB!$M$2:$M$740))</f>
        <v>369</v>
      </c>
      <c r="V7" s="548" cm="1">
        <f t="array" ref="V7">SUMPRODUCT((SVB!$B$2:$B$740&lt;&gt;"")*(SVB!$K$2:$K$740="Switch")*(ISNUMBER(SVB!$N$2:$N$740))*(SVB!$N$2:$N$740))</f>
        <v>369</v>
      </c>
      <c r="W7" s="548" cm="1">
        <f t="array" ref="W7">SUMPRODUCT((SVB!$B$2:$B$740&lt;&gt;"")*(SVB!$K$2:$K$740="Switch")*(ISNUMBER(SVB!$O$2:$O$740))*(SVB!$O$2:$O$740))</f>
        <v>369</v>
      </c>
      <c r="X7" s="549">
        <f t="shared" ref="X7:X14" si="6">IF(T7=0,"-",U7/T7)</f>
        <v>0.82921348314606746</v>
      </c>
      <c r="Y7" s="549">
        <f t="shared" ref="Y7:Y14" si="7">IF(T7=0,"-",V7/T7)</f>
        <v>0.82921348314606746</v>
      </c>
      <c r="Z7" s="549">
        <f t="shared" ref="Z7:Z14" si="8">IF(T7=0,"-",W7/T7)</f>
        <v>0.82921348314606746</v>
      </c>
    </row>
    <row r="8" spans="1:26" ht="18" customHeight="1">
      <c r="A8" s="618" t="s">
        <v>805</v>
      </c>
      <c r="B8" s="619" cm="1">
        <f t="array" ref="B8">SUMPRODUCT((SVB!$B$2:$B$740="AMF")*(ISNUMBER(SVB!$F$2:$F$740))*(SVB!$F$2:$F$740))</f>
        <v>114</v>
      </c>
      <c r="C8" s="619" cm="1">
        <f t="array" ref="C8">SUMPRODUCT((SVB!$B$2:$B$740="AMF")*(ISNUMBER(SVB!$M$2:$M$740))*(SVB!$M$2:$M$740))</f>
        <v>2</v>
      </c>
      <c r="D8" s="619" cm="1">
        <f t="array" ref="D8">SUMPRODUCT((SVB!$B$2:$B$740="AMF")*(ISNUMBER(SVB!$N$2:$N$740))*(SVB!$N$2:$N$740))</f>
        <v>2</v>
      </c>
      <c r="E8" s="619" cm="1">
        <f t="array" ref="E8">SUMPRODUCT((SVB!$B$2:$B$740="AMF")*(ISNUMBER(SVB!$O$2:$O$740))*(SVB!$O$2:$O$740))</f>
        <v>2</v>
      </c>
      <c r="F8" s="620">
        <f t="shared" si="0"/>
        <v>1.7543859649122806E-2</v>
      </c>
      <c r="G8" s="620">
        <f t="shared" si="1"/>
        <v>1.7543859649122806E-2</v>
      </c>
      <c r="H8" s="620">
        <f t="shared" si="2"/>
        <v>1.7543859649122806E-2</v>
      </c>
      <c r="J8" s="618" t="s">
        <v>805</v>
      </c>
      <c r="K8" s="619" cm="1">
        <f t="array" ref="K8">SUMPRODUCT((SVB!$B$2:$B$740="AMF")*(SVB!$K$2:$K$740="Switch")*(ISNUMBER(SVB!$F$2:$F$740))*(SVB!$F$2:$F$740))</f>
        <v>69</v>
      </c>
      <c r="L8" s="619" cm="1">
        <f t="array" ref="L8">SUMPRODUCT((SVB!$B$2:$B$740="AMF")*(SVB!$K$2:$K$740="Switch")*(ISNUMBER(SVB!$M$2:$M$740))*(SVB!$M$2:$M$740))</f>
        <v>0</v>
      </c>
      <c r="M8" s="619" cm="1">
        <f t="array" ref="M8">SUMPRODUCT((SVB!$B$2:$B$740="AMF")*(SVB!$K$2:$K$740="Switch")*(ISNUMBER(SVB!$N$2:$N$740))*(SVB!$N$2:$N$740))</f>
        <v>0</v>
      </c>
      <c r="N8" s="619" cm="1">
        <f t="array" ref="N8">SUMPRODUCT((SVB!$B$2:$B$740="AMF")*(SVB!$K$2:$K$740="Switch")*(ISNUMBER(SVB!$O$2:$O$740))*(SVB!$O$2:$O$740))</f>
        <v>0</v>
      </c>
      <c r="O8" s="620">
        <f t="shared" si="3"/>
        <v>0</v>
      </c>
      <c r="P8" s="620">
        <f t="shared" si="4"/>
        <v>0</v>
      </c>
      <c r="Q8" s="620">
        <f t="shared" si="5"/>
        <v>0</v>
      </c>
      <c r="S8" s="618" t="s">
        <v>805</v>
      </c>
      <c r="T8" s="619" cm="1">
        <f t="array" ref="T8">SUMPRODUCT((SVB!$B$2:$B$740="AMF")*(SVB!$K$2:$K$740="AP")*(ISNUMBER(SVB!$F$2:$F$740))*(SVB!$F$2:$F$740))</f>
        <v>43</v>
      </c>
      <c r="U8" s="619" cm="1">
        <f t="array" ref="U8">SUMPRODUCT((SVB!$B$2:$B$740="AMF")*(SVB!$K$2:$K$740="AP")*(ISNUMBER(SVB!$M$2:$M$740))*(SVB!$M$2:$M$740))</f>
        <v>0</v>
      </c>
      <c r="V8" s="619" cm="1">
        <f t="array" ref="V8">SUMPRODUCT((SVB!$B$2:$B$740="AMF")*(SVB!$K$2:$K$740="AP")*(ISNUMBER(SVB!$N$2:$N$740))*(SVB!$N$2:$N$740))</f>
        <v>0</v>
      </c>
      <c r="W8" s="619" cm="1">
        <f t="array" ref="W8">SUMPRODUCT((SVB!$B$2:$B$740="AMF")*(SVB!$K$2:$K$740="AP")*(ISNUMBER(SVB!$O$2:$O$740))*(SVB!$O$2:$O$740))</f>
        <v>0</v>
      </c>
      <c r="X8" s="620">
        <f t="shared" si="6"/>
        <v>0</v>
      </c>
      <c r="Y8" s="620">
        <f t="shared" si="7"/>
        <v>0</v>
      </c>
      <c r="Z8" s="620">
        <f t="shared" si="8"/>
        <v>0</v>
      </c>
    </row>
    <row r="9" spans="1:26" ht="18" customHeight="1">
      <c r="A9" s="618" t="s">
        <v>531</v>
      </c>
      <c r="B9" s="619" cm="1">
        <f t="array" ref="B9">SUMPRODUCT((SVB!$B$2:$B$740="CFZ")*(ISNUMBER(SVB!$F$2:$F$740))*(SVB!$F$2:$F$740))</f>
        <v>187</v>
      </c>
      <c r="C9" s="619" cm="1">
        <f t="array" ref="C9">SUMPRODUCT((SVB!$B$2:$B$740="CFZ")*(ISNUMBER(SVB!$M$2:$M$740))*(SVB!$M$2:$M$740))</f>
        <v>169</v>
      </c>
      <c r="D9" s="619" cm="1">
        <f t="array" ref="D9">SUMPRODUCT((SVB!$B$2:$B$740="CFZ")*(ISNUMBER(SVB!$N$2:$N$740))*(SVB!$N$2:$N$740))</f>
        <v>169</v>
      </c>
      <c r="E9" s="619" cm="1">
        <f t="array" ref="E9">SUMPRODUCT((SVB!$B$2:$B$740="CFZ")*(ISNUMBER(SVB!$O$2:$O$740))*(SVB!$O$2:$O$740))</f>
        <v>169</v>
      </c>
      <c r="F9" s="620">
        <f t="shared" si="0"/>
        <v>0.90374331550802134</v>
      </c>
      <c r="G9" s="620">
        <f t="shared" si="1"/>
        <v>0.90374331550802134</v>
      </c>
      <c r="H9" s="620">
        <f t="shared" si="2"/>
        <v>0.90374331550802134</v>
      </c>
      <c r="J9" s="618" t="s">
        <v>531</v>
      </c>
      <c r="K9" s="619" cm="1">
        <f t="array" ref="K9">SUMPRODUCT((SVB!$B$2:$B$740="CFZ")*(SVB!$K$2:$K$740="Switch")*(ISNUMBER(SVB!$F$2:$F$740))*(SVB!$F$2:$F$740))</f>
        <v>156</v>
      </c>
      <c r="L9" s="619" cm="1">
        <f t="array" ref="L9">SUMPRODUCT((SVB!$B$2:$B$740="CFZ")*(SVB!$K$2:$K$740="Switch")*(ISNUMBER(SVB!$M$2:$M$740))*(SVB!$M$2:$M$740))</f>
        <v>141</v>
      </c>
      <c r="M9" s="619" cm="1">
        <f t="array" ref="M9">SUMPRODUCT((SVB!$B$2:$B$740="CFZ")*(SVB!$K$2:$K$740="Switch")*(ISNUMBER(SVB!$N$2:$N$740))*(SVB!$N$2:$N$740))</f>
        <v>141</v>
      </c>
      <c r="N9" s="619" cm="1">
        <f t="array" ref="N9">SUMPRODUCT((SVB!$B$2:$B$740="CFZ")*(SVB!$K$2:$K$740="Switch")*(ISNUMBER(SVB!$O$2:$O$740))*(SVB!$O$2:$O$740))</f>
        <v>141</v>
      </c>
      <c r="O9" s="620">
        <f t="shared" si="3"/>
        <v>0.90384615384615385</v>
      </c>
      <c r="P9" s="620">
        <f t="shared" si="4"/>
        <v>0.90384615384615385</v>
      </c>
      <c r="Q9" s="620">
        <f t="shared" si="5"/>
        <v>0.90384615384615385</v>
      </c>
      <c r="S9" s="618" t="s">
        <v>531</v>
      </c>
      <c r="T9" s="619" cm="1">
        <f t="array" ref="T9">SUMPRODUCT((SVB!$B$2:$B$740="CFZ")*(SVB!$K$2:$K$740="AP")*(ISNUMBER(SVB!$F$2:$F$740))*(SVB!$F$2:$F$740))</f>
        <v>25</v>
      </c>
      <c r="U9" s="619" cm="1">
        <f t="array" ref="U9">SUMPRODUCT((SVB!$B$2:$B$740="CFZ")*(SVB!$K$2:$K$740="AP")*(ISNUMBER(SVB!$M$2:$M$740))*(SVB!$M$2:$M$740))</f>
        <v>24</v>
      </c>
      <c r="V9" s="619" cm="1">
        <f t="array" ref="V9">SUMPRODUCT((SVB!$B$2:$B$740="CFZ")*(SVB!$K$2:$K$740="AP")*(ISNUMBER(SVB!$N$2:$N$740))*(SVB!$N$2:$N$740))</f>
        <v>24</v>
      </c>
      <c r="W9" s="619" cm="1">
        <f t="array" ref="W9">SUMPRODUCT((SVB!$B$2:$B$740="CFZ")*(SVB!$K$2:$K$740="AP")*(ISNUMBER(SVB!$O$2:$O$740))*(SVB!$O$2:$O$740))</f>
        <v>24</v>
      </c>
      <c r="X9" s="620">
        <f t="shared" si="6"/>
        <v>0.96</v>
      </c>
      <c r="Y9" s="620">
        <f t="shared" si="7"/>
        <v>0.96</v>
      </c>
      <c r="Z9" s="620">
        <f t="shared" si="8"/>
        <v>0.96</v>
      </c>
    </row>
    <row r="10" spans="1:26" ht="18" customHeight="1">
      <c r="A10" s="618" t="s">
        <v>352</v>
      </c>
      <c r="B10" s="619" cm="1">
        <f t="array" ref="B10">SUMPRODUCT((SVB!$B$2:$B$740="D1-041")*(ISNUMBER(SVB!$F$2:$F$740))*(SVB!$F$2:$F$740))</f>
        <v>710</v>
      </c>
      <c r="C10" s="619" cm="1">
        <f t="array" ref="C10">SUMPRODUCT((SVB!$B$2:$B$740="D1-041")*(ISNUMBER(SVB!$M$2:$M$740))*(SVB!$M$2:$M$740))</f>
        <v>281</v>
      </c>
      <c r="D10" s="619" cm="1">
        <f t="array" ref="D10">SUMPRODUCT((SVB!$B$2:$B$740="D1-041")*(ISNUMBER(SVB!$N$2:$N$740))*(SVB!$N$2:$N$740))</f>
        <v>281</v>
      </c>
      <c r="E10" s="619" cm="1">
        <f t="array" ref="E10">SUMPRODUCT((SVB!$B$2:$B$740="D1-041")*(ISNUMBER(SVB!$O$2:$O$740))*(SVB!$O$2:$O$740))</f>
        <v>281</v>
      </c>
      <c r="F10" s="620">
        <f t="shared" si="0"/>
        <v>0.39577464788732392</v>
      </c>
      <c r="G10" s="620">
        <f t="shared" si="1"/>
        <v>0.39577464788732392</v>
      </c>
      <c r="H10" s="620">
        <f t="shared" si="2"/>
        <v>0.39577464788732392</v>
      </c>
      <c r="J10" s="618" t="s">
        <v>352</v>
      </c>
      <c r="K10" s="619" cm="1">
        <f t="array" ref="K10">SUMPRODUCT((SVB!$B$2:$B$740="D1-041")*(SVB!$K$2:$K$740="Switch")*(ISNUMBER(SVB!$F$2:$F$740))*(SVB!$F$2:$F$740))</f>
        <v>410</v>
      </c>
      <c r="L10" s="619" cm="1">
        <f t="array" ref="L10">SUMPRODUCT((SVB!$B$2:$B$740="D1-041")*(SVB!$K$2:$K$740="Switch")*(ISNUMBER(SVB!$M$2:$M$740))*(SVB!$M$2:$M$740))</f>
        <v>228</v>
      </c>
      <c r="M10" s="619" cm="1">
        <f t="array" ref="M10">SUMPRODUCT((SVB!$B$2:$B$740="D1-041")*(SVB!$K$2:$K$740="Switch")*(ISNUMBER(SVB!$N$2:$N$740))*(SVB!$N$2:$N$740))</f>
        <v>228</v>
      </c>
      <c r="N10" s="619" cm="1">
        <f t="array" ref="N10">SUMPRODUCT((SVB!$B$2:$B$740="D1-041")*(SVB!$K$2:$K$740="Switch")*(ISNUMBER(SVB!$O$2:$O$740))*(SVB!$O$2:$O$740))</f>
        <v>228</v>
      </c>
      <c r="O10" s="620">
        <f t="shared" si="3"/>
        <v>0.55609756097560981</v>
      </c>
      <c r="P10" s="620">
        <f t="shared" si="4"/>
        <v>0.55609756097560981</v>
      </c>
      <c r="Q10" s="620">
        <f t="shared" si="5"/>
        <v>0.55609756097560981</v>
      </c>
      <c r="S10" s="618" t="s">
        <v>352</v>
      </c>
      <c r="T10" s="619" cm="1">
        <f t="array" ref="T10">SUMPRODUCT((SVB!$B$2:$B$740="D1-041")*(SVB!$K$2:$K$740="AP")*(ISNUMBER(SVB!$F$2:$F$740))*(SVB!$F$2:$F$740))</f>
        <v>290</v>
      </c>
      <c r="U10" s="619" cm="1">
        <f t="array" ref="U10">SUMPRODUCT((SVB!$B$2:$B$740="D1-041")*(SVB!$K$2:$K$740="AP")*(ISNUMBER(SVB!$M$2:$M$740))*(SVB!$M$2:$M$740))</f>
        <v>43</v>
      </c>
      <c r="V10" s="619" cm="1">
        <f t="array" ref="V10">SUMPRODUCT((SVB!$B$2:$B$740="D1-041")*(SVB!$K$2:$K$740="AP")*(ISNUMBER(SVB!$N$2:$N$740))*(SVB!$N$2:$N$740))</f>
        <v>43</v>
      </c>
      <c r="W10" s="619" cm="1">
        <f t="array" ref="W10">SUMPRODUCT((SVB!$B$2:$B$740="D1-041")*(SVB!$K$2:$K$740="AP")*(ISNUMBER(SVB!$O$2:$O$740))*(SVB!$O$2:$O$740))</f>
        <v>43</v>
      </c>
      <c r="X10" s="620">
        <f t="shared" si="6"/>
        <v>0.14827586206896551</v>
      </c>
      <c r="Y10" s="620">
        <f t="shared" si="7"/>
        <v>0.14827586206896551</v>
      </c>
      <c r="Z10" s="620">
        <f t="shared" si="8"/>
        <v>0.14827586206896551</v>
      </c>
    </row>
    <row r="11" spans="1:26" ht="18" customHeight="1">
      <c r="A11" s="618" t="s">
        <v>415</v>
      </c>
      <c r="B11" s="619" cm="1">
        <f t="array" ref="B11">SUMPRODUCT((SVB!$B$2:$B$740="D1-091")*(ISNUMBER(SVB!$F$2:$F$740))*(SVB!$F$2:$F$740))</f>
        <v>147</v>
      </c>
      <c r="C11" s="619" cm="1">
        <f t="array" ref="C11">SUMPRODUCT((SVB!$B$2:$B$740="D1-091")*(ISNUMBER(SVB!$M$2:$M$740))*(SVB!$M$2:$M$740))</f>
        <v>2</v>
      </c>
      <c r="D11" s="619" cm="1">
        <f t="array" ref="D11">SUMPRODUCT((SVB!$B$2:$B$740="D1-091")*(ISNUMBER(SVB!$N$2:$N$740))*(SVB!$N$2:$N$740))</f>
        <v>2</v>
      </c>
      <c r="E11" s="619" cm="1">
        <f t="array" ref="E11">SUMPRODUCT((SVB!$B$2:$B$740="D1-091")*(ISNUMBER(SVB!$O$2:$O$740))*(SVB!$O$2:$O$740))</f>
        <v>2</v>
      </c>
      <c r="F11" s="620">
        <f t="shared" si="0"/>
        <v>1.3605442176870748E-2</v>
      </c>
      <c r="G11" s="620">
        <f t="shared" si="1"/>
        <v>1.3605442176870748E-2</v>
      </c>
      <c r="H11" s="620">
        <f t="shared" si="2"/>
        <v>1.3605442176870748E-2</v>
      </c>
      <c r="J11" s="618" t="s">
        <v>415</v>
      </c>
      <c r="K11" s="619" cm="1">
        <f t="array" ref="K11">SUMPRODUCT((SVB!$B$2:$B$740="D1-091")*(SVB!$K$2:$K$740="Switch")*(ISNUMBER(SVB!$F$2:$F$740))*(SVB!$F$2:$F$740))</f>
        <v>134</v>
      </c>
      <c r="L11" s="619" cm="1">
        <f t="array" ref="L11">SUMPRODUCT((SVB!$B$2:$B$740="D1-091")*(SVB!$K$2:$K$740="Switch")*(ISNUMBER(SVB!$M$2:$M$740))*(SVB!$M$2:$M$740))</f>
        <v>0</v>
      </c>
      <c r="M11" s="619" cm="1">
        <f t="array" ref="M11">SUMPRODUCT((SVB!$B$2:$B$740="D1-091")*(SVB!$K$2:$K$740="Switch")*(ISNUMBER(SVB!$N$2:$N$740))*(SVB!$N$2:$N$740))</f>
        <v>0</v>
      </c>
      <c r="N11" s="619" cm="1">
        <f t="array" ref="N11">SUMPRODUCT((SVB!$B$2:$B$740="D1-091")*(SVB!$K$2:$K$740="Switch")*(ISNUMBER(SVB!$O$2:$O$740))*(SVB!$O$2:$O$740))</f>
        <v>0</v>
      </c>
      <c r="O11" s="620">
        <f t="shared" si="3"/>
        <v>0</v>
      </c>
      <c r="P11" s="620">
        <f t="shared" si="4"/>
        <v>0</v>
      </c>
      <c r="Q11" s="620">
        <f t="shared" si="5"/>
        <v>0</v>
      </c>
      <c r="S11" s="618" t="s">
        <v>415</v>
      </c>
      <c r="T11" s="619" cm="1">
        <f t="array" ref="T11">SUMPRODUCT((SVB!$B$2:$B$740="D1-091")*(SVB!$K$2:$K$740="AP")*(ISNUMBER(SVB!$F$2:$F$740))*(SVB!$F$2:$F$740))</f>
        <v>11</v>
      </c>
      <c r="U11" s="619" cm="1">
        <f t="array" ref="U11">SUMPRODUCT((SVB!$B$2:$B$740="D1-091")*(SVB!$K$2:$K$740="AP")*(ISNUMBER(SVB!$M$2:$M$740))*(SVB!$M$2:$M$740))</f>
        <v>0</v>
      </c>
      <c r="V11" s="619" cm="1">
        <f t="array" ref="V11">SUMPRODUCT((SVB!$B$2:$B$740="D1-091")*(SVB!$K$2:$K$740="AP")*(ISNUMBER(SVB!$N$2:$N$740))*(SVB!$N$2:$N$740))</f>
        <v>0</v>
      </c>
      <c r="W11" s="619" cm="1">
        <f t="array" ref="W11">SUMPRODUCT((SVB!$B$2:$B$740="D1-091")*(SVB!$K$2:$K$740="AP")*(ISNUMBER(SVB!$O$2:$O$740))*(SVB!$O$2:$O$740))</f>
        <v>0</v>
      </c>
      <c r="X11" s="620">
        <f t="shared" si="6"/>
        <v>0</v>
      </c>
      <c r="Y11" s="620">
        <f t="shared" si="7"/>
        <v>0</v>
      </c>
      <c r="Z11" s="620">
        <f t="shared" si="8"/>
        <v>0</v>
      </c>
    </row>
    <row r="12" spans="1:26" ht="18" customHeight="1">
      <c r="A12" s="618" t="s">
        <v>847</v>
      </c>
      <c r="B12" s="619" cm="1">
        <f t="array" ref="B12">SUMPRODUCT((SVB!$B$2:$B$740="PPW")*(ISNUMBER(SVB!$F$2:$F$740))*(SVB!$F$2:$F$740))</f>
        <v>8</v>
      </c>
      <c r="C12" s="619" cm="1">
        <f t="array" ref="C12">SUMPRODUCT((SVB!$B$2:$B$740="PPW")*(ISNUMBER(SVB!$M$2:$M$740))*(SVB!$M$2:$M$740))</f>
        <v>2</v>
      </c>
      <c r="D12" s="619" cm="1">
        <f t="array" ref="D12">SUMPRODUCT((SVB!$B$2:$B$740="PPW")*(ISNUMBER(SVB!$N$2:$N$740))*(SVB!$N$2:$N$740))</f>
        <v>2</v>
      </c>
      <c r="E12" s="619" cm="1">
        <f t="array" ref="E12">SUMPRODUCT((SVB!$B$2:$B$740="PPW")*(ISNUMBER(SVB!$O$2:$O$740))*(SVB!$O$2:$O$740))</f>
        <v>2</v>
      </c>
      <c r="F12" s="620">
        <f t="shared" si="0"/>
        <v>0.25</v>
      </c>
      <c r="G12" s="620">
        <f t="shared" si="1"/>
        <v>0.25</v>
      </c>
      <c r="H12" s="620">
        <f t="shared" si="2"/>
        <v>0.25</v>
      </c>
      <c r="J12" s="618" t="s">
        <v>847</v>
      </c>
      <c r="K12" s="619" cm="1">
        <f t="array" ref="K12">SUMPRODUCT((SVB!$B$2:$B$740="PPW")*(SVB!$K$2:$K$740="Switch")*(ISNUMBER(SVB!$F$2:$F$740))*(SVB!$F$2:$F$740))</f>
        <v>6</v>
      </c>
      <c r="L12" s="619" cm="1">
        <f t="array" ref="L12">SUMPRODUCT((SVB!$B$2:$B$740="PPW")*(SVB!$K$2:$K$740="Switch")*(ISNUMBER(SVB!$M$2:$M$740))*(SVB!$M$2:$M$740))</f>
        <v>0</v>
      </c>
      <c r="M12" s="619" cm="1">
        <f t="array" ref="M12">SUMPRODUCT((SVB!$B$2:$B$740="PPW")*(SVB!$K$2:$K$740="Switch")*(ISNUMBER(SVB!$N$2:$N$740))*(SVB!$N$2:$N$740))</f>
        <v>0</v>
      </c>
      <c r="N12" s="619" cm="1">
        <f t="array" ref="N12">SUMPRODUCT((SVB!$B$2:$B$740="PPW")*(SVB!$K$2:$K$740="Switch")*(ISNUMBER(SVB!$O$2:$O$740))*(SVB!$O$2:$O$740))</f>
        <v>0</v>
      </c>
      <c r="O12" s="620">
        <f t="shared" si="3"/>
        <v>0</v>
      </c>
      <c r="P12" s="620">
        <f t="shared" si="4"/>
        <v>0</v>
      </c>
      <c r="Q12" s="620">
        <f t="shared" si="5"/>
        <v>0</v>
      </c>
      <c r="S12" s="618" t="s">
        <v>847</v>
      </c>
      <c r="T12" s="619" cm="1">
        <f t="array" ref="T12">SUMPRODUCT((SVB!$B$2:$B$740="PPW")*(SVB!$K$2:$K$740="AP")*(ISNUMBER(SVB!$F$2:$F$740))*(SVB!$F$2:$F$740))</f>
        <v>0</v>
      </c>
      <c r="U12" s="619" cm="1">
        <f t="array" ref="U12">SUMPRODUCT((SVB!$B$2:$B$740="PPW")*(SVB!$K$2:$K$740="AP")*(ISNUMBER(SVB!$M$2:$M$740))*(SVB!$M$2:$M$740))</f>
        <v>0</v>
      </c>
      <c r="V12" s="619" cm="1">
        <f t="array" ref="V12">SUMPRODUCT((SVB!$B$2:$B$740="PPW")*(SVB!$K$2:$K$740="AP")*(ISNUMBER(SVB!$N$2:$N$740))*(SVB!$N$2:$N$740))</f>
        <v>0</v>
      </c>
      <c r="W12" s="619" cm="1">
        <f t="array" ref="W12">SUMPRODUCT((SVB!$B$2:$B$740="PPW")*(SVB!$K$2:$K$740="AP")*(ISNUMBER(SVB!$O$2:$O$740))*(SVB!$O$2:$O$740))</f>
        <v>0</v>
      </c>
      <c r="X12" s="620" t="str">
        <f t="shared" si="6"/>
        <v>-</v>
      </c>
      <c r="Y12" s="620" t="str">
        <f t="shared" si="7"/>
        <v>-</v>
      </c>
      <c r="Z12" s="620" t="str">
        <f t="shared" si="8"/>
        <v>-</v>
      </c>
    </row>
    <row r="13" spans="1:26" ht="18" customHeight="1">
      <c r="A13" s="618" t="s">
        <v>763</v>
      </c>
      <c r="B13" s="619" cm="1">
        <f t="array" ref="B13">SUMPRODUCT((SVB!$B$2:$B$740="RFF")*(ISNUMBER(SVB!$F$2:$F$740))*(SVB!$F$2:$F$740))</f>
        <v>99</v>
      </c>
      <c r="C13" s="619" cm="1">
        <f t="array" ref="C13">SUMPRODUCT((SVB!$B$2:$B$740="RFF")*(ISNUMBER(SVB!$M$2:$M$740))*(SVB!$M$2:$M$740))</f>
        <v>2</v>
      </c>
      <c r="D13" s="619" cm="1">
        <f t="array" ref="D13">SUMPRODUCT((SVB!$B$2:$B$740="RFF")*(ISNUMBER(SVB!$N$2:$N$740))*(SVB!$N$2:$N$740))</f>
        <v>2</v>
      </c>
      <c r="E13" s="619" cm="1">
        <f t="array" ref="E13">SUMPRODUCT((SVB!$B$2:$B$740="RFF")*(ISNUMBER(SVB!$O$2:$O$740))*(SVB!$O$2:$O$740))</f>
        <v>2</v>
      </c>
      <c r="F13" s="620">
        <f t="shared" si="0"/>
        <v>2.0202020202020204E-2</v>
      </c>
      <c r="G13" s="620">
        <f t="shared" si="1"/>
        <v>2.0202020202020204E-2</v>
      </c>
      <c r="H13" s="620">
        <f t="shared" si="2"/>
        <v>2.0202020202020204E-2</v>
      </c>
      <c r="J13" s="618" t="s">
        <v>763</v>
      </c>
      <c r="K13" s="619" cm="1">
        <f t="array" ref="K13">SUMPRODUCT((SVB!$B$2:$B$740="RFF")*(SVB!$K$2:$K$740="Switch")*(ISNUMBER(SVB!$F$2:$F$740))*(SVB!$F$2:$F$740))</f>
        <v>65</v>
      </c>
      <c r="L13" s="619" cm="1">
        <f t="array" ref="L13">SUMPRODUCT((SVB!$B$2:$B$740="RFF")*(SVB!$K$2:$K$740="Switch")*(ISNUMBER(SVB!$M$2:$M$740))*(SVB!$M$2:$M$740))</f>
        <v>0</v>
      </c>
      <c r="M13" s="619" cm="1">
        <f t="array" ref="M13">SUMPRODUCT((SVB!$B$2:$B$740="RFF")*(SVB!$K$2:$K$740="Switch")*(ISNUMBER(SVB!$N$2:$N$740))*(SVB!$N$2:$N$740))</f>
        <v>0</v>
      </c>
      <c r="N13" s="619" cm="1">
        <f t="array" ref="N13">SUMPRODUCT((SVB!$B$2:$B$740="RFF")*(SVB!$K$2:$K$740="Switch")*(ISNUMBER(SVB!$O$2:$O$740))*(SVB!$O$2:$O$740))</f>
        <v>0</v>
      </c>
      <c r="O13" s="620">
        <f t="shared" si="3"/>
        <v>0</v>
      </c>
      <c r="P13" s="620">
        <f t="shared" si="4"/>
        <v>0</v>
      </c>
      <c r="Q13" s="620">
        <f t="shared" si="5"/>
        <v>0</v>
      </c>
      <c r="S13" s="618" t="s">
        <v>763</v>
      </c>
      <c r="T13" s="619" cm="1">
        <f t="array" ref="T13">SUMPRODUCT((SVB!$B$2:$B$740="RFF")*(SVB!$K$2:$K$740="AP")*(ISNUMBER(SVB!$F$2:$F$740))*(SVB!$F$2:$F$740))</f>
        <v>32</v>
      </c>
      <c r="U13" s="619" cm="1">
        <f t="array" ref="U13">SUMPRODUCT((SVB!$B$2:$B$740="RFF")*(SVB!$K$2:$K$740="AP")*(ISNUMBER(SVB!$M$2:$M$740))*(SVB!$M$2:$M$740))</f>
        <v>0</v>
      </c>
      <c r="V13" s="619" cm="1">
        <f t="array" ref="V13">SUMPRODUCT((SVB!$B$2:$B$740="RFF")*(SVB!$K$2:$K$740="AP")*(ISNUMBER(SVB!$N$2:$N$740))*(SVB!$N$2:$N$740))</f>
        <v>0</v>
      </c>
      <c r="W13" s="619" cm="1">
        <f t="array" ref="W13">SUMPRODUCT((SVB!$B$2:$B$740="RFF")*(SVB!$K$2:$K$740="AP")*(ISNUMBER(SVB!$O$2:$O$740))*(SVB!$O$2:$O$740))</f>
        <v>0</v>
      </c>
      <c r="X13" s="620">
        <f t="shared" si="6"/>
        <v>0</v>
      </c>
      <c r="Y13" s="620">
        <f t="shared" si="7"/>
        <v>0</v>
      </c>
      <c r="Z13" s="620">
        <f t="shared" si="8"/>
        <v>0</v>
      </c>
    </row>
    <row r="14" spans="1:26" ht="18" customHeight="1">
      <c r="A14" s="618" t="s">
        <v>626</v>
      </c>
      <c r="B14" s="619" cm="1">
        <f t="array" ref="B14">SUMPRODUCT((SVB!$B$2:$B$740="T1-015")*(ISNUMBER(SVB!$F$2:$F$740))*(SVB!$F$2:$F$740))</f>
        <v>327</v>
      </c>
      <c r="C14" s="619" cm="1">
        <f t="array" ref="C14">SUMPRODUCT((SVB!$B$2:$B$740="T1-015")*(ISNUMBER(SVB!$M$2:$M$740))*(SVB!$M$2:$M$740))</f>
        <v>2</v>
      </c>
      <c r="D14" s="619" cm="1">
        <f t="array" ref="D14">SUMPRODUCT((SVB!$B$2:$B$740="T1-015")*(ISNUMBER(SVB!$N$2:$N$740))*(SVB!$N$2:$N$740))</f>
        <v>2</v>
      </c>
      <c r="E14" s="619" cm="1">
        <f t="array" ref="E14">SUMPRODUCT((SVB!$B$2:$B$740="T1-015")*(ISNUMBER(SVB!$O$2:$O$740))*(SVB!$O$2:$O$740))</f>
        <v>2</v>
      </c>
      <c r="F14" s="620">
        <f t="shared" si="0"/>
        <v>6.1162079510703364E-3</v>
      </c>
      <c r="G14" s="620">
        <f t="shared" si="1"/>
        <v>6.1162079510703364E-3</v>
      </c>
      <c r="H14" s="620">
        <f t="shared" si="2"/>
        <v>6.1162079510703364E-3</v>
      </c>
      <c r="J14" s="618" t="s">
        <v>626</v>
      </c>
      <c r="K14" s="619" cm="1">
        <f t="array" ref="K14">SUMPRODUCT((SVB!$B$2:$B$740="T1-015")*(SVB!$K$2:$K$740="Switch")*(ISNUMBER(SVB!$F$2:$F$740))*(SVB!$F$2:$F$740))</f>
        <v>281</v>
      </c>
      <c r="L14" s="619" cm="1">
        <f t="array" ref="L14">SUMPRODUCT((SVB!$B$2:$B$740="T1-015")*(SVB!$K$2:$K$740="Switch")*(ISNUMBER(SVB!$M$2:$M$740))*(SVB!$M$2:$M$740))</f>
        <v>0</v>
      </c>
      <c r="M14" s="619" cm="1">
        <f t="array" ref="M14">SUMPRODUCT((SVB!$B$2:$B$740="T1-015")*(SVB!$K$2:$K$740="Switch")*(ISNUMBER(SVB!$N$2:$N$740))*(SVB!$N$2:$N$740))</f>
        <v>0</v>
      </c>
      <c r="N14" s="619" cm="1">
        <f t="array" ref="N14">SUMPRODUCT((SVB!$B$2:$B$740="T1-015")*(SVB!$K$2:$K$740="Switch")*(ISNUMBER(SVB!$O$2:$O$740))*(SVB!$O$2:$O$740))</f>
        <v>0</v>
      </c>
      <c r="O14" s="620">
        <f t="shared" si="3"/>
        <v>0</v>
      </c>
      <c r="P14" s="620">
        <f t="shared" si="4"/>
        <v>0</v>
      </c>
      <c r="Q14" s="620">
        <f t="shared" si="5"/>
        <v>0</v>
      </c>
      <c r="S14" s="618" t="s">
        <v>626</v>
      </c>
      <c r="T14" s="619" cm="1">
        <f t="array" ref="T14">SUMPRODUCT((SVB!$B$2:$B$740="T1-015")*(SVB!$K$2:$K$740="AP")*(ISNUMBER(SVB!$F$2:$F$740))*(SVB!$F$2:$F$740))</f>
        <v>44</v>
      </c>
      <c r="U14" s="619" cm="1">
        <f t="array" ref="U14">SUMPRODUCT((SVB!$B$2:$B$740="T1-015")*(SVB!$K$2:$K$740="AP")*(ISNUMBER(SVB!$M$2:$M$740))*(SVB!$M$2:$M$740))</f>
        <v>0</v>
      </c>
      <c r="V14" s="619" cm="1">
        <f t="array" ref="V14">SUMPRODUCT((SVB!$B$2:$B$740="T1-015")*(SVB!$K$2:$K$740="AP")*(ISNUMBER(SVB!$N$2:$N$740))*(SVB!$N$2:$N$740))</f>
        <v>0</v>
      </c>
      <c r="W14" s="619" cm="1">
        <f t="array" ref="W14">SUMPRODUCT((SVB!$B$2:$B$740="T1-015")*(SVB!$K$2:$K$740="AP")*(ISNUMBER(SVB!$O$2:$O$740))*(SVB!$O$2:$O$740))</f>
        <v>0</v>
      </c>
      <c r="X14" s="620">
        <f t="shared" si="6"/>
        <v>0</v>
      </c>
      <c r="Y14" s="620">
        <f t="shared" si="7"/>
        <v>0</v>
      </c>
      <c r="Z14" s="620">
        <f t="shared" si="8"/>
        <v>0</v>
      </c>
    </row>
    <row r="15" spans="1:26" ht="4.5" customHeight="1"/>
    <row r="16" spans="1:26" ht="30.75" customHeight="1">
      <c r="A16" s="550" t="s">
        <v>1250</v>
      </c>
      <c r="J16" s="550" t="s">
        <v>1250</v>
      </c>
      <c r="S16" s="550" t="s">
        <v>1250</v>
      </c>
    </row>
    <row r="17" spans="1:26" ht="19.5" customHeight="1">
      <c r="A17" s="551" t="s">
        <v>343</v>
      </c>
      <c r="B17" s="551" t="s">
        <v>1247</v>
      </c>
      <c r="C17" s="551" t="s">
        <v>1248</v>
      </c>
      <c r="D17" s="551" t="s">
        <v>1249</v>
      </c>
      <c r="E17" s="551" t="s">
        <v>28</v>
      </c>
      <c r="F17" s="551" t="s">
        <v>1238</v>
      </c>
      <c r="G17" s="551" t="s">
        <v>1239</v>
      </c>
      <c r="H17" s="551" t="s">
        <v>1240</v>
      </c>
      <c r="J17" s="551" t="s">
        <v>343</v>
      </c>
      <c r="K17" s="551" t="s">
        <v>1247</v>
      </c>
      <c r="L17" s="551" t="s">
        <v>1248</v>
      </c>
      <c r="M17" s="551" t="s">
        <v>1249</v>
      </c>
      <c r="N17" s="551" t="s">
        <v>28</v>
      </c>
      <c r="O17" s="551" t="s">
        <v>1238</v>
      </c>
      <c r="P17" s="551" t="s">
        <v>1239</v>
      </c>
      <c r="Q17" s="551" t="s">
        <v>1240</v>
      </c>
      <c r="S17" s="551" t="s">
        <v>343</v>
      </c>
      <c r="T17" s="551" t="s">
        <v>1247</v>
      </c>
      <c r="U17" s="551" t="s">
        <v>1248</v>
      </c>
      <c r="V17" s="551" t="s">
        <v>1249</v>
      </c>
      <c r="W17" s="551" t="s">
        <v>28</v>
      </c>
      <c r="X17" s="551" t="s">
        <v>1238</v>
      </c>
      <c r="Y17" s="551" t="s">
        <v>1239</v>
      </c>
      <c r="Z17" s="551" t="s">
        <v>1240</v>
      </c>
    </row>
    <row r="18" spans="1:26" ht="18" customHeight="1">
      <c r="A18" s="552" t="str">
        <f>$B$4</f>
        <v>ทั้งหมด</v>
      </c>
      <c r="B18" s="553">
        <f>IFERROR(VLOOKUP($A$18,$A$7:$H$14,2,FALSE()),"-")</f>
        <v>1592</v>
      </c>
      <c r="C18" s="553">
        <f>IFERROR(VLOOKUP($A$18,$A$7:$H$14,3,FALSE()),"-")</f>
        <v>460</v>
      </c>
      <c r="D18" s="553">
        <f>IFERROR(VLOOKUP($A$18,$A$7:$H$14,4,FALSE()),"-")</f>
        <v>460</v>
      </c>
      <c r="E18" s="553">
        <f>IFERROR(VLOOKUP($A$18,$A$7:$H$14,5,FALSE()),"-")</f>
        <v>460</v>
      </c>
      <c r="F18" s="554">
        <f>IFERROR(VLOOKUP($A$18,$A$7:$H$14,6,FALSE()),"-")</f>
        <v>0.28894472361809043</v>
      </c>
      <c r="G18" s="554">
        <f>IFERROR(VLOOKUP($A$18,$A$7:$H$14,7,FALSE()),"-")</f>
        <v>0.28894472361809043</v>
      </c>
      <c r="H18" s="554">
        <f>IFERROR(VLOOKUP($A$18,$A$7:$H$14,8,FALSE()),"-")</f>
        <v>0.28894472361809043</v>
      </c>
      <c r="J18" s="552" t="str">
        <f>$K$4</f>
        <v>D1-041</v>
      </c>
      <c r="K18" s="553">
        <f>IFERROR(VLOOKUP($J$18,$J$7:$Q$14,2,FALSE()),"-")</f>
        <v>410</v>
      </c>
      <c r="L18" s="553">
        <f>IFERROR(VLOOKUP($J$18,$J$7:$Q$14,3,FALSE()),"-")</f>
        <v>228</v>
      </c>
      <c r="M18" s="553">
        <f>IFERROR(VLOOKUP($J$18,$J$7:$Q$14,4,FALSE()),"-")</f>
        <v>228</v>
      </c>
      <c r="N18" s="553">
        <f>IFERROR(VLOOKUP($J$18,$J$7:$Q$14,5,FALSE()),"-")</f>
        <v>228</v>
      </c>
      <c r="O18" s="554">
        <f>IFERROR(VLOOKUP($J$18,$J$7:$Q$14,6,FALSE()),"-")</f>
        <v>0.55609756097560981</v>
      </c>
      <c r="P18" s="554">
        <f>IFERROR(VLOOKUP($J$18,$J$7:$Q$14,7,FALSE()),"-")</f>
        <v>0.55609756097560981</v>
      </c>
      <c r="Q18" s="554">
        <f>IFERROR(VLOOKUP($J$18,$J$7:$Q$14,8,FALSE()),"-")</f>
        <v>0.55609756097560981</v>
      </c>
      <c r="S18" s="552" t="str">
        <f>$T$4</f>
        <v>CFZ</v>
      </c>
      <c r="T18" s="553">
        <f>IFERROR(VLOOKUP($S$18,$S$7:$Z$14,2,FALSE()),"-")</f>
        <v>25</v>
      </c>
      <c r="U18" s="553">
        <f>IFERROR(VLOOKUP($S$18,$S$7:$Z$14,3,FALSE()),"-")</f>
        <v>24</v>
      </c>
      <c r="V18" s="553">
        <f>IFERROR(VLOOKUP($S$18,$S$7:$Z$14,4,FALSE()),"-")</f>
        <v>24</v>
      </c>
      <c r="W18" s="553">
        <f>IFERROR(VLOOKUP($S$18,$S$7:$Z$14,5,FALSE()),"-")</f>
        <v>24</v>
      </c>
      <c r="X18" s="554">
        <f>IFERROR(VLOOKUP($S$18,$S$7:$Z$14,6,FALSE()),"-")</f>
        <v>0.96</v>
      </c>
      <c r="Y18" s="554">
        <f>IFERROR(VLOOKUP($S$18,$S$7:$Z$14,7,FALSE()),"-")</f>
        <v>0.96</v>
      </c>
      <c r="Z18" s="554">
        <f>IFERROR(VLOOKUP($S$18,$S$7:$Z$14,8,FALSE()),"-")</f>
        <v>0.96</v>
      </c>
    </row>
    <row r="50" spans="1:1" ht="15" hidden="1" customHeight="1">
      <c r="A50" s="555" t="s">
        <v>1246</v>
      </c>
    </row>
    <row r="51" spans="1:1" ht="15" hidden="1" customHeight="1">
      <c r="A51" s="423" t="s">
        <v>805</v>
      </c>
    </row>
    <row r="52" spans="1:1" ht="15" hidden="1" customHeight="1">
      <c r="A52" s="423" t="s">
        <v>531</v>
      </c>
    </row>
    <row r="53" spans="1:1" ht="15" hidden="1" customHeight="1">
      <c r="A53" s="423" t="s">
        <v>352</v>
      </c>
    </row>
    <row r="54" spans="1:1" ht="15" hidden="1" customHeight="1">
      <c r="A54" s="423" t="s">
        <v>415</v>
      </c>
    </row>
    <row r="55" spans="1:1" ht="15" hidden="1" customHeight="1">
      <c r="A55" s="423" t="s">
        <v>847</v>
      </c>
    </row>
    <row r="56" spans="1:1" ht="15" hidden="1" customHeight="1">
      <c r="A56" s="423" t="s">
        <v>763</v>
      </c>
    </row>
    <row r="57" spans="1:1" ht="15" hidden="1" customHeight="1">
      <c r="A57" s="423" t="s">
        <v>626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3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8" width="9.33203125" style="423" customWidth="1"/>
    <col min="9" max="9" width="8.33203125" style="423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8.33203125" style="423" customWidth="1"/>
    <col min="18" max="16384" width="8.6640625" style="423"/>
  </cols>
  <sheetData>
    <row r="1" spans="1:22" ht="30" customHeight="1">
      <c r="A1" s="780" t="s">
        <v>1251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780"/>
      <c r="O1" s="780"/>
      <c r="P1" s="780"/>
      <c r="Q1" s="780"/>
      <c r="R1" s="780"/>
      <c r="S1" s="780"/>
      <c r="T1" s="780"/>
    </row>
    <row r="2" spans="1:22" ht="18" customHeight="1">
      <c r="A2" s="998" t="s">
        <v>1252</v>
      </c>
      <c r="B2" s="998"/>
      <c r="C2" s="998"/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</row>
    <row r="3" spans="1:22" ht="18">
      <c r="A3" s="580" t="s">
        <v>1253</v>
      </c>
    </row>
    <row r="4" spans="1:22" ht="28.8">
      <c r="A4" s="621"/>
      <c r="B4" s="621" t="str">
        <f>'SVB-รายสัปดาห์ทั้งหมด'!B4</f>
        <v>W.1
(14/2-20/2)</v>
      </c>
      <c r="C4" s="621" t="str">
        <f>'SVB-รายสัปดาห์ทั้งหมด'!C4</f>
        <v>W.2
(21/2-27/2)</v>
      </c>
      <c r="D4" s="621" t="str">
        <f>'SVB-รายสัปดาห์ทั้งหมด'!D4</f>
        <v>W.3
(28/2-6/3)</v>
      </c>
      <c r="E4" s="621" t="str">
        <f>'SVB-รายสัปดาห์ทั้งหมด'!E4</f>
        <v>W.4
(7/3-13/3)</v>
      </c>
      <c r="F4" s="621" t="str">
        <f>'SVB-รายสัปดาห์ทั้งหมด'!F4</f>
        <v>W.5
(14/3-20/3)</v>
      </c>
      <c r="G4" s="621" t="str">
        <f>'SVB-รายสัปดาห์ทั้งหมด'!G4</f>
        <v>W.6
(21/3-27/3)</v>
      </c>
      <c r="H4" s="621" t="str">
        <f>'SVB-รายสัปดาห์ทั้งหมด'!H4</f>
        <v>W.7
(28/3-3/4)</v>
      </c>
      <c r="I4" s="621" t="str">
        <f>'SVB-รายสัปดาห์ทั้งหมด'!I4</f>
        <v>W.8
(4/4-10/4)</v>
      </c>
      <c r="J4" s="621" t="str">
        <f>'SVB-รายสัปดาห์ทั้งหมด'!J4</f>
        <v>W.9
(11/4-17/4)</v>
      </c>
      <c r="K4" s="621" t="str">
        <f>'SVB-รายสัปดาห์ทั้งหมด'!K4</f>
        <v>W.10
(18/4-24/4)</v>
      </c>
      <c r="L4" s="621" t="str">
        <f>'SVB-รายสัปดาห์ทั้งหมด'!L4</f>
        <v>W.11
(25/4-1/5)</v>
      </c>
      <c r="M4" s="621" t="str">
        <f>'SVB-รายสัปดาห์ทั้งหมด'!M4</f>
        <v>W.12
(2/5-8/5)</v>
      </c>
      <c r="N4" s="621" t="str">
        <f>'SVB-รายสัปดาห์ทั้งหมด'!N4</f>
        <v>W.13
(9/5-15/5)</v>
      </c>
      <c r="O4" s="621" t="str">
        <f>'SVB-รายสัปดาห์ทั้งหมด'!O4</f>
        <v>W.14
(16/5-22/5)</v>
      </c>
      <c r="P4" s="621" t="str">
        <f>'SVB-รายสัปดาห์ทั้งหมด'!P4</f>
        <v>W.15
(23/5-29/5)</v>
      </c>
      <c r="Q4" s="621" t="str">
        <f>'SVB-รายสัปดาห์ทั้งหมด'!Q4</f>
        <v>W.16
(30/5-5/6)</v>
      </c>
      <c r="R4" s="621" t="str">
        <f>'SVB-รายสัปดาห์ทั้งหมด'!R4</f>
        <v>W.17
(6/6-12/6)</v>
      </c>
      <c r="S4" s="621" t="str">
        <f>'SVB-รายสัปดาห์ทั้งหมด'!S4</f>
        <v>W.18
(13/6-19/6)</v>
      </c>
      <c r="T4" s="621" t="str">
        <f>'SVB-รายสัปดาห์ทั้งหมด'!T4</f>
        <v>W.19
(20/6-26/6)</v>
      </c>
      <c r="U4" s="621" t="str">
        <f>'SVB-รายสัปดาห์ทั้งหมด'!U4</f>
        <v>W.20
(27/6-3/7)</v>
      </c>
      <c r="V4" s="424" t="s">
        <v>29</v>
      </c>
    </row>
    <row r="5" spans="1:22" ht="18" customHeight="1">
      <c r="A5" s="447" t="s">
        <v>306</v>
      </c>
      <c r="B5" s="448">
        <f>'SVB-รายสัปดาห์ทั้งหมด'!B64</f>
        <v>139</v>
      </c>
      <c r="C5" s="448">
        <f>'SVB-รายสัปดาห์ทั้งหมด'!C64</f>
        <v>0</v>
      </c>
      <c r="D5" s="448">
        <f>'SVB-รายสัปดาห์ทั้งหมด'!D64</f>
        <v>12</v>
      </c>
      <c r="E5" s="448">
        <f>'SVB-รายสัปดาห์ทั้งหมด'!E64</f>
        <v>53</v>
      </c>
      <c r="F5" s="448">
        <f>'SVB-รายสัปดาห์ทั้งหมด'!F64</f>
        <v>60</v>
      </c>
      <c r="G5" s="448">
        <f>'SVB-รายสัปดาห์ทั้งหมด'!G64</f>
        <v>224</v>
      </c>
      <c r="H5" s="448">
        <f>'SVB-รายสัปดาห์ทั้งหมด'!H64</f>
        <v>49</v>
      </c>
      <c r="I5" s="448">
        <f>'SVB-รายสัปดาห์ทั้งหมด'!I64</f>
        <v>50</v>
      </c>
      <c r="J5" s="448">
        <f>'SVB-รายสัปดาห์ทั้งหมด'!J64</f>
        <v>31</v>
      </c>
      <c r="K5" s="448">
        <f>'SVB-รายสัปดาห์ทั้งหมด'!K64</f>
        <v>86</v>
      </c>
      <c r="L5" s="448">
        <f>'SVB-รายสัปดาห์ทั้งหมด'!L64</f>
        <v>0</v>
      </c>
      <c r="M5" s="448">
        <f>'SVB-รายสัปดาห์ทั้งหมด'!M64</f>
        <v>0</v>
      </c>
      <c r="N5" s="448">
        <f>'SVB-รายสัปดาห์ทั้งหมด'!N64</f>
        <v>0</v>
      </c>
      <c r="O5" s="448">
        <f>'SVB-รายสัปดาห์ทั้งหมด'!O64</f>
        <v>0</v>
      </c>
      <c r="P5" s="448">
        <f>'SVB-รายสัปดาห์ทั้งหมด'!P64</f>
        <v>0</v>
      </c>
      <c r="Q5" s="448">
        <f>'SVB-รายสัปดาห์ทั้งหมด'!Q64</f>
        <v>6</v>
      </c>
      <c r="R5" s="448">
        <f>'SVB-รายสัปดาห์ทั้งหมด'!R64</f>
        <v>0</v>
      </c>
      <c r="S5" s="448">
        <f>'SVB-รายสัปดาห์ทั้งหมด'!S64</f>
        <v>0</v>
      </c>
      <c r="T5" s="448">
        <f>'SVB-รายสัปดาห์ทั้งหมด'!T64</f>
        <v>0</v>
      </c>
      <c r="U5" s="448">
        <f>'SVB-รายสัปดาห์ทั้งหมด'!U64</f>
        <v>0</v>
      </c>
      <c r="V5" s="448">
        <f>SUM(B5:U5)</f>
        <v>710</v>
      </c>
    </row>
    <row r="6" spans="1:22" ht="18" customHeight="1">
      <c r="A6" s="447" t="s">
        <v>880</v>
      </c>
      <c r="B6" s="448">
        <f>'SVB-รายสัปดาห์ทั้งหมด'!B65</f>
        <v>86</v>
      </c>
      <c r="C6" s="448">
        <f>'SVB-รายสัปดาห์ทั้งหมด'!C65</f>
        <v>0</v>
      </c>
      <c r="D6" s="448">
        <f>'SVB-รายสัปดาห์ทั้งหมด'!D65</f>
        <v>12</v>
      </c>
      <c r="E6" s="448">
        <f>'SVB-รายสัปดาห์ทั้งหมด'!E65</f>
        <v>53</v>
      </c>
      <c r="F6" s="448">
        <f>'SVB-รายสัปดาห์ทั้งหมด'!F65</f>
        <v>60</v>
      </c>
      <c r="G6" s="448">
        <f>'SVB-รายสัปดาห์ทั้งหมด'!G65</f>
        <v>48</v>
      </c>
      <c r="H6" s="448">
        <f>'SVB-รายสัปดาห์ทั้งหมด'!H65</f>
        <v>30</v>
      </c>
      <c r="I6" s="448">
        <f>'SVB-รายสัปดาห์ทั้งหมด'!I65</f>
        <v>35</v>
      </c>
      <c r="J6" s="448">
        <f>'SVB-รายสัปดาห์ทั้งหมด'!J65</f>
        <v>31</v>
      </c>
      <c r="K6" s="448">
        <f>'SVB-รายสัปดาห์ทั้งหมด'!K65</f>
        <v>49</v>
      </c>
      <c r="L6" s="448">
        <f>'SVB-รายสัปดาห์ทั้งหมด'!L65</f>
        <v>0</v>
      </c>
      <c r="M6" s="448">
        <f>'SVB-รายสัปดาห์ทั้งหมด'!M65</f>
        <v>0</v>
      </c>
      <c r="N6" s="448">
        <f>'SVB-รายสัปดาห์ทั้งหมด'!N65</f>
        <v>0</v>
      </c>
      <c r="O6" s="448">
        <f>'SVB-รายสัปดาห์ทั้งหมด'!O65</f>
        <v>0</v>
      </c>
      <c r="P6" s="448">
        <f>'SVB-รายสัปดาห์ทั้งหมด'!P65</f>
        <v>0</v>
      </c>
      <c r="Q6" s="448">
        <f>'SVB-รายสัปดาห์ทั้งหมด'!Q65</f>
        <v>6</v>
      </c>
      <c r="R6" s="448">
        <f>'SVB-รายสัปดาห์ทั้งหมด'!R65</f>
        <v>0</v>
      </c>
      <c r="S6" s="448">
        <f>'SVB-รายสัปดาห์ทั้งหมด'!S65</f>
        <v>0</v>
      </c>
      <c r="T6" s="448">
        <f>'SVB-รายสัปดาห์ทั้งหมด'!T65</f>
        <v>0</v>
      </c>
      <c r="U6" s="448">
        <f>'SVB-รายสัปดาห์ทั้งหมด'!U65</f>
        <v>0</v>
      </c>
      <c r="V6" s="448">
        <f t="shared" ref="V6:V12" si="0">SUM(B6:U6)</f>
        <v>410</v>
      </c>
    </row>
    <row r="7" spans="1:22" ht="18" customHeight="1">
      <c r="A7" s="447" t="s">
        <v>886</v>
      </c>
      <c r="B7" s="448">
        <f>'SVB-รายสัปดาห์ทั้งหมด'!B66</f>
        <v>43</v>
      </c>
      <c r="C7" s="448">
        <f>'SVB-รายสัปดาห์ทั้งหมด'!C66</f>
        <v>0</v>
      </c>
      <c r="D7" s="448">
        <f>'SVB-รายสัปดาห์ทั้งหมด'!D66</f>
        <v>0</v>
      </c>
      <c r="E7" s="448">
        <f>'SVB-รายสัปดาห์ทั้งหมด'!E66</f>
        <v>0</v>
      </c>
      <c r="F7" s="448">
        <f>'SVB-รายสัปดาห์ทั้งหมด'!F66</f>
        <v>0</v>
      </c>
      <c r="G7" s="448">
        <f>'SVB-รายสัปดาห์ทั้งหมด'!G66</f>
        <v>176</v>
      </c>
      <c r="H7" s="448">
        <f>'SVB-รายสัปดาห์ทั้งหมด'!H66</f>
        <v>19</v>
      </c>
      <c r="I7" s="448">
        <f>'SVB-รายสัปดาห์ทั้งหมด'!I66</f>
        <v>15</v>
      </c>
      <c r="J7" s="448">
        <f>'SVB-รายสัปดาห์ทั้งหมด'!J66</f>
        <v>0</v>
      </c>
      <c r="K7" s="448">
        <f>'SVB-รายสัปดาห์ทั้งหมด'!K66</f>
        <v>37</v>
      </c>
      <c r="L7" s="448">
        <f>'SVB-รายสัปดาห์ทั้งหมด'!L66</f>
        <v>0</v>
      </c>
      <c r="M7" s="448">
        <f>'SVB-รายสัปดาห์ทั้งหมด'!M66</f>
        <v>0</v>
      </c>
      <c r="N7" s="448">
        <f>'SVB-รายสัปดาห์ทั้งหมด'!N66</f>
        <v>0</v>
      </c>
      <c r="O7" s="448">
        <f>'SVB-รายสัปดาห์ทั้งหมด'!O66</f>
        <v>0</v>
      </c>
      <c r="P7" s="448">
        <f>'SVB-รายสัปดาห์ทั้งหมด'!P66</f>
        <v>0</v>
      </c>
      <c r="Q7" s="448">
        <f>'SVB-รายสัปดาห์ทั้งหมด'!Q66</f>
        <v>0</v>
      </c>
      <c r="R7" s="448">
        <f>'SVB-รายสัปดาห์ทั้งหมด'!R66</f>
        <v>0</v>
      </c>
      <c r="S7" s="448">
        <f>'SVB-รายสัปดาห์ทั้งหมด'!S66</f>
        <v>0</v>
      </c>
      <c r="T7" s="448">
        <f>'SVB-รายสัปดาห์ทั้งหมด'!T66</f>
        <v>0</v>
      </c>
      <c r="U7" s="448">
        <f>'SVB-รายสัปดาห์ทั้งหมด'!U66</f>
        <v>0</v>
      </c>
      <c r="V7" s="448">
        <f t="shared" si="0"/>
        <v>290</v>
      </c>
    </row>
    <row r="8" spans="1:22" ht="18" customHeight="1">
      <c r="A8" s="449" t="s">
        <v>329</v>
      </c>
      <c r="B8" s="450">
        <f>'SVB-รายสัปดาห์ทั้งหมด'!B68</f>
        <v>139</v>
      </c>
      <c r="C8" s="450">
        <f>'SVB-รายสัปดาห์ทั้งหมด'!C68</f>
        <v>0</v>
      </c>
      <c r="D8" s="450">
        <f>'SVB-รายสัปดาห์ทั้งหมด'!D68</f>
        <v>12</v>
      </c>
      <c r="E8" s="450">
        <f>'SVB-รายสัปดาห์ทั้งหมด'!E68</f>
        <v>51</v>
      </c>
      <c r="F8" s="450">
        <f>'SVB-รายสัปดาห์ทั้งหมด'!F68</f>
        <v>78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450"/>
      <c r="S8" s="450"/>
      <c r="T8" s="450"/>
      <c r="U8" s="450"/>
      <c r="V8" s="657">
        <f t="shared" si="0"/>
        <v>280</v>
      </c>
    </row>
    <row r="9" spans="1:22" ht="18" customHeight="1">
      <c r="A9" s="449" t="s">
        <v>330</v>
      </c>
      <c r="B9" s="450">
        <f>'SVB-รายสัปดาห์ทั้งหมด'!B69</f>
        <v>139</v>
      </c>
      <c r="C9" s="450">
        <f>'SVB-รายสัปดาห์ทั้งหมด'!C69</f>
        <v>0</v>
      </c>
      <c r="D9" s="450">
        <f>'SVB-รายสัปดาห์ทั้งหมด'!D69</f>
        <v>12</v>
      </c>
      <c r="E9" s="450">
        <f>'SVB-รายสัปดาห์ทั้งหมด'!E69</f>
        <v>51</v>
      </c>
      <c r="F9" s="450">
        <f>'SVB-รายสัปดาห์ทั้งหมด'!F69</f>
        <v>78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450"/>
      <c r="S9" s="450"/>
      <c r="T9" s="450"/>
      <c r="U9" s="450"/>
      <c r="V9" s="657">
        <f t="shared" si="0"/>
        <v>280</v>
      </c>
    </row>
    <row r="10" spans="1:22" ht="18" customHeight="1">
      <c r="A10" s="449" t="s">
        <v>331</v>
      </c>
      <c r="B10" s="450">
        <f>'SVB-รายสัปดาห์ทั้งหมด'!B70</f>
        <v>139</v>
      </c>
      <c r="C10" s="450">
        <f>'SVB-รายสัปดาห์ทั้งหมด'!C70</f>
        <v>0</v>
      </c>
      <c r="D10" s="450">
        <f>'SVB-รายสัปดาห์ทั้งหมด'!D70</f>
        <v>12</v>
      </c>
      <c r="E10" s="450">
        <f>'SVB-รายสัปดาห์ทั้งหมด'!E70</f>
        <v>51</v>
      </c>
      <c r="F10" s="450">
        <f>'SVB-รายสัปดาห์ทั้งหมด'!F70</f>
        <v>78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657">
        <f t="shared" si="0"/>
        <v>280</v>
      </c>
    </row>
    <row r="11" spans="1:22" ht="18" customHeight="1">
      <c r="A11" s="449" t="s">
        <v>1226</v>
      </c>
      <c r="B11" s="450">
        <f>'SVB-รายสัปดาห์ทั้งหมด'!B71</f>
        <v>86</v>
      </c>
      <c r="C11" s="450">
        <f>'SVB-รายสัปดาห์ทั้งหมด'!C71</f>
        <v>0</v>
      </c>
      <c r="D11" s="450">
        <f>'SVB-รายสัปดาห์ทั้งหมด'!D71</f>
        <v>12</v>
      </c>
      <c r="E11" s="450">
        <f>'SVB-รายสัปดาห์ทั้งหมด'!E71</f>
        <v>51</v>
      </c>
      <c r="F11" s="450">
        <f>'SVB-รายสัปดาห์ทั้งหมด'!F71</f>
        <v>78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450"/>
      <c r="S11" s="450"/>
      <c r="T11" s="450"/>
      <c r="U11" s="450"/>
      <c r="V11" s="657">
        <f t="shared" si="0"/>
        <v>227</v>
      </c>
    </row>
    <row r="12" spans="1:22" ht="18" customHeight="1">
      <c r="A12" s="449" t="s">
        <v>1225</v>
      </c>
      <c r="B12" s="450">
        <f>'SVB-รายสัปดาห์ทั้งหมด'!B72</f>
        <v>43</v>
      </c>
      <c r="C12" s="450">
        <f>'SVB-รายสัปดาห์ทั้งหมด'!C72</f>
        <v>0</v>
      </c>
      <c r="D12" s="450">
        <f>'SVB-รายสัปดาห์ทั้งหมด'!D72</f>
        <v>0</v>
      </c>
      <c r="E12" s="450">
        <f>'SVB-รายสัปดาห์ทั้งหมด'!E72</f>
        <v>0</v>
      </c>
      <c r="F12" s="450">
        <f>'SVB-รายสัปดาห์ทั้งหมด'!F72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450"/>
      <c r="S12" s="450"/>
      <c r="T12" s="450"/>
      <c r="U12" s="450"/>
      <c r="V12" s="657">
        <f t="shared" si="0"/>
        <v>43</v>
      </c>
    </row>
    <row r="13" spans="1:22" ht="18" customHeight="1">
      <c r="A13" s="449" t="s">
        <v>332</v>
      </c>
      <c r="B13" s="450">
        <f>'SVB-รายสัปดาห์ทั้งหมด'!B83</f>
        <v>139</v>
      </c>
      <c r="C13" s="450">
        <f>'SVB-รายสัปดาห์ทั้งหมด'!C83</f>
        <v>139</v>
      </c>
      <c r="D13" s="450">
        <f>'SVB-รายสัปดาห์ทั้งหมด'!D83</f>
        <v>151</v>
      </c>
      <c r="E13" s="450">
        <f>'SVB-รายสัปดาห์ทั้งหมด'!E83</f>
        <v>202</v>
      </c>
      <c r="F13" s="450">
        <f>'SVB-รายสัปดาห์ทั้งหมด'!F83</f>
        <v>280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450"/>
      <c r="S13" s="450"/>
      <c r="T13" s="450"/>
      <c r="U13" s="450"/>
      <c r="V13" s="657"/>
    </row>
    <row r="14" spans="1:22" ht="18" customHeight="1">
      <c r="A14" s="449" t="s">
        <v>1230</v>
      </c>
      <c r="B14" s="450">
        <f>'SVB-รายสัปดาห์ทั้งหมด'!B84</f>
        <v>86</v>
      </c>
      <c r="C14" s="450">
        <f>'SVB-รายสัปดาห์ทั้งหมด'!C84</f>
        <v>86</v>
      </c>
      <c r="D14" s="450">
        <f>'SVB-รายสัปดาห์ทั้งหมด'!D84</f>
        <v>98</v>
      </c>
      <c r="E14" s="450">
        <f>'SVB-รายสัปดาห์ทั้งหมด'!E84</f>
        <v>149</v>
      </c>
      <c r="F14" s="450">
        <f>'SVB-รายสัปดาห์ทั้งหมด'!F84</f>
        <v>227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450"/>
      <c r="S14" s="450"/>
      <c r="T14" s="450"/>
      <c r="U14" s="450"/>
      <c r="V14" s="657"/>
    </row>
    <row r="15" spans="1:22" ht="18" customHeight="1">
      <c r="A15" s="449" t="s">
        <v>1232</v>
      </c>
      <c r="B15" s="450">
        <f>'SVB-รายสัปดาห์ทั้งหมด'!B85</f>
        <v>43</v>
      </c>
      <c r="C15" s="450">
        <f>'SVB-รายสัปดาห์ทั้งหมด'!C85</f>
        <v>43</v>
      </c>
      <c r="D15" s="450">
        <f>'SVB-รายสัปดาห์ทั้งหมด'!D85</f>
        <v>43</v>
      </c>
      <c r="E15" s="450">
        <f>'SVB-รายสัปดาห์ทั้งหมด'!E85</f>
        <v>43</v>
      </c>
      <c r="F15" s="450">
        <f>'SVB-รายสัปดาห์ทั้งหมด'!F85</f>
        <v>43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450"/>
      <c r="S15" s="450"/>
      <c r="T15" s="450"/>
      <c r="U15" s="450"/>
      <c r="V15" s="657"/>
    </row>
    <row r="16" spans="1:22" ht="18" customHeight="1">
      <c r="A16" s="453" t="s">
        <v>312</v>
      </c>
      <c r="B16" s="650">
        <f>'SVB-รายสัปดาห์ทั้งหมด'!B74</f>
        <v>0</v>
      </c>
      <c r="C16" s="650">
        <f>'SVB-รายสัปดาห์ทั้งหมด'!C74</f>
        <v>0</v>
      </c>
      <c r="D16" s="650">
        <f>'SVB-รายสัปดาห์ทั้งหมด'!D74</f>
        <v>0</v>
      </c>
      <c r="E16" s="650">
        <f>'SVB-รายสัปดาห์ทั้งหมด'!E74</f>
        <v>0</v>
      </c>
      <c r="F16" s="650">
        <f>'SVB-รายสัปดาห์ทั้งหมด'!F74</f>
        <v>18</v>
      </c>
      <c r="G16" s="650"/>
      <c r="H16" s="650"/>
      <c r="I16" s="650"/>
      <c r="J16" s="650"/>
      <c r="K16" s="650"/>
      <c r="L16" s="650"/>
      <c r="M16" s="650"/>
      <c r="N16" s="650"/>
      <c r="O16" s="650"/>
      <c r="P16" s="650"/>
      <c r="Q16" s="650"/>
      <c r="R16" s="650"/>
      <c r="S16" s="650"/>
      <c r="T16" s="650"/>
      <c r="U16" s="650"/>
      <c r="V16" s="658">
        <f>SUM(B16:U16)</f>
        <v>18</v>
      </c>
    </row>
    <row r="17" spans="1:22" ht="18" customHeight="1">
      <c r="A17" s="453" t="s">
        <v>313</v>
      </c>
      <c r="B17" s="650">
        <f>'SVB-รายสัปดาห์ทั้งหมด'!B75</f>
        <v>0</v>
      </c>
      <c r="C17" s="650">
        <f>'SVB-รายสัปดาห์ทั้งหมด'!C75</f>
        <v>0</v>
      </c>
      <c r="D17" s="650">
        <f>'SVB-รายสัปดาห์ทั้งหมด'!D75</f>
        <v>0</v>
      </c>
      <c r="E17" s="650">
        <f>'SVB-รายสัปดาห์ทั้งหมด'!E75</f>
        <v>2</v>
      </c>
      <c r="F17" s="650">
        <f>'SVB-รายสัปดาห์ทั้งหมด'!F75</f>
        <v>0</v>
      </c>
      <c r="G17" s="650"/>
      <c r="H17" s="650"/>
      <c r="I17" s="650"/>
      <c r="J17" s="650"/>
      <c r="K17" s="650"/>
      <c r="L17" s="650"/>
      <c r="M17" s="650"/>
      <c r="N17" s="650"/>
      <c r="O17" s="650"/>
      <c r="P17" s="650"/>
      <c r="Q17" s="650"/>
      <c r="R17" s="650"/>
      <c r="S17" s="650"/>
      <c r="T17" s="650"/>
      <c r="U17" s="650"/>
      <c r="V17" s="658">
        <f t="shared" ref="V17:V21" si="1">SUM(B17:U17)</f>
        <v>2</v>
      </c>
    </row>
    <row r="18" spans="1:22" ht="18" customHeight="1">
      <c r="A18" s="453" t="s">
        <v>882</v>
      </c>
      <c r="B18" s="650">
        <f>'SVB-รายสัปดาห์ทั้งหมด'!B76</f>
        <v>0</v>
      </c>
      <c r="C18" s="650">
        <f>'SVB-รายสัปดาห์ทั้งหมด'!C76</f>
        <v>0</v>
      </c>
      <c r="D18" s="650">
        <f>'SVB-รายสัปดาห์ทั้งหมด'!D76</f>
        <v>0</v>
      </c>
      <c r="E18" s="650">
        <f>'SVB-รายสัปดาห์ทั้งหมด'!E76</f>
        <v>0</v>
      </c>
      <c r="F18" s="650">
        <f>'SVB-รายสัปดาห์ทั้งหมด'!F76</f>
        <v>18</v>
      </c>
      <c r="G18" s="650"/>
      <c r="H18" s="650"/>
      <c r="I18" s="650"/>
      <c r="J18" s="650"/>
      <c r="K18" s="650"/>
      <c r="L18" s="650"/>
      <c r="M18" s="650"/>
      <c r="N18" s="650"/>
      <c r="O18" s="650"/>
      <c r="P18" s="650"/>
      <c r="Q18" s="650"/>
      <c r="R18" s="650"/>
      <c r="S18" s="650"/>
      <c r="T18" s="650"/>
      <c r="U18" s="650"/>
      <c r="V18" s="658">
        <f t="shared" si="1"/>
        <v>18</v>
      </c>
    </row>
    <row r="19" spans="1:22" ht="18" customHeight="1">
      <c r="A19" s="453" t="s">
        <v>883</v>
      </c>
      <c r="B19" s="650">
        <f>'SVB-รายสัปดาห์ทั้งหมด'!B77</f>
        <v>0</v>
      </c>
      <c r="C19" s="650">
        <f>'SVB-รายสัปดาห์ทั้งหมด'!C77</f>
        <v>0</v>
      </c>
      <c r="D19" s="650">
        <f>'SVB-รายสัปดาห์ทั้งหมด'!D77</f>
        <v>0</v>
      </c>
      <c r="E19" s="650">
        <f>'SVB-รายสัปดาห์ทั้งหมด'!E77</f>
        <v>2</v>
      </c>
      <c r="F19" s="650">
        <f>'SVB-รายสัปดาห์ทั้งหมด'!F77</f>
        <v>0</v>
      </c>
      <c r="G19" s="650"/>
      <c r="H19" s="650"/>
      <c r="I19" s="650"/>
      <c r="J19" s="650"/>
      <c r="K19" s="650"/>
      <c r="L19" s="650"/>
      <c r="M19" s="650"/>
      <c r="N19" s="650"/>
      <c r="O19" s="650"/>
      <c r="P19" s="650"/>
      <c r="Q19" s="650"/>
      <c r="R19" s="650"/>
      <c r="S19" s="650"/>
      <c r="T19" s="650"/>
      <c r="U19" s="650"/>
      <c r="V19" s="658">
        <f t="shared" si="1"/>
        <v>2</v>
      </c>
    </row>
    <row r="20" spans="1:22" ht="18" customHeight="1">
      <c r="A20" s="453" t="s">
        <v>888</v>
      </c>
      <c r="B20" s="650">
        <f>'SVB-รายสัปดาห์ทั้งหมด'!B78</f>
        <v>0</v>
      </c>
      <c r="C20" s="650">
        <f>'SVB-รายสัปดาห์ทั้งหมด'!C78</f>
        <v>0</v>
      </c>
      <c r="D20" s="650">
        <f>'SVB-รายสัปดาห์ทั้งหมด'!D78</f>
        <v>0</v>
      </c>
      <c r="E20" s="650">
        <f>'SVB-รายสัปดาห์ทั้งหมด'!E78</f>
        <v>0</v>
      </c>
      <c r="F20" s="650">
        <f>'SVB-รายสัปดาห์ทั้งหมด'!F78</f>
        <v>0</v>
      </c>
      <c r="G20" s="650"/>
      <c r="H20" s="650"/>
      <c r="I20" s="650"/>
      <c r="J20" s="650"/>
      <c r="K20" s="650"/>
      <c r="L20" s="650"/>
      <c r="M20" s="650"/>
      <c r="N20" s="650"/>
      <c r="O20" s="650"/>
      <c r="P20" s="650"/>
      <c r="Q20" s="650"/>
      <c r="R20" s="650"/>
      <c r="S20" s="650"/>
      <c r="T20" s="650"/>
      <c r="U20" s="650"/>
      <c r="V20" s="658">
        <f t="shared" si="1"/>
        <v>0</v>
      </c>
    </row>
    <row r="21" spans="1:22" ht="18" customHeight="1">
      <c r="A21" s="453" t="s">
        <v>889</v>
      </c>
      <c r="B21" s="650">
        <f>'SVB-รายสัปดาห์ทั้งหมด'!B79</f>
        <v>0</v>
      </c>
      <c r="C21" s="650">
        <f>'SVB-รายสัปดาห์ทั้งหมด'!C79</f>
        <v>0</v>
      </c>
      <c r="D21" s="650">
        <f>'SVB-รายสัปดาห์ทั้งหมด'!D79</f>
        <v>0</v>
      </c>
      <c r="E21" s="650">
        <f>'SVB-รายสัปดาห์ทั้งหมด'!E79</f>
        <v>0</v>
      </c>
      <c r="F21" s="650">
        <f>'SVB-รายสัปดาห์ทั้งหมด'!F79</f>
        <v>0</v>
      </c>
      <c r="G21" s="650"/>
      <c r="H21" s="650"/>
      <c r="I21" s="650"/>
      <c r="J21" s="650"/>
      <c r="K21" s="650"/>
      <c r="L21" s="650"/>
      <c r="M21" s="650"/>
      <c r="N21" s="650"/>
      <c r="O21" s="650"/>
      <c r="P21" s="650"/>
      <c r="Q21" s="650"/>
      <c r="R21" s="650"/>
      <c r="S21" s="650"/>
      <c r="T21" s="650"/>
      <c r="U21" s="650"/>
      <c r="V21" s="658">
        <f t="shared" si="1"/>
        <v>0</v>
      </c>
    </row>
    <row r="22" spans="1:22" ht="18" customHeight="1">
      <c r="A22" s="451" t="s">
        <v>1233</v>
      </c>
      <c r="B22" s="452">
        <f>'SVB-รายสัปดาห์ทั้งหมด'!B80</f>
        <v>1</v>
      </c>
      <c r="C22" s="452" t="str">
        <f>'SVB-รายสัปดาห์ทั้งหมด'!C80</f>
        <v>-</v>
      </c>
      <c r="D22" s="452">
        <f>'SVB-รายสัปดาห์ทั้งหมด'!D80</f>
        <v>1</v>
      </c>
      <c r="E22" s="452">
        <f>'SVB-รายสัปดาห์ทั้งหมด'!E80</f>
        <v>0.96226415094339623</v>
      </c>
      <c r="F22" s="452">
        <f>'SVB-รายสัปดาห์ทั้งหมด'!F80</f>
        <v>1.3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2"/>
    </row>
    <row r="23" spans="1:22" ht="18" customHeight="1">
      <c r="A23" s="453" t="s">
        <v>334</v>
      </c>
      <c r="B23" s="454">
        <f>'SVB-รายสัปดาห์ทั้งหมด'!B101</f>
        <v>0.19577464788732393</v>
      </c>
      <c r="C23" s="454">
        <f>'SVB-รายสัปดาห์ทั้งหมด'!C101</f>
        <v>0.19577464788732393</v>
      </c>
      <c r="D23" s="454">
        <f>'SVB-รายสัปดาห์ทั้งหมด'!D101</f>
        <v>0.21267605633802816</v>
      </c>
      <c r="E23" s="454">
        <f>'SVB-รายสัปดาห์ทั้งหมด'!E101</f>
        <v>0.28732394366197184</v>
      </c>
      <c r="F23" s="454">
        <f>'SVB-รายสัปดาห์ทั้งหมด'!F101</f>
        <v>0.37183098591549296</v>
      </c>
      <c r="G23" s="454">
        <f>'SVB-รายสัปดาห์ทั้งหมด'!G101</f>
        <v>0.6873239436619718</v>
      </c>
      <c r="H23" s="454">
        <f>'SVB-รายสัปดาห์ทั้งหมด'!H101</f>
        <v>0.75633802816901408</v>
      </c>
      <c r="I23" s="454">
        <f>'SVB-รายสัปดาห์ทั้งหมด'!I101</f>
        <v>0.8267605633802817</v>
      </c>
      <c r="J23" s="454">
        <f>'SVB-รายสัปดาห์ทั้งหมด'!J101</f>
        <v>0.87042253521126756</v>
      </c>
      <c r="K23" s="454">
        <f>'SVB-รายสัปดาห์ทั้งหมด'!K101</f>
        <v>0.9915492957746479</v>
      </c>
      <c r="L23" s="454">
        <f>'SVB-รายสัปดาห์ทั้งหมด'!L101</f>
        <v>0.9915492957746479</v>
      </c>
      <c r="M23" s="454">
        <f>'SVB-รายสัปดาห์ทั้งหมด'!M101</f>
        <v>0.9915492957746479</v>
      </c>
      <c r="N23" s="454">
        <f>'SVB-รายสัปดาห์ทั้งหมด'!N101</f>
        <v>0.9915492957746479</v>
      </c>
      <c r="O23" s="454">
        <f>'SVB-รายสัปดาห์ทั้งหมด'!O101</f>
        <v>0.9915492957746479</v>
      </c>
      <c r="P23" s="454">
        <f>'SVB-รายสัปดาห์ทั้งหมด'!P101</f>
        <v>0.9915492957746479</v>
      </c>
      <c r="Q23" s="454">
        <f>'SVB-รายสัปดาห์ทั้งหมด'!Q101</f>
        <v>1</v>
      </c>
      <c r="R23" s="454">
        <f>'SVB-รายสัปดาห์ทั้งหมด'!R101</f>
        <v>1</v>
      </c>
      <c r="S23" s="454">
        <f>'SVB-รายสัปดาห์ทั้งหมด'!S101</f>
        <v>1</v>
      </c>
      <c r="T23" s="454">
        <f>'SVB-รายสัปดาห์ทั้งหมด'!T101</f>
        <v>1</v>
      </c>
      <c r="U23" s="454">
        <f>'SVB-รายสัปดาห์ทั้งหมด'!U101</f>
        <v>1</v>
      </c>
      <c r="V23" s="454"/>
    </row>
    <row r="24" spans="1:22" ht="18" customHeight="1">
      <c r="A24" s="453" t="s">
        <v>335</v>
      </c>
      <c r="B24" s="454">
        <f>'SVB-รายสัปดาห์ทั้งหมด'!B98</f>
        <v>0.19577464788732393</v>
      </c>
      <c r="C24" s="454">
        <f>'SVB-รายสัปดาห์ทั้งหมด'!C98</f>
        <v>0.19577464788732393</v>
      </c>
      <c r="D24" s="454">
        <f>'SVB-รายสัปดาห์ทั้งหมด'!D98</f>
        <v>0.21267605633802816</v>
      </c>
      <c r="E24" s="454">
        <f>'SVB-รายสัปดาห์ทั้งหมด'!E98</f>
        <v>0.28450704225352114</v>
      </c>
      <c r="F24" s="454">
        <f>'SVB-รายสัปดาห์ทั้งหมด'!F98</f>
        <v>0.39436619718309857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454"/>
      <c r="T24" s="454"/>
      <c r="U24" s="454"/>
      <c r="V24" s="454"/>
    </row>
    <row r="25" spans="1:22" ht="18" customHeight="1">
      <c r="A25" s="453" t="s">
        <v>1234</v>
      </c>
      <c r="B25" s="454">
        <f>'SVB-รายสัปดาห์ทั้งหมด'!B102</f>
        <v>0.2097560975609756</v>
      </c>
      <c r="C25" s="454">
        <f>'SVB-รายสัปดาห์ทั้งหมด'!C102</f>
        <v>0.2097560975609756</v>
      </c>
      <c r="D25" s="454">
        <f>'SVB-รายสัปดาห์ทั้งหมด'!D102</f>
        <v>0.23902439024390243</v>
      </c>
      <c r="E25" s="454">
        <f>'SVB-รายสัปดาห์ทั้งหมด'!E102</f>
        <v>0.36829268292682926</v>
      </c>
      <c r="F25" s="454">
        <f>'SVB-รายสัปดาห์ทั้งหมด'!F102</f>
        <v>0.51463414634146343</v>
      </c>
      <c r="G25" s="454">
        <f>'SVB-รายสัปดาห์ทั้งหมด'!G102</f>
        <v>0.63170731707317074</v>
      </c>
      <c r="H25" s="454">
        <f>'SVB-รายสัปดาห์ทั้งหมด'!H102</f>
        <v>0.70487804878048776</v>
      </c>
      <c r="I25" s="454">
        <f>'SVB-รายสัปดาห์ทั้งหมด'!I102</f>
        <v>0.79024390243902443</v>
      </c>
      <c r="J25" s="454">
        <f>'SVB-รายสัปดาห์ทั้งหมด'!J102</f>
        <v>0.86585365853658536</v>
      </c>
      <c r="K25" s="454">
        <f>'SVB-รายสัปดาห์ทั้งหมด'!K102</f>
        <v>0.98536585365853657</v>
      </c>
      <c r="L25" s="454">
        <f>'SVB-รายสัปดาห์ทั้งหมด'!L102</f>
        <v>0.98536585365853657</v>
      </c>
      <c r="M25" s="454">
        <f>'SVB-รายสัปดาห์ทั้งหมด'!M102</f>
        <v>0.98536585365853657</v>
      </c>
      <c r="N25" s="454">
        <f>'SVB-รายสัปดาห์ทั้งหมด'!N102</f>
        <v>0.98536585365853657</v>
      </c>
      <c r="O25" s="454">
        <f>'SVB-รายสัปดาห์ทั้งหมด'!O102</f>
        <v>0.98536585365853657</v>
      </c>
      <c r="P25" s="454">
        <f>'SVB-รายสัปดาห์ทั้งหมด'!P102</f>
        <v>0.98536585365853657</v>
      </c>
      <c r="Q25" s="454">
        <f>'SVB-รายสัปดาห์ทั้งหมด'!Q102</f>
        <v>1</v>
      </c>
      <c r="R25" s="454">
        <f>'SVB-รายสัปดาห์ทั้งหมด'!R102</f>
        <v>1</v>
      </c>
      <c r="S25" s="454">
        <f>'SVB-รายสัปดาห์ทั้งหมด'!S102</f>
        <v>1</v>
      </c>
      <c r="T25" s="454">
        <f>'SVB-รายสัปดาห์ทั้งหมด'!T102</f>
        <v>1</v>
      </c>
      <c r="U25" s="454">
        <f>'SVB-รายสัปดาห์ทั้งหมด'!U102</f>
        <v>1</v>
      </c>
      <c r="V25" s="454"/>
    </row>
    <row r="26" spans="1:22" ht="18" customHeight="1">
      <c r="A26" s="453" t="s">
        <v>1235</v>
      </c>
      <c r="B26" s="454">
        <f>'SVB-รายสัปดาห์ทั้งหมด'!B99</f>
        <v>0.2097560975609756</v>
      </c>
      <c r="C26" s="454">
        <f>'SVB-รายสัปดาห์ทั้งหมด'!C99</f>
        <v>0.2097560975609756</v>
      </c>
      <c r="D26" s="454">
        <f>'SVB-รายสัปดาห์ทั้งหมด'!D99</f>
        <v>0.23902439024390243</v>
      </c>
      <c r="E26" s="454">
        <f>'SVB-รายสัปดาห์ทั้งหมด'!E99</f>
        <v>0.36341463414634145</v>
      </c>
      <c r="F26" s="454">
        <f>'SVB-รายสัปดาห์ทั้งหมด'!F99</f>
        <v>0.5536585365853659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454"/>
      <c r="T26" s="454"/>
      <c r="U26" s="454"/>
      <c r="V26" s="454"/>
    </row>
    <row r="27" spans="1:22" ht="18" customHeight="1">
      <c r="A27" s="453" t="s">
        <v>1236</v>
      </c>
      <c r="B27" s="454">
        <f>'SVB-รายสัปดาห์ทั้งหมด'!B103</f>
        <v>0.14827586206896551</v>
      </c>
      <c r="C27" s="454">
        <f>'SVB-รายสัปดาห์ทั้งหมด'!C103</f>
        <v>0.14827586206896551</v>
      </c>
      <c r="D27" s="454">
        <f>'SVB-รายสัปดาห์ทั้งหมด'!D103</f>
        <v>0.14827586206896551</v>
      </c>
      <c r="E27" s="454">
        <f>'SVB-รายสัปดาห์ทั้งหมด'!E103</f>
        <v>0.14827586206896551</v>
      </c>
      <c r="F27" s="454">
        <f>'SVB-รายสัปดาห์ทั้งหมด'!F103</f>
        <v>0.14827586206896551</v>
      </c>
      <c r="G27" s="454">
        <f>'SVB-รายสัปดาห์ทั้งหมด'!G103</f>
        <v>0.7551724137931034</v>
      </c>
      <c r="H27" s="454">
        <f>'SVB-รายสัปดาห์ทั้งหมด'!H103</f>
        <v>0.82068965517241377</v>
      </c>
      <c r="I27" s="454">
        <f>'SVB-รายสัปดาห์ทั้งหมด'!I103</f>
        <v>0.87241379310344824</v>
      </c>
      <c r="J27" s="454">
        <f>'SVB-รายสัปดาห์ทั้งหมด'!J103</f>
        <v>0.87241379310344824</v>
      </c>
      <c r="K27" s="454">
        <f>'SVB-รายสัปดาห์ทั้งหมด'!K103</f>
        <v>1</v>
      </c>
      <c r="L27" s="454">
        <f>'SVB-รายสัปดาห์ทั้งหมด'!L103</f>
        <v>1</v>
      </c>
      <c r="M27" s="454">
        <f>'SVB-รายสัปดาห์ทั้งหมด'!M103</f>
        <v>1</v>
      </c>
      <c r="N27" s="454">
        <f>'SVB-รายสัปดาห์ทั้งหมด'!N103</f>
        <v>1</v>
      </c>
      <c r="O27" s="454">
        <f>'SVB-รายสัปดาห์ทั้งหมด'!O103</f>
        <v>1</v>
      </c>
      <c r="P27" s="454">
        <f>'SVB-รายสัปดาห์ทั้งหมด'!P103</f>
        <v>1</v>
      </c>
      <c r="Q27" s="454">
        <f>'SVB-รายสัปดาห์ทั้งหมด'!Q103</f>
        <v>1</v>
      </c>
      <c r="R27" s="454">
        <f>'SVB-รายสัปดาห์ทั้งหมด'!R103</f>
        <v>1</v>
      </c>
      <c r="S27" s="454">
        <f>'SVB-รายสัปดาห์ทั้งหมด'!S103</f>
        <v>1</v>
      </c>
      <c r="T27" s="454">
        <f>'SVB-รายสัปดาห์ทั้งหมด'!T103</f>
        <v>1</v>
      </c>
      <c r="U27" s="454">
        <f>'SVB-รายสัปดาห์ทั้งหมด'!U103</f>
        <v>1</v>
      </c>
      <c r="V27" s="454"/>
    </row>
    <row r="28" spans="1:22" ht="18" customHeight="1">
      <c r="A28" s="453" t="s">
        <v>1237</v>
      </c>
      <c r="B28" s="454">
        <f>'SVB-รายสัปดาห์ทั้งหมด'!B100</f>
        <v>0.14827586206896551</v>
      </c>
      <c r="C28" s="454">
        <f>'SVB-รายสัปดาห์ทั้งหมด'!C100</f>
        <v>0.14827586206896551</v>
      </c>
      <c r="D28" s="454">
        <f>'SVB-รายสัปดาห์ทั้งหมด'!D100</f>
        <v>0.14827586206896551</v>
      </c>
      <c r="E28" s="454">
        <f>'SVB-รายสัปดาห์ทั้งหมด'!E100</f>
        <v>0.14827586206896551</v>
      </c>
      <c r="F28" s="454">
        <f>'SVB-รายสัปดาห์ทั้งหมด'!F100</f>
        <v>0.14827586206896551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454"/>
      <c r="T28" s="454"/>
      <c r="U28" s="454"/>
      <c r="V28" s="454"/>
    </row>
    <row r="29" spans="1:22" ht="18" customHeight="1">
      <c r="A29" s="455" t="s">
        <v>1238</v>
      </c>
      <c r="B29" s="456">
        <f>IF(B5=0,0,B8/B5)</f>
        <v>1</v>
      </c>
      <c r="C29" s="456">
        <f>IF(C5=0,0,C8/C5)</f>
        <v>0</v>
      </c>
      <c r="D29" s="456">
        <f>IF(D5=0,0,D8/D5)</f>
        <v>1</v>
      </c>
      <c r="E29" s="456">
        <f>IF(E5=0,0,E8/E5)</f>
        <v>0.96226415094339623</v>
      </c>
      <c r="F29" s="456">
        <f>IF(F5=0,0,F8/F5)</f>
        <v>1.3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</row>
    <row r="30" spans="1:22" ht="18" customHeight="1">
      <c r="A30" s="455" t="s">
        <v>1239</v>
      </c>
      <c r="B30" s="456">
        <f>IF(B5=0,0,B9/B5)</f>
        <v>1</v>
      </c>
      <c r="C30" s="456">
        <f>IF(C5=0,0,C9/C5)</f>
        <v>0</v>
      </c>
      <c r="D30" s="456">
        <f>IF(D5=0,0,D9/D5)</f>
        <v>1</v>
      </c>
      <c r="E30" s="456">
        <f>IF(E5=0,0,E9/E5)</f>
        <v>0.96226415094339623</v>
      </c>
      <c r="F30" s="456">
        <f>IF(F5=0,0,F9/F5)</f>
        <v>1.3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</row>
    <row r="31" spans="1:22" ht="18" customHeight="1">
      <c r="A31" s="455" t="s">
        <v>1240</v>
      </c>
      <c r="B31" s="456">
        <f>IF(B5=0,0,B10/B5)</f>
        <v>1</v>
      </c>
      <c r="C31" s="456">
        <f>IF(C5=0,0,C10/C5)</f>
        <v>0</v>
      </c>
      <c r="D31" s="456">
        <f>IF(D5=0,0,D10/D5)</f>
        <v>1</v>
      </c>
      <c r="E31" s="456">
        <f>IF(E5=0,0,E10/E5)</f>
        <v>0.96226415094339623</v>
      </c>
      <c r="F31" s="456">
        <f>IF(F5=0,0,F10/F5)</f>
        <v>1.3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456"/>
      <c r="T31" s="456"/>
      <c r="U31" s="456"/>
      <c r="V31" s="456"/>
    </row>
    <row r="117" spans="1:22" ht="18">
      <c r="A117" s="580" t="s">
        <v>1254</v>
      </c>
    </row>
    <row r="118" spans="1:22" ht="28.8">
      <c r="A118" s="621"/>
      <c r="B118" s="621" t="str">
        <f>'SVB-รายสัปดาห์ทั้งหมด'!B4</f>
        <v>W.1
(14/2-20/2)</v>
      </c>
      <c r="C118" s="621" t="str">
        <f>'SVB-รายสัปดาห์ทั้งหมด'!C4</f>
        <v>W.2
(21/2-27/2)</v>
      </c>
      <c r="D118" s="621" t="str">
        <f>'SVB-รายสัปดาห์ทั้งหมด'!D4</f>
        <v>W.3
(28/2-6/3)</v>
      </c>
      <c r="E118" s="621" t="str">
        <f>'SVB-รายสัปดาห์ทั้งหมด'!E4</f>
        <v>W.4
(7/3-13/3)</v>
      </c>
      <c r="F118" s="621" t="str">
        <f>'SVB-รายสัปดาห์ทั้งหมด'!F4</f>
        <v>W.5
(14/3-20/3)</v>
      </c>
      <c r="G118" s="621" t="str">
        <f>'SVB-รายสัปดาห์ทั้งหมด'!G4</f>
        <v>W.6
(21/3-27/3)</v>
      </c>
      <c r="H118" s="621" t="str">
        <f>'SVB-รายสัปดาห์ทั้งหมด'!H4</f>
        <v>W.7
(28/3-3/4)</v>
      </c>
      <c r="I118" s="621" t="str">
        <f>'SVB-รายสัปดาห์ทั้งหมด'!I4</f>
        <v>W.8
(4/4-10/4)</v>
      </c>
      <c r="J118" s="621" t="str">
        <f>'SVB-รายสัปดาห์ทั้งหมด'!J4</f>
        <v>W.9
(11/4-17/4)</v>
      </c>
      <c r="K118" s="621" t="str">
        <f>'SVB-รายสัปดาห์ทั้งหมด'!K4</f>
        <v>W.10
(18/4-24/4)</v>
      </c>
      <c r="L118" s="621" t="str">
        <f>'SVB-รายสัปดาห์ทั้งหมด'!L4</f>
        <v>W.11
(25/4-1/5)</v>
      </c>
      <c r="M118" s="621" t="str">
        <f>'SVB-รายสัปดาห์ทั้งหมด'!M4</f>
        <v>W.12
(2/5-8/5)</v>
      </c>
      <c r="N118" s="621" t="str">
        <f>'SVB-รายสัปดาห์ทั้งหมด'!N4</f>
        <v>W.13
(9/5-15/5)</v>
      </c>
      <c r="O118" s="621" t="str">
        <f>'SVB-รายสัปดาห์ทั้งหมด'!O4</f>
        <v>W.14
(16/5-22/5)</v>
      </c>
      <c r="P118" s="621" t="str">
        <f>'SVB-รายสัปดาห์ทั้งหมด'!P4</f>
        <v>W.15
(23/5-29/5)</v>
      </c>
      <c r="Q118" s="621" t="str">
        <f>'SVB-รายสัปดาห์ทั้งหมด'!Q4</f>
        <v>W.16
(30/5-5/6)</v>
      </c>
      <c r="R118" s="621" t="str">
        <f>'SVB-รายสัปดาห์ทั้งหมด'!R4</f>
        <v>W.17
(6/6-12/6)</v>
      </c>
      <c r="S118" s="621" t="str">
        <f>'SVB-รายสัปดาห์ทั้งหมด'!S4</f>
        <v>W.18
(13/6-19/6)</v>
      </c>
      <c r="T118" s="621" t="str">
        <f>'SVB-รายสัปดาห์ทั้งหมด'!T4</f>
        <v>W.19
(20/6-26/6)</v>
      </c>
      <c r="U118" s="621" t="str">
        <f>'SVB-รายสัปดาห์ทั้งหมด'!U4</f>
        <v>W.20
(27/6-3/7)</v>
      </c>
      <c r="V118" s="424" t="s">
        <v>29</v>
      </c>
    </row>
    <row r="119" spans="1:22" ht="18" customHeight="1">
      <c r="A119" s="447" t="s">
        <v>306</v>
      </c>
      <c r="B119" s="448">
        <f>'SVB-รายสัปดาห์ทั้งหมด'!B24</f>
        <v>4</v>
      </c>
      <c r="C119" s="448">
        <f>'SVB-รายสัปดาห์ทั้งหมด'!C24</f>
        <v>69</v>
      </c>
      <c r="D119" s="448">
        <f>'SVB-รายสัปดาห์ทั้งหมด'!D24</f>
        <v>54</v>
      </c>
      <c r="E119" s="448">
        <f>'SVB-รายสัปดาห์ทั้งหมด'!E24</f>
        <v>0</v>
      </c>
      <c r="F119" s="448">
        <f>'SVB-รายสัปดาห์ทั้งหมด'!F24</f>
        <v>41</v>
      </c>
      <c r="G119" s="448">
        <f>'SVB-รายสัปดาห์ทั้งหมด'!G24</f>
        <v>17</v>
      </c>
      <c r="H119" s="448">
        <f>'SVB-รายสัปดาห์ทั้งหมด'!H24</f>
        <v>0</v>
      </c>
      <c r="I119" s="448">
        <f>'SVB-รายสัปดาห์ทั้งหมด'!I24</f>
        <v>0</v>
      </c>
      <c r="J119" s="448">
        <f>'SVB-รายสัปดาห์ทั้งหมด'!J24</f>
        <v>0</v>
      </c>
      <c r="K119" s="448">
        <f>'SVB-รายสัปดาห์ทั้งหมด'!K24</f>
        <v>0</v>
      </c>
      <c r="L119" s="448">
        <f>'SVB-รายสัปดาห์ทั้งหมด'!L24</f>
        <v>0</v>
      </c>
      <c r="M119" s="448">
        <f>'SVB-รายสัปดาห์ทั้งหมด'!M24</f>
        <v>0</v>
      </c>
      <c r="N119" s="448">
        <f>'SVB-รายสัปดาห์ทั้งหมด'!N24</f>
        <v>0</v>
      </c>
      <c r="O119" s="448">
        <f>'SVB-รายสัปดาห์ทั้งหมด'!O24</f>
        <v>0</v>
      </c>
      <c r="P119" s="448">
        <f>'SVB-รายสัปดาห์ทั้งหมด'!P24</f>
        <v>0</v>
      </c>
      <c r="Q119" s="448">
        <f>'SVB-รายสัปดาห์ทั้งหมด'!Q24</f>
        <v>2</v>
      </c>
      <c r="R119" s="448">
        <f>'SVB-รายสัปดาห์ทั้งหมด'!R24</f>
        <v>0</v>
      </c>
      <c r="S119" s="448">
        <f>'SVB-รายสัปดาห์ทั้งหมด'!S24</f>
        <v>0</v>
      </c>
      <c r="T119" s="448">
        <f>'SVB-รายสัปดาห์ทั้งหมด'!T24</f>
        <v>0</v>
      </c>
      <c r="U119" s="448">
        <f>'SVB-รายสัปดาห์ทั้งหมด'!U24</f>
        <v>0</v>
      </c>
      <c r="V119" s="448">
        <f>SUM(B119:U119)</f>
        <v>187</v>
      </c>
    </row>
    <row r="120" spans="1:22" ht="18" customHeight="1">
      <c r="A120" s="447" t="s">
        <v>880</v>
      </c>
      <c r="B120" s="448">
        <f>'SVB-รายสัปดาห์ทั้งหมด'!B25</f>
        <v>2</v>
      </c>
      <c r="C120" s="448">
        <f>'SVB-รายสัปดาห์ทั้งหมด'!C25</f>
        <v>45</v>
      </c>
      <c r="D120" s="448">
        <f>'SVB-รายสัปดาห์ทั้งหมด'!D25</f>
        <v>52</v>
      </c>
      <c r="E120" s="448">
        <f>'SVB-รายสัปดาห์ทั้งหมด'!E25</f>
        <v>0</v>
      </c>
      <c r="F120" s="448">
        <f>'SVB-รายสัปดาห์ทั้งหมด'!F25</f>
        <v>41</v>
      </c>
      <c r="G120" s="448">
        <f>'SVB-รายสัปดาห์ทั้งหมด'!G25</f>
        <v>14</v>
      </c>
      <c r="H120" s="448">
        <f>'SVB-รายสัปดาห์ทั้งหมด'!H25</f>
        <v>0</v>
      </c>
      <c r="I120" s="448">
        <f>'SVB-รายสัปดาห์ทั้งหมด'!I25</f>
        <v>0</v>
      </c>
      <c r="J120" s="448">
        <f>'SVB-รายสัปดาห์ทั้งหมด'!J25</f>
        <v>0</v>
      </c>
      <c r="K120" s="448">
        <f>'SVB-รายสัปดาห์ทั้งหมด'!K25</f>
        <v>0</v>
      </c>
      <c r="L120" s="448">
        <f>'SVB-รายสัปดาห์ทั้งหมด'!L25</f>
        <v>0</v>
      </c>
      <c r="M120" s="448">
        <f>'SVB-รายสัปดาห์ทั้งหมด'!M25</f>
        <v>0</v>
      </c>
      <c r="N120" s="448">
        <f>'SVB-รายสัปดาห์ทั้งหมด'!N25</f>
        <v>0</v>
      </c>
      <c r="O120" s="448">
        <f>'SVB-รายสัปดาห์ทั้งหมด'!O25</f>
        <v>0</v>
      </c>
      <c r="P120" s="448">
        <f>'SVB-รายสัปดาห์ทั้งหมด'!P25</f>
        <v>0</v>
      </c>
      <c r="Q120" s="448">
        <f>'SVB-รายสัปดาห์ทั้งหมด'!Q25</f>
        <v>2</v>
      </c>
      <c r="R120" s="448">
        <f>'SVB-รายสัปดาห์ทั้งหมด'!R25</f>
        <v>0</v>
      </c>
      <c r="S120" s="448">
        <f>'SVB-รายสัปดาห์ทั้งหมด'!S25</f>
        <v>0</v>
      </c>
      <c r="T120" s="448">
        <f>'SVB-รายสัปดาห์ทั้งหมด'!T25</f>
        <v>0</v>
      </c>
      <c r="U120" s="448">
        <f>'SVB-รายสัปดาห์ทั้งหมด'!U25</f>
        <v>0</v>
      </c>
      <c r="V120" s="448">
        <f t="shared" ref="V120:V126" si="2">SUM(B120:U120)</f>
        <v>156</v>
      </c>
    </row>
    <row r="121" spans="1:22" ht="18" customHeight="1">
      <c r="A121" s="447" t="s">
        <v>886</v>
      </c>
      <c r="B121" s="448">
        <f>'SVB-รายสัปดาห์ทั้งหมด'!B26</f>
        <v>0</v>
      </c>
      <c r="C121" s="448">
        <f>'SVB-รายสัปดาห์ทั้งหมด'!C26</f>
        <v>24</v>
      </c>
      <c r="D121" s="448">
        <f>'SVB-รายสัปดาห์ทั้งหมด'!D26</f>
        <v>0</v>
      </c>
      <c r="E121" s="448">
        <f>'SVB-รายสัปดาห์ทั้งหมด'!E26</f>
        <v>0</v>
      </c>
      <c r="F121" s="448">
        <f>'SVB-รายสัปดาห์ทั้งหมด'!F26</f>
        <v>0</v>
      </c>
      <c r="G121" s="448">
        <f>'SVB-รายสัปดาห์ทั้งหมด'!G26</f>
        <v>1</v>
      </c>
      <c r="H121" s="448">
        <f>'SVB-รายสัปดาห์ทั้งหมด'!H26</f>
        <v>0</v>
      </c>
      <c r="I121" s="448">
        <f>'SVB-รายสัปดาห์ทั้งหมด'!I26</f>
        <v>0</v>
      </c>
      <c r="J121" s="448">
        <f>'SVB-รายสัปดาห์ทั้งหมด'!J26</f>
        <v>0</v>
      </c>
      <c r="K121" s="448">
        <f>'SVB-รายสัปดาห์ทั้งหมด'!K26</f>
        <v>0</v>
      </c>
      <c r="L121" s="448">
        <f>'SVB-รายสัปดาห์ทั้งหมด'!L26</f>
        <v>0</v>
      </c>
      <c r="M121" s="448">
        <f>'SVB-รายสัปดาห์ทั้งหมด'!M26</f>
        <v>0</v>
      </c>
      <c r="N121" s="448">
        <f>'SVB-รายสัปดาห์ทั้งหมด'!N26</f>
        <v>0</v>
      </c>
      <c r="O121" s="448">
        <f>'SVB-รายสัปดาห์ทั้งหมด'!O26</f>
        <v>0</v>
      </c>
      <c r="P121" s="448">
        <f>'SVB-รายสัปดาห์ทั้งหมด'!P26</f>
        <v>0</v>
      </c>
      <c r="Q121" s="448">
        <f>'SVB-รายสัปดาห์ทั้งหมด'!Q26</f>
        <v>0</v>
      </c>
      <c r="R121" s="448">
        <f>'SVB-รายสัปดาห์ทั้งหมด'!R26</f>
        <v>0</v>
      </c>
      <c r="S121" s="448">
        <f>'SVB-รายสัปดาห์ทั้งหมด'!S26</f>
        <v>0</v>
      </c>
      <c r="T121" s="448">
        <f>'SVB-รายสัปดาห์ทั้งหมด'!T26</f>
        <v>0</v>
      </c>
      <c r="U121" s="448">
        <f>'SVB-รายสัปดาห์ทั้งหมด'!U26</f>
        <v>0</v>
      </c>
      <c r="V121" s="448">
        <f t="shared" si="2"/>
        <v>25</v>
      </c>
    </row>
    <row r="122" spans="1:22" ht="18" customHeight="1">
      <c r="A122" s="449" t="s">
        <v>329</v>
      </c>
      <c r="B122" s="450">
        <f>'SVB-รายสัปดาห์ทั้งหมด'!B28</f>
        <v>30</v>
      </c>
      <c r="C122" s="450">
        <f>'SVB-รายสัปดาห์ทั้งหมด'!C28</f>
        <v>45</v>
      </c>
      <c r="D122" s="450">
        <f>'SVB-รายสัปดาห์ทั้งหมด'!D28</f>
        <v>52</v>
      </c>
      <c r="E122" s="450">
        <f>'SVB-รายสัปดาห์ทั้งหมด'!E28</f>
        <v>0</v>
      </c>
      <c r="F122" s="450">
        <f>'SVB-รายสัปดาห์ทั้งหมด'!F28</f>
        <v>42</v>
      </c>
      <c r="G122" s="450"/>
      <c r="H122" s="450"/>
      <c r="I122" s="450"/>
      <c r="J122" s="450"/>
      <c r="K122" s="450"/>
      <c r="L122" s="450"/>
      <c r="M122" s="450"/>
      <c r="N122" s="450"/>
      <c r="O122" s="450"/>
      <c r="P122" s="450"/>
      <c r="Q122" s="450"/>
      <c r="R122" s="450"/>
      <c r="S122" s="450"/>
      <c r="T122" s="450"/>
      <c r="U122" s="450"/>
      <c r="V122" s="657">
        <f t="shared" si="2"/>
        <v>169</v>
      </c>
    </row>
    <row r="123" spans="1:22" ht="18" customHeight="1">
      <c r="A123" s="449" t="s">
        <v>330</v>
      </c>
      <c r="B123" s="450">
        <f>'SVB-รายสัปดาห์ทั้งหมด'!B29</f>
        <v>30</v>
      </c>
      <c r="C123" s="450">
        <f>'SVB-รายสัปดาห์ทั้งหมด'!C29</f>
        <v>45</v>
      </c>
      <c r="D123" s="450">
        <f>'SVB-รายสัปดาห์ทั้งหมด'!D29</f>
        <v>52</v>
      </c>
      <c r="E123" s="450">
        <f>'SVB-รายสัปดาห์ทั้งหมด'!E29</f>
        <v>0</v>
      </c>
      <c r="F123" s="450">
        <f>'SVB-รายสัปดาห์ทั้งหมด'!F29</f>
        <v>42</v>
      </c>
      <c r="G123" s="450"/>
      <c r="H123" s="450"/>
      <c r="I123" s="450"/>
      <c r="J123" s="450"/>
      <c r="K123" s="450"/>
      <c r="L123" s="450"/>
      <c r="M123" s="450"/>
      <c r="N123" s="450"/>
      <c r="O123" s="450"/>
      <c r="P123" s="450"/>
      <c r="Q123" s="450"/>
      <c r="R123" s="450"/>
      <c r="S123" s="450"/>
      <c r="T123" s="450"/>
      <c r="U123" s="450"/>
      <c r="V123" s="657">
        <f t="shared" si="2"/>
        <v>169</v>
      </c>
    </row>
    <row r="124" spans="1:22" ht="18" customHeight="1">
      <c r="A124" s="449" t="s">
        <v>331</v>
      </c>
      <c r="B124" s="450">
        <f>'SVB-รายสัปดาห์ทั้งหมด'!B30</f>
        <v>30</v>
      </c>
      <c r="C124" s="450">
        <f>'SVB-รายสัปดาห์ทั้งหมด'!C30</f>
        <v>45</v>
      </c>
      <c r="D124" s="450">
        <f>'SVB-รายสัปดาห์ทั้งหมด'!D30</f>
        <v>52</v>
      </c>
      <c r="E124" s="450">
        <f>'SVB-รายสัปดาห์ทั้งหมด'!E30</f>
        <v>0</v>
      </c>
      <c r="F124" s="450">
        <f>'SVB-รายสัปดาห์ทั้งหมด'!F30</f>
        <v>42</v>
      </c>
      <c r="G124" s="450"/>
      <c r="H124" s="450"/>
      <c r="I124" s="450"/>
      <c r="J124" s="450"/>
      <c r="K124" s="450"/>
      <c r="L124" s="450"/>
      <c r="M124" s="450"/>
      <c r="N124" s="450"/>
      <c r="O124" s="450"/>
      <c r="P124" s="450"/>
      <c r="Q124" s="450"/>
      <c r="R124" s="450"/>
      <c r="S124" s="450"/>
      <c r="T124" s="450"/>
      <c r="U124" s="450"/>
      <c r="V124" s="657">
        <f t="shared" si="2"/>
        <v>169</v>
      </c>
    </row>
    <row r="125" spans="1:22" ht="18" customHeight="1">
      <c r="A125" s="449" t="s">
        <v>1226</v>
      </c>
      <c r="B125" s="450">
        <f>'SVB-รายสัปดาห์ทั้งหมด'!B31</f>
        <v>2</v>
      </c>
      <c r="C125" s="450">
        <f>'SVB-รายสัปดาห์ทั้งหมด'!C31</f>
        <v>45</v>
      </c>
      <c r="D125" s="450">
        <f>'SVB-รายสัปดาห์ทั้งหมด'!D31</f>
        <v>52</v>
      </c>
      <c r="E125" s="450">
        <f>'SVB-รายสัปดาห์ทั้งหมด'!E31</f>
        <v>0</v>
      </c>
      <c r="F125" s="450">
        <f>'SVB-รายสัปดาห์ทั้งหมด'!F31</f>
        <v>42</v>
      </c>
      <c r="G125" s="450"/>
      <c r="H125" s="450"/>
      <c r="I125" s="450"/>
      <c r="J125" s="450"/>
      <c r="K125" s="450"/>
      <c r="L125" s="450"/>
      <c r="M125" s="450"/>
      <c r="N125" s="450"/>
      <c r="O125" s="450"/>
      <c r="P125" s="450"/>
      <c r="Q125" s="450"/>
      <c r="R125" s="450"/>
      <c r="S125" s="450"/>
      <c r="T125" s="450"/>
      <c r="U125" s="450"/>
      <c r="V125" s="657">
        <f t="shared" si="2"/>
        <v>141</v>
      </c>
    </row>
    <row r="126" spans="1:22" ht="18" customHeight="1">
      <c r="A126" s="449" t="s">
        <v>1225</v>
      </c>
      <c r="B126" s="450">
        <f>'SVB-รายสัปดาห์ทั้งหมด'!B32</f>
        <v>24</v>
      </c>
      <c r="C126" s="450">
        <f>'SVB-รายสัปดาห์ทั้งหมด'!C32</f>
        <v>0</v>
      </c>
      <c r="D126" s="450">
        <f>'SVB-รายสัปดาห์ทั้งหมด'!D32</f>
        <v>0</v>
      </c>
      <c r="E126" s="450">
        <f>'SVB-รายสัปดาห์ทั้งหมด'!E32</f>
        <v>0</v>
      </c>
      <c r="F126" s="450">
        <f>'SVB-รายสัปดาห์ทั้งหมด'!F32</f>
        <v>0</v>
      </c>
      <c r="G126" s="450"/>
      <c r="H126" s="450"/>
      <c r="I126" s="450"/>
      <c r="J126" s="450"/>
      <c r="K126" s="450"/>
      <c r="L126" s="450"/>
      <c r="M126" s="450"/>
      <c r="N126" s="450"/>
      <c r="O126" s="450"/>
      <c r="P126" s="450"/>
      <c r="Q126" s="450"/>
      <c r="R126" s="450"/>
      <c r="S126" s="450"/>
      <c r="T126" s="450"/>
      <c r="U126" s="450"/>
      <c r="V126" s="657">
        <f t="shared" si="2"/>
        <v>24</v>
      </c>
    </row>
    <row r="127" spans="1:22" ht="18" customHeight="1">
      <c r="A127" s="449" t="s">
        <v>332</v>
      </c>
      <c r="B127" s="450">
        <f>'SVB-รายสัปดาห์ทั้งหมด'!B41</f>
        <v>30</v>
      </c>
      <c r="C127" s="450">
        <f>'SVB-รายสัปดาห์ทั้งหมด'!C41</f>
        <v>75</v>
      </c>
      <c r="D127" s="450">
        <f>'SVB-รายสัปดาห์ทั้งหมด'!D41</f>
        <v>127</v>
      </c>
      <c r="E127" s="450">
        <f>'SVB-รายสัปดาห์ทั้งหมด'!E41</f>
        <v>127</v>
      </c>
      <c r="F127" s="450">
        <f>'SVB-รายสัปดาห์ทั้งหมด'!F41</f>
        <v>169</v>
      </c>
      <c r="G127" s="450"/>
      <c r="H127" s="450"/>
      <c r="I127" s="450"/>
      <c r="J127" s="450"/>
      <c r="K127" s="450"/>
      <c r="L127" s="450"/>
      <c r="M127" s="450"/>
      <c r="N127" s="450"/>
      <c r="O127" s="450"/>
      <c r="P127" s="450"/>
      <c r="Q127" s="450"/>
      <c r="R127" s="450"/>
      <c r="S127" s="450"/>
      <c r="T127" s="450"/>
      <c r="U127" s="450"/>
      <c r="V127" s="657"/>
    </row>
    <row r="128" spans="1:22" ht="18" customHeight="1">
      <c r="A128" s="449" t="s">
        <v>1230</v>
      </c>
      <c r="B128" s="450">
        <f>'SVB-รายสัปดาห์ทั้งหมด'!B42</f>
        <v>2</v>
      </c>
      <c r="C128" s="450">
        <f>'SVB-รายสัปดาห์ทั้งหมด'!C42</f>
        <v>47</v>
      </c>
      <c r="D128" s="450">
        <f>'SVB-รายสัปดาห์ทั้งหมด'!D42</f>
        <v>99</v>
      </c>
      <c r="E128" s="450">
        <f>'SVB-รายสัปดาห์ทั้งหมด'!E42</f>
        <v>99</v>
      </c>
      <c r="F128" s="450">
        <f>'SVB-รายสัปดาห์ทั้งหมด'!F42</f>
        <v>141</v>
      </c>
      <c r="G128" s="450"/>
      <c r="H128" s="450"/>
      <c r="I128" s="450"/>
      <c r="J128" s="450"/>
      <c r="K128" s="450"/>
      <c r="L128" s="450"/>
      <c r="M128" s="450"/>
      <c r="N128" s="450"/>
      <c r="O128" s="450"/>
      <c r="P128" s="450"/>
      <c r="Q128" s="450"/>
      <c r="R128" s="450"/>
      <c r="S128" s="450"/>
      <c r="T128" s="450"/>
      <c r="U128" s="450"/>
      <c r="V128" s="657"/>
    </row>
    <row r="129" spans="1:22" ht="18" customHeight="1">
      <c r="A129" s="449" t="s">
        <v>1232</v>
      </c>
      <c r="B129" s="450">
        <f>'SVB-รายสัปดาห์ทั้งหมด'!B43</f>
        <v>24</v>
      </c>
      <c r="C129" s="450">
        <f>'SVB-รายสัปดาห์ทั้งหมด'!C43</f>
        <v>24</v>
      </c>
      <c r="D129" s="450">
        <f>'SVB-รายสัปดาห์ทั้งหมด'!D43</f>
        <v>24</v>
      </c>
      <c r="E129" s="450">
        <f>'SVB-รายสัปดาห์ทั้งหมด'!E43</f>
        <v>24</v>
      </c>
      <c r="F129" s="450">
        <f>'SVB-รายสัปดาห์ทั้งหมด'!F43</f>
        <v>24</v>
      </c>
      <c r="G129" s="450"/>
      <c r="H129" s="450"/>
      <c r="I129" s="450"/>
      <c r="J129" s="450"/>
      <c r="K129" s="450"/>
      <c r="L129" s="450"/>
      <c r="M129" s="450"/>
      <c r="N129" s="450"/>
      <c r="O129" s="450"/>
      <c r="P129" s="450"/>
      <c r="Q129" s="450"/>
      <c r="R129" s="450"/>
      <c r="S129" s="450"/>
      <c r="T129" s="450"/>
      <c r="U129" s="450"/>
      <c r="V129" s="657"/>
    </row>
    <row r="130" spans="1:22" ht="18" customHeight="1">
      <c r="A130" s="453" t="s">
        <v>312</v>
      </c>
      <c r="B130" s="650">
        <f>'SVB-รายสัปดาห์ทั้งหมด'!B34</f>
        <v>26</v>
      </c>
      <c r="C130" s="650">
        <f>'SVB-รายสัปดาห์ทั้งหมด'!C34</f>
        <v>0</v>
      </c>
      <c r="D130" s="650">
        <f>'SVB-รายสัปดาห์ทั้งหมด'!D34</f>
        <v>0</v>
      </c>
      <c r="E130" s="650">
        <f>'SVB-รายสัปดาห์ทั้งหมด'!E34</f>
        <v>0</v>
      </c>
      <c r="F130" s="650">
        <f>'SVB-รายสัปดาห์ทั้งหมด'!F34</f>
        <v>1</v>
      </c>
      <c r="G130" s="650"/>
      <c r="H130" s="650"/>
      <c r="I130" s="650"/>
      <c r="J130" s="650"/>
      <c r="K130" s="650"/>
      <c r="L130" s="650"/>
      <c r="M130" s="650"/>
      <c r="N130" s="650"/>
      <c r="O130" s="650"/>
      <c r="P130" s="650"/>
      <c r="Q130" s="650"/>
      <c r="R130" s="650"/>
      <c r="S130" s="650"/>
      <c r="T130" s="650"/>
      <c r="U130" s="650"/>
      <c r="V130" s="658">
        <f>SUM(B130:U130)</f>
        <v>27</v>
      </c>
    </row>
    <row r="131" spans="1:22" ht="18" customHeight="1">
      <c r="A131" s="453" t="s">
        <v>313</v>
      </c>
      <c r="B131" s="650">
        <f>'SVB-รายสัปดาห์ทั้งหมด'!B35</f>
        <v>0</v>
      </c>
      <c r="C131" s="650">
        <f>'SVB-รายสัปดาห์ทั้งหมด'!C35</f>
        <v>24</v>
      </c>
      <c r="D131" s="650">
        <f>'SVB-รายสัปดาห์ทั้งหมด'!D35</f>
        <v>2</v>
      </c>
      <c r="E131" s="650">
        <f>'SVB-รายสัปดาห์ทั้งหมด'!E35</f>
        <v>0</v>
      </c>
      <c r="F131" s="650">
        <f>'SVB-รายสัปดาห์ทั้งหมด'!F35</f>
        <v>0</v>
      </c>
      <c r="G131" s="650"/>
      <c r="H131" s="650"/>
      <c r="I131" s="650"/>
      <c r="J131" s="650"/>
      <c r="K131" s="650"/>
      <c r="L131" s="650"/>
      <c r="M131" s="650"/>
      <c r="N131" s="650"/>
      <c r="O131" s="650"/>
      <c r="P131" s="650"/>
      <c r="Q131" s="650"/>
      <c r="R131" s="650"/>
      <c r="S131" s="650"/>
      <c r="T131" s="650"/>
      <c r="U131" s="650"/>
      <c r="V131" s="658">
        <f t="shared" ref="V131:V135" si="3">SUM(B131:U131)</f>
        <v>26</v>
      </c>
    </row>
    <row r="132" spans="1:22" ht="18" customHeight="1">
      <c r="A132" s="453" t="s">
        <v>882</v>
      </c>
      <c r="B132" s="650">
        <f>'SVB-รายสัปดาห์ทั้งหมด'!B36</f>
        <v>0</v>
      </c>
      <c r="C132" s="650">
        <f>'SVB-รายสัปดาห์ทั้งหมด'!C36</f>
        <v>0</v>
      </c>
      <c r="D132" s="650">
        <f>'SVB-รายสัปดาห์ทั้งหมด'!D36</f>
        <v>0</v>
      </c>
      <c r="E132" s="650">
        <f>'SVB-รายสัปดาห์ทั้งหมด'!E36</f>
        <v>0</v>
      </c>
      <c r="F132" s="650">
        <f>'SVB-รายสัปดาห์ทั้งหมด'!F36</f>
        <v>1</v>
      </c>
      <c r="G132" s="650"/>
      <c r="H132" s="650"/>
      <c r="I132" s="650"/>
      <c r="J132" s="650"/>
      <c r="K132" s="650"/>
      <c r="L132" s="650"/>
      <c r="M132" s="650"/>
      <c r="N132" s="650"/>
      <c r="O132" s="650"/>
      <c r="P132" s="650"/>
      <c r="Q132" s="650"/>
      <c r="R132" s="650"/>
      <c r="S132" s="650"/>
      <c r="T132" s="650"/>
      <c r="U132" s="650"/>
      <c r="V132" s="658">
        <f t="shared" si="3"/>
        <v>1</v>
      </c>
    </row>
    <row r="133" spans="1:22" ht="18" customHeight="1">
      <c r="A133" s="453" t="s">
        <v>883</v>
      </c>
      <c r="B133" s="650">
        <f>'SVB-รายสัปดาห์ทั้งหมด'!B37</f>
        <v>0</v>
      </c>
      <c r="C133" s="650">
        <f>'SVB-รายสัปดาห์ทั้งหมด'!C37</f>
        <v>0</v>
      </c>
      <c r="D133" s="650">
        <f>'SVB-รายสัปดาห์ทั้งหมด'!D37</f>
        <v>0</v>
      </c>
      <c r="E133" s="650">
        <f>'SVB-รายสัปดาห์ทั้งหมด'!E37</f>
        <v>0</v>
      </c>
      <c r="F133" s="650">
        <f>'SVB-รายสัปดาห์ทั้งหมด'!F37</f>
        <v>0</v>
      </c>
      <c r="G133" s="650"/>
      <c r="H133" s="650"/>
      <c r="I133" s="650"/>
      <c r="J133" s="650"/>
      <c r="K133" s="650"/>
      <c r="L133" s="650"/>
      <c r="M133" s="650"/>
      <c r="N133" s="650"/>
      <c r="O133" s="650"/>
      <c r="P133" s="650"/>
      <c r="Q133" s="650"/>
      <c r="R133" s="650"/>
      <c r="S133" s="650"/>
      <c r="T133" s="650"/>
      <c r="U133" s="650"/>
      <c r="V133" s="658">
        <f t="shared" si="3"/>
        <v>0</v>
      </c>
    </row>
    <row r="134" spans="1:22" ht="18" customHeight="1">
      <c r="A134" s="453" t="s">
        <v>888</v>
      </c>
      <c r="B134" s="650">
        <f>'SVB-รายสัปดาห์ทั้งหมด'!B38</f>
        <v>24</v>
      </c>
      <c r="C134" s="650">
        <f>'SVB-รายสัปดาห์ทั้งหมด'!C38</f>
        <v>0</v>
      </c>
      <c r="D134" s="650">
        <f>'SVB-รายสัปดาห์ทั้งหมด'!D38</f>
        <v>0</v>
      </c>
      <c r="E134" s="650">
        <f>'SVB-รายสัปดาห์ทั้งหมด'!E38</f>
        <v>0</v>
      </c>
      <c r="F134" s="650">
        <f>'SVB-รายสัปดาห์ทั้งหมด'!F38</f>
        <v>0</v>
      </c>
      <c r="G134" s="650"/>
      <c r="H134" s="650"/>
      <c r="I134" s="650"/>
      <c r="J134" s="650"/>
      <c r="K134" s="650"/>
      <c r="L134" s="650"/>
      <c r="M134" s="650"/>
      <c r="N134" s="650"/>
      <c r="O134" s="650"/>
      <c r="P134" s="650"/>
      <c r="Q134" s="650"/>
      <c r="R134" s="650"/>
      <c r="S134" s="650"/>
      <c r="T134" s="650"/>
      <c r="U134" s="650"/>
      <c r="V134" s="658">
        <f t="shared" si="3"/>
        <v>24</v>
      </c>
    </row>
    <row r="135" spans="1:22" ht="18" customHeight="1">
      <c r="A135" s="453" t="s">
        <v>889</v>
      </c>
      <c r="B135" s="650">
        <f>'SVB-รายสัปดาห์ทั้งหมด'!B39</f>
        <v>0</v>
      </c>
      <c r="C135" s="650">
        <f>'SVB-รายสัปดาห์ทั้งหมด'!C39</f>
        <v>24</v>
      </c>
      <c r="D135" s="650">
        <f>'SVB-รายสัปดาห์ทั้งหมด'!D39</f>
        <v>0</v>
      </c>
      <c r="E135" s="650">
        <f>'SVB-รายสัปดาห์ทั้งหมด'!E39</f>
        <v>0</v>
      </c>
      <c r="F135" s="650">
        <f>'SVB-รายสัปดาห์ทั้งหมด'!F39</f>
        <v>0</v>
      </c>
      <c r="G135" s="650"/>
      <c r="H135" s="650"/>
      <c r="I135" s="650"/>
      <c r="J135" s="650"/>
      <c r="K135" s="650"/>
      <c r="L135" s="650"/>
      <c r="M135" s="650"/>
      <c r="N135" s="650"/>
      <c r="O135" s="650"/>
      <c r="P135" s="650"/>
      <c r="Q135" s="650"/>
      <c r="R135" s="650"/>
      <c r="S135" s="650"/>
      <c r="T135" s="650"/>
      <c r="U135" s="650"/>
      <c r="V135" s="658">
        <f t="shared" si="3"/>
        <v>24</v>
      </c>
    </row>
    <row r="136" spans="1:22" ht="18" customHeight="1">
      <c r="A136" s="451" t="s">
        <v>1233</v>
      </c>
      <c r="B136" s="452">
        <f>'SVB-รายสัปดาห์ทั้งหมด'!B40</f>
        <v>7.5</v>
      </c>
      <c r="C136" s="452">
        <f>'SVB-รายสัปดาห์ทั้งหมด'!C40</f>
        <v>0.65217391304347827</v>
      </c>
      <c r="D136" s="452">
        <f>'SVB-รายสัปดาห์ทั้งหมด'!D40</f>
        <v>0.96296296296296291</v>
      </c>
      <c r="E136" s="452" t="str">
        <f>'SVB-รายสัปดาห์ทั้งหมด'!E40</f>
        <v>-</v>
      </c>
      <c r="F136" s="452">
        <f>'SVB-รายสัปดาห์ทั้งหมด'!F40</f>
        <v>1.024390243902439</v>
      </c>
      <c r="G136" s="452"/>
      <c r="H136" s="452"/>
      <c r="I136" s="452"/>
      <c r="J136" s="452"/>
      <c r="K136" s="452"/>
      <c r="L136" s="452"/>
      <c r="M136" s="452"/>
      <c r="N136" s="452"/>
      <c r="O136" s="452"/>
      <c r="P136" s="452"/>
      <c r="Q136" s="452"/>
      <c r="R136" s="452"/>
      <c r="S136" s="452"/>
      <c r="T136" s="452"/>
      <c r="U136" s="452"/>
      <c r="V136" s="452"/>
    </row>
    <row r="137" spans="1:22" ht="18" customHeight="1">
      <c r="A137" s="453" t="s">
        <v>334</v>
      </c>
      <c r="B137" s="454">
        <f>'SVB-รายสัปดาห์ทั้งหมด'!B59</f>
        <v>2.1390374331550801E-2</v>
      </c>
      <c r="C137" s="454">
        <f>'SVB-รายสัปดาห์ทั้งหมด'!C59</f>
        <v>0.39037433155080214</v>
      </c>
      <c r="D137" s="454">
        <f>'SVB-รายสัปดาห์ทั้งหมด'!D59</f>
        <v>0.67914438502673802</v>
      </c>
      <c r="E137" s="454">
        <f>'SVB-รายสัปดาห์ทั้งหมด'!E59</f>
        <v>0.67914438502673802</v>
      </c>
      <c r="F137" s="454">
        <f>'SVB-รายสัปดาห์ทั้งหมด'!F59</f>
        <v>0.89839572192513373</v>
      </c>
      <c r="G137" s="454">
        <f>'SVB-รายสัปดาห์ทั้งหมด'!G59</f>
        <v>0.98930481283422456</v>
      </c>
      <c r="H137" s="454">
        <f>'SVB-รายสัปดาห์ทั้งหมด'!H59</f>
        <v>0.98930481283422456</v>
      </c>
      <c r="I137" s="454">
        <f>'SVB-รายสัปดาห์ทั้งหมด'!I59</f>
        <v>0.98930481283422456</v>
      </c>
      <c r="J137" s="454">
        <f>'SVB-รายสัปดาห์ทั้งหมด'!J59</f>
        <v>0.98930481283422456</v>
      </c>
      <c r="K137" s="454">
        <f>'SVB-รายสัปดาห์ทั้งหมด'!K59</f>
        <v>0.98930481283422456</v>
      </c>
      <c r="L137" s="454">
        <f>'SVB-รายสัปดาห์ทั้งหมด'!L59</f>
        <v>0.98930481283422456</v>
      </c>
      <c r="M137" s="454">
        <f>'SVB-รายสัปดาห์ทั้งหมด'!M59</f>
        <v>0.98930481283422456</v>
      </c>
      <c r="N137" s="454">
        <f>'SVB-รายสัปดาห์ทั้งหมด'!N59</f>
        <v>0.98930481283422456</v>
      </c>
      <c r="O137" s="454">
        <f>'SVB-รายสัปดาห์ทั้งหมด'!O59</f>
        <v>0.98930481283422456</v>
      </c>
      <c r="P137" s="454">
        <f>'SVB-รายสัปดาห์ทั้งหมด'!P59</f>
        <v>0.98930481283422456</v>
      </c>
      <c r="Q137" s="454">
        <f>'SVB-รายสัปดาห์ทั้งหมด'!Q59</f>
        <v>1</v>
      </c>
      <c r="R137" s="454">
        <f>'SVB-รายสัปดาห์ทั้งหมด'!R59</f>
        <v>1</v>
      </c>
      <c r="S137" s="454">
        <f>'SVB-รายสัปดาห์ทั้งหมด'!S59</f>
        <v>1</v>
      </c>
      <c r="T137" s="454">
        <f>'SVB-รายสัปดาห์ทั้งหมด'!T59</f>
        <v>1</v>
      </c>
      <c r="U137" s="454">
        <f>'SVB-รายสัปดาห์ทั้งหมด'!U59</f>
        <v>1</v>
      </c>
      <c r="V137" s="454"/>
    </row>
    <row r="138" spans="1:22" ht="18" customHeight="1">
      <c r="A138" s="453" t="s">
        <v>335</v>
      </c>
      <c r="B138" s="454">
        <f>'SVB-รายสัปดาห์ทั้งหมด'!B56</f>
        <v>0.16042780748663102</v>
      </c>
      <c r="C138" s="454">
        <f>'SVB-รายสัปดาห์ทั้งหมด'!C56</f>
        <v>0.40106951871657753</v>
      </c>
      <c r="D138" s="454">
        <f>'SVB-รายสัปดาห์ทั้งหมด'!D56</f>
        <v>0.67914438502673802</v>
      </c>
      <c r="E138" s="454">
        <f>'SVB-รายสัปดาห์ทั้งหมด'!E56</f>
        <v>0.67914438502673802</v>
      </c>
      <c r="F138" s="454">
        <f>'SVB-รายสัปดาห์ทั้งหมด'!F56</f>
        <v>0.90374331550802134</v>
      </c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</row>
    <row r="139" spans="1:22" ht="18" customHeight="1">
      <c r="A139" s="453" t="s">
        <v>1234</v>
      </c>
      <c r="B139" s="454">
        <f>'SVB-รายสัปดาห์ทั้งหมด'!B60</f>
        <v>1.282051282051282E-2</v>
      </c>
      <c r="C139" s="454">
        <f>'SVB-รายสัปดาห์ทั้งหมด'!C60</f>
        <v>0.30128205128205127</v>
      </c>
      <c r="D139" s="454">
        <f>'SVB-รายสัปดาห์ทั้งหมด'!D60</f>
        <v>0.63461538461538458</v>
      </c>
      <c r="E139" s="454">
        <f>'SVB-รายสัปดาห์ทั้งหมด'!E60</f>
        <v>0.63461538461538458</v>
      </c>
      <c r="F139" s="454">
        <f>'SVB-รายสัปดาห์ทั้งหมด'!F60</f>
        <v>0.89743589743589747</v>
      </c>
      <c r="G139" s="454">
        <f>'SVB-รายสัปดาห์ทั้งหมด'!G60</f>
        <v>0.98717948717948723</v>
      </c>
      <c r="H139" s="454">
        <f>'SVB-รายสัปดาห์ทั้งหมด'!H60</f>
        <v>0.98717948717948723</v>
      </c>
      <c r="I139" s="454">
        <f>'SVB-รายสัปดาห์ทั้งหมด'!I60</f>
        <v>0.98717948717948723</v>
      </c>
      <c r="J139" s="454">
        <f>'SVB-รายสัปดาห์ทั้งหมด'!J60</f>
        <v>0.98717948717948723</v>
      </c>
      <c r="K139" s="454">
        <f>'SVB-รายสัปดาห์ทั้งหมด'!K60</f>
        <v>0.98717948717948723</v>
      </c>
      <c r="L139" s="454">
        <f>'SVB-รายสัปดาห์ทั้งหมด'!L60</f>
        <v>0.98717948717948723</v>
      </c>
      <c r="M139" s="454">
        <f>'SVB-รายสัปดาห์ทั้งหมด'!M60</f>
        <v>0.98717948717948723</v>
      </c>
      <c r="N139" s="454">
        <f>'SVB-รายสัปดาห์ทั้งหมด'!N60</f>
        <v>0.98717948717948723</v>
      </c>
      <c r="O139" s="454">
        <f>'SVB-รายสัปดาห์ทั้งหมด'!O60</f>
        <v>0.98717948717948723</v>
      </c>
      <c r="P139" s="454">
        <f>'SVB-รายสัปดาห์ทั้งหมด'!P60</f>
        <v>0.98717948717948723</v>
      </c>
      <c r="Q139" s="454">
        <f>'SVB-รายสัปดาห์ทั้งหมด'!Q60</f>
        <v>1</v>
      </c>
      <c r="R139" s="454">
        <f>'SVB-รายสัปดาห์ทั้งหมด'!R60</f>
        <v>1</v>
      </c>
      <c r="S139" s="454">
        <f>'SVB-รายสัปดาห์ทั้งหมด'!S60</f>
        <v>1</v>
      </c>
      <c r="T139" s="454">
        <f>'SVB-รายสัปดาห์ทั้งหมด'!T60</f>
        <v>1</v>
      </c>
      <c r="U139" s="454">
        <f>'SVB-รายสัปดาห์ทั้งหมด'!U60</f>
        <v>1</v>
      </c>
      <c r="V139" s="454"/>
    </row>
    <row r="140" spans="1:22" ht="18" customHeight="1">
      <c r="A140" s="453" t="s">
        <v>1235</v>
      </c>
      <c r="B140" s="454">
        <f>'SVB-รายสัปดาห์ทั้งหมด'!B57</f>
        <v>1.282051282051282E-2</v>
      </c>
      <c r="C140" s="454">
        <f>'SVB-รายสัปดาห์ทั้งหมด'!C57</f>
        <v>0.30128205128205127</v>
      </c>
      <c r="D140" s="454">
        <f>'SVB-รายสัปดาห์ทั้งหมด'!D57</f>
        <v>0.63461538461538458</v>
      </c>
      <c r="E140" s="454">
        <f>'SVB-รายสัปดาห์ทั้งหมด'!E57</f>
        <v>0.63461538461538458</v>
      </c>
      <c r="F140" s="454">
        <f>'SVB-รายสัปดาห์ทั้งหมด'!F57</f>
        <v>0.90384615384615385</v>
      </c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</row>
    <row r="141" spans="1:22" ht="18" customHeight="1">
      <c r="A141" s="453" t="s">
        <v>1236</v>
      </c>
      <c r="B141" s="454">
        <f>'SVB-รายสัปดาห์ทั้งหมด'!B61</f>
        <v>0</v>
      </c>
      <c r="C141" s="454">
        <f>'SVB-รายสัปดาห์ทั้งหมด'!C61</f>
        <v>0.96</v>
      </c>
      <c r="D141" s="454">
        <f>'SVB-รายสัปดาห์ทั้งหมด'!D61</f>
        <v>0.96</v>
      </c>
      <c r="E141" s="454">
        <f>'SVB-รายสัปดาห์ทั้งหมด'!E61</f>
        <v>0.96</v>
      </c>
      <c r="F141" s="454">
        <f>'SVB-รายสัปดาห์ทั้งหมด'!F61</f>
        <v>0.96</v>
      </c>
      <c r="G141" s="454">
        <f>'SVB-รายสัปดาห์ทั้งหมด'!G61</f>
        <v>1</v>
      </c>
      <c r="H141" s="454">
        <f>'SVB-รายสัปดาห์ทั้งหมด'!H61</f>
        <v>1</v>
      </c>
      <c r="I141" s="454">
        <f>'SVB-รายสัปดาห์ทั้งหมด'!I61</f>
        <v>1</v>
      </c>
      <c r="J141" s="454">
        <f>'SVB-รายสัปดาห์ทั้งหมด'!J61</f>
        <v>1</v>
      </c>
      <c r="K141" s="454">
        <f>'SVB-รายสัปดาห์ทั้งหมด'!K61</f>
        <v>1</v>
      </c>
      <c r="L141" s="454">
        <f>'SVB-รายสัปดาห์ทั้งหมด'!L61</f>
        <v>1</v>
      </c>
      <c r="M141" s="454">
        <f>'SVB-รายสัปดาห์ทั้งหมด'!M61</f>
        <v>1</v>
      </c>
      <c r="N141" s="454">
        <f>'SVB-รายสัปดาห์ทั้งหมด'!N61</f>
        <v>1</v>
      </c>
      <c r="O141" s="454">
        <f>'SVB-รายสัปดาห์ทั้งหมด'!O61</f>
        <v>1</v>
      </c>
      <c r="P141" s="454">
        <f>'SVB-รายสัปดาห์ทั้งหมด'!P61</f>
        <v>1</v>
      </c>
      <c r="Q141" s="454">
        <f>'SVB-รายสัปดาห์ทั้งหมด'!Q61</f>
        <v>1</v>
      </c>
      <c r="R141" s="454">
        <f>'SVB-รายสัปดาห์ทั้งหมด'!R61</f>
        <v>1</v>
      </c>
      <c r="S141" s="454">
        <f>'SVB-รายสัปดาห์ทั้งหมด'!S61</f>
        <v>1</v>
      </c>
      <c r="T141" s="454">
        <f>'SVB-รายสัปดาห์ทั้งหมด'!T61</f>
        <v>1</v>
      </c>
      <c r="U141" s="454">
        <f>'SVB-รายสัปดาห์ทั้งหมด'!U61</f>
        <v>1</v>
      </c>
      <c r="V141" s="454"/>
    </row>
    <row r="142" spans="1:22" ht="18" customHeight="1">
      <c r="A142" s="453" t="s">
        <v>1237</v>
      </c>
      <c r="B142" s="454">
        <f>'SVB-รายสัปดาห์ทั้งหมด'!B58</f>
        <v>0.96</v>
      </c>
      <c r="C142" s="454">
        <f>'SVB-รายสัปดาห์ทั้งหมด'!C58</f>
        <v>0.96</v>
      </c>
      <c r="D142" s="454">
        <f>'SVB-รายสัปดาห์ทั้งหมด'!D58</f>
        <v>0.96</v>
      </c>
      <c r="E142" s="454">
        <f>'SVB-รายสัปดาห์ทั้งหมด'!E58</f>
        <v>0.96</v>
      </c>
      <c r="F142" s="454">
        <f>'SVB-รายสัปดาห์ทั้งหมด'!F58</f>
        <v>0.96</v>
      </c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</row>
    <row r="143" spans="1:22" ht="18" customHeight="1">
      <c r="A143" s="455" t="s">
        <v>1238</v>
      </c>
      <c r="B143" s="456">
        <f t="shared" ref="B143:C143" si="4">IF(B119=0,0,B122/B119)</f>
        <v>7.5</v>
      </c>
      <c r="C143" s="456">
        <f t="shared" si="4"/>
        <v>0.65217391304347827</v>
      </c>
      <c r="D143" s="456">
        <f t="shared" ref="D143:E143" si="5">IF(D119=0,0,D122/D119)</f>
        <v>0.96296296296296291</v>
      </c>
      <c r="E143" s="456">
        <f t="shared" si="5"/>
        <v>0</v>
      </c>
      <c r="F143" s="456">
        <f t="shared" ref="F143" si="6">IF(F119=0,0,F122/F119)</f>
        <v>1.024390243902439</v>
      </c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</row>
    <row r="144" spans="1:22" ht="18" customHeight="1">
      <c r="A144" s="455" t="s">
        <v>1239</v>
      </c>
      <c r="B144" s="456">
        <f t="shared" ref="B144:C144" si="7">IF(B119=0,0,B123/B119)</f>
        <v>7.5</v>
      </c>
      <c r="C144" s="456">
        <f t="shared" si="7"/>
        <v>0.65217391304347827</v>
      </c>
      <c r="D144" s="456">
        <f t="shared" ref="D144:E144" si="8">IF(D119=0,0,D123/D119)</f>
        <v>0.96296296296296291</v>
      </c>
      <c r="E144" s="456">
        <f t="shared" si="8"/>
        <v>0</v>
      </c>
      <c r="F144" s="456">
        <f t="shared" ref="F144" si="9">IF(F119=0,0,F123/F119)</f>
        <v>1.024390243902439</v>
      </c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</row>
    <row r="145" spans="1:22" ht="18" customHeight="1">
      <c r="A145" s="455" t="s">
        <v>1240</v>
      </c>
      <c r="B145" s="456">
        <f t="shared" ref="B145:C145" si="10">IF(B119=0,0,B124/B119)</f>
        <v>7.5</v>
      </c>
      <c r="C145" s="456">
        <f t="shared" si="10"/>
        <v>0.65217391304347827</v>
      </c>
      <c r="D145" s="456">
        <f t="shared" ref="D145:E145" si="11">IF(D119=0,0,D124/D119)</f>
        <v>0.96296296296296291</v>
      </c>
      <c r="E145" s="456">
        <f t="shared" si="11"/>
        <v>0</v>
      </c>
      <c r="F145" s="456">
        <f t="shared" ref="F145" si="12">IF(F119=0,0,F124/F119)</f>
        <v>1.024390243902439</v>
      </c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2" bestFit="1" customWidth="1"/>
    <col min="20" max="20" width="8.6640625" style="203" bestFit="1" customWidth="1"/>
    <col min="21" max="21" width="8.6640625" style="422" bestFit="1" customWidth="1"/>
    <col min="22" max="16384" width="9.109375" style="220"/>
  </cols>
  <sheetData>
    <row r="1" spans="1:21" ht="31.2">
      <c r="A1" s="378" t="s">
        <v>0</v>
      </c>
      <c r="B1" s="379" t="s">
        <v>1255</v>
      </c>
      <c r="C1" s="380" t="s">
        <v>344</v>
      </c>
      <c r="D1" s="380" t="s">
        <v>1256</v>
      </c>
      <c r="E1" s="380" t="s">
        <v>1257</v>
      </c>
      <c r="F1" s="380" t="s">
        <v>347</v>
      </c>
      <c r="G1" s="380" t="s">
        <v>348</v>
      </c>
      <c r="H1" s="380" t="s">
        <v>3</v>
      </c>
      <c r="I1" s="668" t="s">
        <v>1258</v>
      </c>
      <c r="J1" s="668" t="s">
        <v>1259</v>
      </c>
      <c r="K1" s="668" t="s">
        <v>1260</v>
      </c>
      <c r="L1" s="668" t="s">
        <v>1261</v>
      </c>
      <c r="M1" s="668" t="s">
        <v>1262</v>
      </c>
      <c r="N1" s="374" t="s">
        <v>1263</v>
      </c>
      <c r="O1" s="374" t="s">
        <v>1264</v>
      </c>
      <c r="P1" s="375" t="s">
        <v>29</v>
      </c>
      <c r="Q1" s="376" t="s">
        <v>30</v>
      </c>
      <c r="R1" s="420" t="s">
        <v>351</v>
      </c>
      <c r="S1" s="420" t="s">
        <v>33</v>
      </c>
      <c r="T1" s="420" t="s">
        <v>1265</v>
      </c>
      <c r="U1" s="420" t="s">
        <v>1266</v>
      </c>
    </row>
    <row r="2" spans="1:21">
      <c r="A2">
        <v>1</v>
      </c>
      <c r="B2" s="645" t="s">
        <v>1267</v>
      </c>
      <c r="C2" s="666" t="s">
        <v>484</v>
      </c>
      <c r="D2" s="647">
        <v>45985</v>
      </c>
      <c r="E2" s="647">
        <v>45985</v>
      </c>
      <c r="F2" s="646">
        <v>1</v>
      </c>
      <c r="G2" s="646">
        <v>1</v>
      </c>
      <c r="H2" s="646" t="s">
        <v>358</v>
      </c>
      <c r="I2" s="647">
        <v>46100</v>
      </c>
      <c r="J2" s="647">
        <v>46102</v>
      </c>
      <c r="K2" s="669">
        <v>1</v>
      </c>
      <c r="L2" s="669">
        <v>1</v>
      </c>
      <c r="M2" s="646" t="s">
        <v>358</v>
      </c>
      <c r="N2" s="419">
        <f>All_Detail_v29[[#This Row],[Qty. Success]]</f>
        <v>1</v>
      </c>
      <c r="O2" s="419">
        <v>0</v>
      </c>
      <c r="P2" s="236">
        <f>IF(All_Detail_v29[[#This Row],[Qty]]=0,1,(N2+O2)/(All_Detail_v29[[#This Row],[Qty]]*2))</f>
        <v>0.5</v>
      </c>
      <c r="Q2" s="201"/>
      <c r="R2" s="421">
        <f>All_Detail_v29[[#This Row],[Cabling Date (S)]]</f>
        <v>45985</v>
      </c>
      <c r="S2" s="421">
        <f>All_Detail_v29[[#This Row],[Cabling Date (A)]]</f>
        <v>45985</v>
      </c>
      <c r="T2" s="421">
        <f>All_Detail_v29[[#This Row],[Coring Date (S)]]</f>
        <v>46100</v>
      </c>
      <c r="U2" s="421">
        <f>All_Detail_v29[[#This Row],[Coring Date (A)]]</f>
        <v>46102</v>
      </c>
    </row>
    <row r="3" spans="1:21">
      <c r="A3">
        <v>2</v>
      </c>
      <c r="B3" s="645" t="s">
        <v>1268</v>
      </c>
      <c r="C3" s="666" t="s">
        <v>484</v>
      </c>
      <c r="D3" s="647">
        <v>45986</v>
      </c>
      <c r="E3" s="647">
        <v>45986</v>
      </c>
      <c r="F3" s="646">
        <v>1</v>
      </c>
      <c r="G3" s="646">
        <v>1</v>
      </c>
      <c r="H3" s="646" t="s">
        <v>358</v>
      </c>
      <c r="I3" s="647">
        <v>46087</v>
      </c>
      <c r="J3" s="647">
        <v>46087</v>
      </c>
      <c r="K3" s="669">
        <v>1</v>
      </c>
      <c r="L3" s="669">
        <v>1</v>
      </c>
      <c r="M3" s="646" t="s">
        <v>358</v>
      </c>
      <c r="N3" s="419">
        <f>All_Detail_v29[[#This Row],[Qty. Success]]</f>
        <v>1</v>
      </c>
      <c r="O3" s="419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1">
        <f>All_Detail_v29[[#This Row],[Cabling Date (S)]]</f>
        <v>45986</v>
      </c>
      <c r="S3" s="421">
        <f>All_Detail_v29[[#This Row],[Cabling Date (A)]]</f>
        <v>45986</v>
      </c>
      <c r="T3" s="421">
        <f>All_Detail_v29[[#This Row],[Coring Date (S)]]</f>
        <v>46087</v>
      </c>
      <c r="U3" s="421">
        <f>All_Detail_v29[[#This Row],[Coring Date (A)]]</f>
        <v>46087</v>
      </c>
    </row>
    <row r="4" spans="1:21">
      <c r="A4">
        <v>3</v>
      </c>
      <c r="B4" s="645" t="s">
        <v>1269</v>
      </c>
      <c r="C4" s="666" t="s">
        <v>484</v>
      </c>
      <c r="D4" s="647">
        <v>45987</v>
      </c>
      <c r="E4" s="647">
        <v>45987</v>
      </c>
      <c r="F4" s="646">
        <v>1</v>
      </c>
      <c r="G4" s="646">
        <v>1</v>
      </c>
      <c r="H4" s="646" t="s">
        <v>358</v>
      </c>
      <c r="I4" s="647">
        <v>46101</v>
      </c>
      <c r="J4" s="667"/>
      <c r="K4" s="669">
        <v>1</v>
      </c>
      <c r="L4" s="669"/>
      <c r="M4" s="669" t="s">
        <v>1270</v>
      </c>
      <c r="N4" s="419">
        <f>All_Detail_v29[[#This Row],[Qty. Success]]</f>
        <v>1</v>
      </c>
      <c r="O4" s="419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1">
        <f>All_Detail_v29[[#This Row],[Cabling Date (S)]]</f>
        <v>45987</v>
      </c>
      <c r="S4" s="421">
        <f>All_Detail_v29[[#This Row],[Cabling Date (A)]]</f>
        <v>45987</v>
      </c>
      <c r="T4" s="421">
        <f>All_Detail_v29[[#This Row],[Coring Date (S)]]</f>
        <v>46101</v>
      </c>
      <c r="U4" s="421">
        <f>All_Detail_v29[[#This Row],[Coring Date (A)]]</f>
        <v>0</v>
      </c>
    </row>
    <row r="5" spans="1:21">
      <c r="A5">
        <v>4</v>
      </c>
      <c r="B5" s="645" t="s">
        <v>1271</v>
      </c>
      <c r="C5" s="666" t="s">
        <v>484</v>
      </c>
      <c r="D5" s="647">
        <v>45988</v>
      </c>
      <c r="E5" s="647">
        <v>45988</v>
      </c>
      <c r="F5" s="646">
        <v>1</v>
      </c>
      <c r="G5" s="646">
        <v>1</v>
      </c>
      <c r="H5" s="646" t="s">
        <v>358</v>
      </c>
      <c r="I5" s="647">
        <v>46107</v>
      </c>
      <c r="J5" s="667"/>
      <c r="K5" s="669">
        <v>1</v>
      </c>
      <c r="L5" s="669"/>
      <c r="M5" s="669" t="s">
        <v>1270</v>
      </c>
      <c r="N5" s="419">
        <f>All_Detail_v29[[#This Row],[Qty. Success]]</f>
        <v>1</v>
      </c>
      <c r="O5" s="419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1">
        <f>All_Detail_v29[[#This Row],[Cabling Date (S)]]</f>
        <v>45988</v>
      </c>
      <c r="S5" s="421">
        <f>All_Detail_v29[[#This Row],[Cabling Date (A)]]</f>
        <v>45988</v>
      </c>
      <c r="T5" s="421">
        <f>All_Detail_v29[[#This Row],[Coring Date (S)]]</f>
        <v>46107</v>
      </c>
      <c r="U5" s="421">
        <f>All_Detail_v29[[#This Row],[Coring Date (A)]]</f>
        <v>0</v>
      </c>
    </row>
    <row r="6" spans="1:21">
      <c r="A6">
        <v>5</v>
      </c>
      <c r="B6" s="645" t="s">
        <v>1272</v>
      </c>
      <c r="C6" s="666" t="s">
        <v>484</v>
      </c>
      <c r="D6" s="647">
        <v>45989</v>
      </c>
      <c r="E6" s="647">
        <v>45989</v>
      </c>
      <c r="F6" s="646">
        <v>1</v>
      </c>
      <c r="G6" s="646">
        <v>1</v>
      </c>
      <c r="H6" s="646" t="s">
        <v>358</v>
      </c>
      <c r="I6" s="647">
        <v>46108</v>
      </c>
      <c r="J6" s="667"/>
      <c r="K6" s="669">
        <v>1</v>
      </c>
      <c r="L6" s="669"/>
      <c r="M6" s="669" t="s">
        <v>1270</v>
      </c>
      <c r="N6" s="419">
        <f>All_Detail_v29[[#This Row],[Qty. Success]]</f>
        <v>1</v>
      </c>
      <c r="O6" s="419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1">
        <f>All_Detail_v29[[#This Row],[Cabling Date (S)]]</f>
        <v>45989</v>
      </c>
      <c r="S6" s="421">
        <f>All_Detail_v29[[#This Row],[Cabling Date (A)]]</f>
        <v>45989</v>
      </c>
      <c r="T6" s="421">
        <f>All_Detail_v29[[#This Row],[Coring Date (S)]]</f>
        <v>46108</v>
      </c>
      <c r="U6" s="421">
        <f>All_Detail_v29[[#This Row],[Coring Date (A)]]</f>
        <v>0</v>
      </c>
    </row>
    <row r="7" spans="1:21">
      <c r="A7">
        <v>6</v>
      </c>
      <c r="B7" s="645" t="s">
        <v>1273</v>
      </c>
      <c r="C7" s="666" t="s">
        <v>484</v>
      </c>
      <c r="D7" s="647">
        <v>45992</v>
      </c>
      <c r="E7" s="647">
        <v>45992</v>
      </c>
      <c r="F7" s="646">
        <v>1</v>
      </c>
      <c r="G7" s="646">
        <v>1</v>
      </c>
      <c r="H7" s="646" t="s">
        <v>358</v>
      </c>
      <c r="I7" s="647">
        <v>46114</v>
      </c>
      <c r="J7" s="667"/>
      <c r="K7" s="669">
        <v>1</v>
      </c>
      <c r="L7" s="669"/>
      <c r="M7" s="669" t="s">
        <v>1270</v>
      </c>
      <c r="N7" s="419">
        <f>All_Detail_v29[[#This Row],[Qty. Success]]</f>
        <v>1</v>
      </c>
      <c r="O7" s="419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1">
        <f>All_Detail_v29[[#This Row],[Cabling Date (S)]]</f>
        <v>45992</v>
      </c>
      <c r="S7" s="421">
        <f>All_Detail_v29[[#This Row],[Cabling Date (A)]]</f>
        <v>45992</v>
      </c>
      <c r="T7" s="421">
        <f>All_Detail_v29[[#This Row],[Coring Date (S)]]</f>
        <v>46114</v>
      </c>
      <c r="U7" s="421">
        <f>All_Detail_v29[[#This Row],[Coring Date (A)]]</f>
        <v>0</v>
      </c>
    </row>
    <row r="8" spans="1:21">
      <c r="A8">
        <v>7</v>
      </c>
      <c r="B8" s="645" t="s">
        <v>1274</v>
      </c>
      <c r="C8" s="666" t="s">
        <v>484</v>
      </c>
      <c r="D8" s="647">
        <v>45993</v>
      </c>
      <c r="E8" s="647">
        <v>45993</v>
      </c>
      <c r="F8" s="646">
        <v>1</v>
      </c>
      <c r="G8" s="646">
        <v>1</v>
      </c>
      <c r="H8" s="646" t="s">
        <v>358</v>
      </c>
      <c r="I8" s="647">
        <v>46088</v>
      </c>
      <c r="J8" s="647">
        <v>46088</v>
      </c>
      <c r="K8" s="669">
        <v>1</v>
      </c>
      <c r="L8" s="669">
        <v>1</v>
      </c>
      <c r="M8" s="646" t="s">
        <v>358</v>
      </c>
      <c r="N8" s="419">
        <f>All_Detail_v29[[#This Row],[Qty. Success]]</f>
        <v>1</v>
      </c>
      <c r="O8" s="419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1">
        <f>All_Detail_v29[[#This Row],[Cabling Date (S)]]</f>
        <v>45993</v>
      </c>
      <c r="S8" s="421">
        <f>All_Detail_v29[[#This Row],[Cabling Date (A)]]</f>
        <v>45993</v>
      </c>
      <c r="T8" s="421">
        <f>All_Detail_v29[[#This Row],[Coring Date (S)]]</f>
        <v>46088</v>
      </c>
      <c r="U8" s="421">
        <f>All_Detail_v29[[#This Row],[Coring Date (A)]]</f>
        <v>46088</v>
      </c>
    </row>
    <row r="9" spans="1:21">
      <c r="A9">
        <v>8</v>
      </c>
      <c r="B9" s="645" t="s">
        <v>1275</v>
      </c>
      <c r="C9" s="666" t="s">
        <v>484</v>
      </c>
      <c r="D9" s="647">
        <v>45994</v>
      </c>
      <c r="E9" s="647">
        <v>45994</v>
      </c>
      <c r="F9" s="646">
        <v>1</v>
      </c>
      <c r="G9" s="646">
        <v>1</v>
      </c>
      <c r="H9" s="646" t="s">
        <v>358</v>
      </c>
      <c r="I9" s="647">
        <v>46073</v>
      </c>
      <c r="J9" s="647">
        <v>46073</v>
      </c>
      <c r="K9" s="669">
        <v>1</v>
      </c>
      <c r="L9" s="669">
        <v>1</v>
      </c>
      <c r="M9" s="646" t="s">
        <v>358</v>
      </c>
      <c r="N9" s="419">
        <f>All_Detail_v29[[#This Row],[Qty. Success]]</f>
        <v>1</v>
      </c>
      <c r="O9" s="419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1">
        <f>All_Detail_v29[[#This Row],[Cabling Date (S)]]</f>
        <v>45994</v>
      </c>
      <c r="S9" s="421">
        <f>All_Detail_v29[[#This Row],[Cabling Date (A)]]</f>
        <v>45994</v>
      </c>
      <c r="T9" s="421">
        <f>All_Detail_v29[[#This Row],[Coring Date (S)]]</f>
        <v>46073</v>
      </c>
      <c r="U9" s="421">
        <f>All_Detail_v29[[#This Row],[Coring Date (A)]]</f>
        <v>46073</v>
      </c>
    </row>
    <row r="10" spans="1:21">
      <c r="A10">
        <v>9</v>
      </c>
      <c r="B10" s="645" t="s">
        <v>1276</v>
      </c>
      <c r="C10" s="666" t="s">
        <v>484</v>
      </c>
      <c r="D10" s="647">
        <v>45997</v>
      </c>
      <c r="E10" s="647">
        <v>45997</v>
      </c>
      <c r="F10" s="646">
        <v>1</v>
      </c>
      <c r="G10" s="646">
        <v>1</v>
      </c>
      <c r="H10" s="646" t="s">
        <v>358</v>
      </c>
      <c r="I10" s="647">
        <v>46115</v>
      </c>
      <c r="J10" s="667"/>
      <c r="K10" s="669">
        <v>1</v>
      </c>
      <c r="L10" s="669"/>
      <c r="M10" s="669" t="s">
        <v>1270</v>
      </c>
      <c r="N10" s="419">
        <f>All_Detail_v29[[#This Row],[Qty. Success]]</f>
        <v>1</v>
      </c>
      <c r="O10" s="419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1">
        <f>All_Detail_v29[[#This Row],[Cabling Date (S)]]</f>
        <v>45997</v>
      </c>
      <c r="S10" s="421">
        <f>All_Detail_v29[[#This Row],[Cabling Date (A)]]</f>
        <v>45997</v>
      </c>
      <c r="T10" s="421">
        <f>All_Detail_v29[[#This Row],[Coring Date (S)]]</f>
        <v>46115</v>
      </c>
      <c r="U10" s="421">
        <f>All_Detail_v29[[#This Row],[Coring Date (A)]]</f>
        <v>0</v>
      </c>
    </row>
    <row r="11" spans="1:21">
      <c r="A11">
        <v>10</v>
      </c>
      <c r="B11" s="645" t="s">
        <v>1277</v>
      </c>
      <c r="C11" s="666" t="s">
        <v>484</v>
      </c>
      <c r="D11" s="647">
        <v>45998</v>
      </c>
      <c r="E11" s="647">
        <v>45998</v>
      </c>
      <c r="F11" s="646">
        <v>1</v>
      </c>
      <c r="G11" s="646">
        <v>1</v>
      </c>
      <c r="H11" s="646" t="s">
        <v>358</v>
      </c>
      <c r="I11" s="647">
        <v>46121</v>
      </c>
      <c r="J11" s="667"/>
      <c r="K11" s="669">
        <v>1</v>
      </c>
      <c r="L11" s="669"/>
      <c r="M11" s="669" t="s">
        <v>1270</v>
      </c>
      <c r="N11" s="419">
        <f>All_Detail_v29[[#This Row],[Qty. Success]]</f>
        <v>1</v>
      </c>
      <c r="O11" s="419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1">
        <f>All_Detail_v29[[#This Row],[Cabling Date (S)]]</f>
        <v>45998</v>
      </c>
      <c r="S11" s="421">
        <f>All_Detail_v29[[#This Row],[Cabling Date (A)]]</f>
        <v>45998</v>
      </c>
      <c r="T11" s="421">
        <f>All_Detail_v29[[#This Row],[Coring Date (S)]]</f>
        <v>46121</v>
      </c>
      <c r="U11" s="421">
        <f>All_Detail_v29[[#This Row],[Coring Date (A)]]</f>
        <v>0</v>
      </c>
    </row>
    <row r="12" spans="1:21">
      <c r="A12">
        <v>11</v>
      </c>
      <c r="B12" s="645" t="s">
        <v>1278</v>
      </c>
      <c r="C12" s="666" t="s">
        <v>398</v>
      </c>
      <c r="D12" s="647">
        <v>46036</v>
      </c>
      <c r="E12" s="647">
        <v>46036</v>
      </c>
      <c r="F12" s="646">
        <v>1</v>
      </c>
      <c r="G12" s="646">
        <v>1</v>
      </c>
      <c r="H12" s="646" t="s">
        <v>358</v>
      </c>
      <c r="I12" s="647">
        <v>46177</v>
      </c>
      <c r="J12" s="667"/>
      <c r="K12" s="669">
        <v>1</v>
      </c>
      <c r="L12" s="669"/>
      <c r="M12" s="669" t="s">
        <v>1270</v>
      </c>
      <c r="N12" s="419">
        <f>All_Detail_v29[[#This Row],[Qty. Success]]</f>
        <v>1</v>
      </c>
      <c r="O12" s="419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1">
        <f>All_Detail_v29[[#This Row],[Cabling Date (S)]]</f>
        <v>46036</v>
      </c>
      <c r="S12" s="421">
        <f>All_Detail_v29[[#This Row],[Cabling Date (A)]]</f>
        <v>46036</v>
      </c>
      <c r="T12" s="421">
        <f>All_Detail_v29[[#This Row],[Coring Date (S)]]</f>
        <v>46177</v>
      </c>
      <c r="U12" s="421">
        <f>All_Detail_v29[[#This Row],[Coring Date (A)]]</f>
        <v>0</v>
      </c>
    </row>
    <row r="13" spans="1:21">
      <c r="A13">
        <v>12</v>
      </c>
      <c r="B13" s="645" t="s">
        <v>1279</v>
      </c>
      <c r="C13" s="666" t="s">
        <v>398</v>
      </c>
      <c r="D13" s="647">
        <v>46037</v>
      </c>
      <c r="E13" s="647">
        <v>46037</v>
      </c>
      <c r="F13" s="646">
        <v>1</v>
      </c>
      <c r="G13" s="646">
        <v>1</v>
      </c>
      <c r="H13" s="646" t="s">
        <v>358</v>
      </c>
      <c r="I13" s="647">
        <v>46178</v>
      </c>
      <c r="J13" s="667"/>
      <c r="K13" s="669">
        <v>1</v>
      </c>
      <c r="L13" s="669"/>
      <c r="M13" s="669" t="s">
        <v>1270</v>
      </c>
      <c r="N13" s="419">
        <f>All_Detail_v29[[#This Row],[Qty. Success]]</f>
        <v>1</v>
      </c>
      <c r="O13" s="419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1">
        <f>All_Detail_v29[[#This Row],[Cabling Date (S)]]</f>
        <v>46037</v>
      </c>
      <c r="S13" s="421">
        <f>All_Detail_v29[[#This Row],[Cabling Date (A)]]</f>
        <v>46037</v>
      </c>
      <c r="T13" s="421">
        <f>All_Detail_v29[[#This Row],[Coring Date (S)]]</f>
        <v>46178</v>
      </c>
      <c r="U13" s="421">
        <f>All_Detail_v29[[#This Row],[Coring Date (A)]]</f>
        <v>0</v>
      </c>
    </row>
    <row r="14" spans="1:21">
      <c r="A14">
        <v>13</v>
      </c>
      <c r="B14" s="645" t="s">
        <v>1280</v>
      </c>
      <c r="C14" s="666" t="s">
        <v>398</v>
      </c>
      <c r="D14" s="647">
        <v>46038</v>
      </c>
      <c r="E14" s="647">
        <v>46038</v>
      </c>
      <c r="F14" s="646">
        <v>1</v>
      </c>
      <c r="G14" s="646">
        <v>1</v>
      </c>
      <c r="H14" s="646" t="s">
        <v>358</v>
      </c>
      <c r="I14" s="647">
        <v>46184</v>
      </c>
      <c r="J14" s="667"/>
      <c r="K14" s="669">
        <v>1</v>
      </c>
      <c r="L14" s="669"/>
      <c r="M14" s="669" t="s">
        <v>1270</v>
      </c>
      <c r="N14" s="419">
        <f>All_Detail_v29[[#This Row],[Qty. Success]]</f>
        <v>1</v>
      </c>
      <c r="O14" s="419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1">
        <f>All_Detail_v29[[#This Row],[Cabling Date (S)]]</f>
        <v>46038</v>
      </c>
      <c r="S14" s="421">
        <f>All_Detail_v29[[#This Row],[Cabling Date (A)]]</f>
        <v>46038</v>
      </c>
      <c r="T14" s="421">
        <f>All_Detail_v29[[#This Row],[Coring Date (S)]]</f>
        <v>46184</v>
      </c>
      <c r="U14" s="421">
        <f>All_Detail_v29[[#This Row],[Coring Date (A)]]</f>
        <v>0</v>
      </c>
    </row>
    <row r="15" spans="1:21">
      <c r="A15">
        <v>14</v>
      </c>
      <c r="B15" s="645" t="s">
        <v>1281</v>
      </c>
      <c r="C15" s="666" t="s">
        <v>398</v>
      </c>
      <c r="D15" s="647">
        <v>46039</v>
      </c>
      <c r="E15" s="647">
        <v>46039</v>
      </c>
      <c r="F15" s="646">
        <v>1</v>
      </c>
      <c r="G15" s="646">
        <v>1</v>
      </c>
      <c r="H15" s="646" t="s">
        <v>358</v>
      </c>
      <c r="I15" s="647">
        <v>46185</v>
      </c>
      <c r="J15" s="667"/>
      <c r="K15" s="669">
        <v>1</v>
      </c>
      <c r="L15" s="669"/>
      <c r="M15" s="669" t="s">
        <v>1270</v>
      </c>
      <c r="N15" s="419">
        <f>All_Detail_v29[[#This Row],[Qty. Success]]</f>
        <v>1</v>
      </c>
      <c r="O15" s="419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1">
        <f>All_Detail_v29[[#This Row],[Cabling Date (S)]]</f>
        <v>46039</v>
      </c>
      <c r="S15" s="421">
        <f>All_Detail_v29[[#This Row],[Cabling Date (A)]]</f>
        <v>46039</v>
      </c>
      <c r="T15" s="421">
        <f>All_Detail_v29[[#This Row],[Coring Date (S)]]</f>
        <v>46185</v>
      </c>
      <c r="U15" s="421">
        <f>All_Detail_v29[[#This Row],[Coring Date (A)]]</f>
        <v>0</v>
      </c>
    </row>
    <row r="16" spans="1:21">
      <c r="A16">
        <v>15</v>
      </c>
      <c r="B16" s="645" t="s">
        <v>1282</v>
      </c>
      <c r="C16" s="666" t="s">
        <v>398</v>
      </c>
      <c r="D16" s="647">
        <v>46040</v>
      </c>
      <c r="E16" s="647">
        <v>46040</v>
      </c>
      <c r="F16" s="646">
        <v>1</v>
      </c>
      <c r="G16" s="646">
        <v>1</v>
      </c>
      <c r="H16" s="646" t="s">
        <v>358</v>
      </c>
      <c r="I16" s="647">
        <v>46191</v>
      </c>
      <c r="J16" s="667"/>
      <c r="K16" s="669">
        <v>1</v>
      </c>
      <c r="L16" s="669"/>
      <c r="M16" s="669" t="s">
        <v>1270</v>
      </c>
      <c r="N16" s="419">
        <f>All_Detail_v29[[#This Row],[Qty. Success]]</f>
        <v>1</v>
      </c>
      <c r="O16" s="419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1">
        <f>All_Detail_v29[[#This Row],[Cabling Date (S)]]</f>
        <v>46040</v>
      </c>
      <c r="S16" s="421">
        <f>All_Detail_v29[[#This Row],[Cabling Date (A)]]</f>
        <v>46040</v>
      </c>
      <c r="T16" s="421">
        <f>All_Detail_v29[[#This Row],[Coring Date (S)]]</f>
        <v>46191</v>
      </c>
      <c r="U16" s="421">
        <f>All_Detail_v29[[#This Row],[Coring Date (A)]]</f>
        <v>0</v>
      </c>
    </row>
    <row r="17" spans="1:21">
      <c r="A17">
        <v>16</v>
      </c>
      <c r="B17" s="645" t="s">
        <v>1283</v>
      </c>
      <c r="C17" s="666" t="s">
        <v>398</v>
      </c>
      <c r="D17" s="647">
        <v>46041</v>
      </c>
      <c r="E17" s="647">
        <v>46041</v>
      </c>
      <c r="F17" s="646">
        <v>1</v>
      </c>
      <c r="G17" s="646">
        <v>1</v>
      </c>
      <c r="H17" s="646" t="s">
        <v>358</v>
      </c>
      <c r="I17" s="647">
        <v>46192</v>
      </c>
      <c r="J17" s="667"/>
      <c r="K17" s="669">
        <v>1</v>
      </c>
      <c r="L17" s="669"/>
      <c r="M17" s="669" t="s">
        <v>1270</v>
      </c>
      <c r="N17" s="419">
        <f>All_Detail_v29[[#This Row],[Qty. Success]]</f>
        <v>1</v>
      </c>
      <c r="O17" s="419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1">
        <f>All_Detail_v29[[#This Row],[Cabling Date (S)]]</f>
        <v>46041</v>
      </c>
      <c r="S17" s="421">
        <f>All_Detail_v29[[#This Row],[Cabling Date (A)]]</f>
        <v>46041</v>
      </c>
      <c r="T17" s="421">
        <f>All_Detail_v29[[#This Row],[Coring Date (S)]]</f>
        <v>46192</v>
      </c>
      <c r="U17" s="421">
        <f>All_Detail_v29[[#This Row],[Coring Date (A)]]</f>
        <v>0</v>
      </c>
    </row>
    <row r="18" spans="1:21">
      <c r="A18">
        <v>17</v>
      </c>
      <c r="B18" s="645" t="s">
        <v>1284</v>
      </c>
      <c r="C18" s="666" t="s">
        <v>398</v>
      </c>
      <c r="D18" s="647">
        <v>46042</v>
      </c>
      <c r="E18" s="647">
        <v>46042</v>
      </c>
      <c r="F18" s="646">
        <v>1</v>
      </c>
      <c r="G18" s="646">
        <v>1</v>
      </c>
      <c r="H18" s="646" t="s">
        <v>358</v>
      </c>
      <c r="I18" s="647">
        <v>46198</v>
      </c>
      <c r="J18" s="667"/>
      <c r="K18" s="669">
        <v>1</v>
      </c>
      <c r="L18" s="669"/>
      <c r="M18" s="669" t="s">
        <v>1270</v>
      </c>
      <c r="N18" s="419">
        <f>All_Detail_v29[[#This Row],[Qty. Success]]</f>
        <v>1</v>
      </c>
      <c r="O18" s="419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1">
        <f>All_Detail_v29[[#This Row],[Cabling Date (S)]]</f>
        <v>46042</v>
      </c>
      <c r="S18" s="421">
        <f>All_Detail_v29[[#This Row],[Cabling Date (A)]]</f>
        <v>46042</v>
      </c>
      <c r="T18" s="421">
        <f>All_Detail_v29[[#This Row],[Coring Date (S)]]</f>
        <v>46198</v>
      </c>
      <c r="U18" s="421">
        <f>All_Detail_v29[[#This Row],[Coring Date (A)]]</f>
        <v>0</v>
      </c>
    </row>
    <row r="19" spans="1:21">
      <c r="A19">
        <v>18</v>
      </c>
      <c r="B19" s="645" t="s">
        <v>1285</v>
      </c>
      <c r="C19" s="666" t="s">
        <v>398</v>
      </c>
      <c r="D19" s="647">
        <v>46043</v>
      </c>
      <c r="E19" s="647">
        <v>46043</v>
      </c>
      <c r="F19" s="646">
        <v>1</v>
      </c>
      <c r="G19" s="646">
        <v>1</v>
      </c>
      <c r="H19" s="646" t="s">
        <v>358</v>
      </c>
      <c r="I19" s="647">
        <v>46199</v>
      </c>
      <c r="J19" s="667"/>
      <c r="K19" s="669">
        <v>1</v>
      </c>
      <c r="L19" s="669"/>
      <c r="M19" s="669" t="s">
        <v>1270</v>
      </c>
      <c r="N19" s="419">
        <f>All_Detail_v29[[#This Row],[Qty. Success]]</f>
        <v>1</v>
      </c>
      <c r="O19" s="419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1">
        <f>All_Detail_v29[[#This Row],[Cabling Date (S)]]</f>
        <v>46043</v>
      </c>
      <c r="S19" s="421">
        <f>All_Detail_v29[[#This Row],[Cabling Date (A)]]</f>
        <v>46043</v>
      </c>
      <c r="T19" s="421">
        <f>All_Detail_v29[[#This Row],[Coring Date (S)]]</f>
        <v>46199</v>
      </c>
      <c r="U19" s="421">
        <f>All_Detail_v29[[#This Row],[Coring Date (A)]]</f>
        <v>0</v>
      </c>
    </row>
    <row r="20" spans="1:21">
      <c r="A20">
        <v>19</v>
      </c>
      <c r="B20" s="645" t="s">
        <v>1286</v>
      </c>
      <c r="C20" s="666" t="s">
        <v>725</v>
      </c>
      <c r="D20" s="647">
        <v>45969</v>
      </c>
      <c r="E20" s="647">
        <v>45969</v>
      </c>
      <c r="F20" s="646">
        <v>1</v>
      </c>
      <c r="G20" s="646">
        <v>1</v>
      </c>
      <c r="H20" s="646" t="s">
        <v>358</v>
      </c>
      <c r="I20" s="647">
        <v>46045</v>
      </c>
      <c r="J20" s="647">
        <v>46045</v>
      </c>
      <c r="K20" s="669">
        <v>1</v>
      </c>
      <c r="L20" s="669">
        <v>1</v>
      </c>
      <c r="M20" s="646" t="s">
        <v>358</v>
      </c>
      <c r="N20" s="419">
        <f>All_Detail_v29[[#This Row],[Qty. Success]]</f>
        <v>1</v>
      </c>
      <c r="O20" s="419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1">
        <f>All_Detail_v29[[#This Row],[Cabling Date (S)]]</f>
        <v>45969</v>
      </c>
      <c r="S20" s="421">
        <f>All_Detail_v29[[#This Row],[Cabling Date (A)]]</f>
        <v>45969</v>
      </c>
      <c r="T20" s="421">
        <f>All_Detail_v29[[#This Row],[Coring Date (S)]]</f>
        <v>46045</v>
      </c>
      <c r="U20" s="421">
        <f>All_Detail_v29[[#This Row],[Coring Date (A)]]</f>
        <v>46045</v>
      </c>
    </row>
    <row r="21" spans="1:21">
      <c r="A21">
        <v>20</v>
      </c>
      <c r="B21" s="645" t="s">
        <v>1287</v>
      </c>
      <c r="C21" s="666" t="s">
        <v>725</v>
      </c>
      <c r="D21" s="647">
        <v>45970</v>
      </c>
      <c r="E21" s="647">
        <v>45970</v>
      </c>
      <c r="F21" s="646">
        <v>1</v>
      </c>
      <c r="G21" s="646">
        <v>1</v>
      </c>
      <c r="H21" s="646" t="s">
        <v>358</v>
      </c>
      <c r="I21" s="647">
        <v>46122</v>
      </c>
      <c r="J21" s="667"/>
      <c r="K21" s="669">
        <v>1</v>
      </c>
      <c r="L21" s="669"/>
      <c r="M21" s="669" t="s">
        <v>1270</v>
      </c>
      <c r="N21" s="419">
        <f>All_Detail_v29[[#This Row],[Qty. Success]]</f>
        <v>1</v>
      </c>
      <c r="O21" s="419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1">
        <f>All_Detail_v29[[#This Row],[Cabling Date (S)]]</f>
        <v>45970</v>
      </c>
      <c r="S21" s="421">
        <f>All_Detail_v29[[#This Row],[Cabling Date (A)]]</f>
        <v>45970</v>
      </c>
      <c r="T21" s="421">
        <f>All_Detail_v29[[#This Row],[Coring Date (S)]]</f>
        <v>46122</v>
      </c>
      <c r="U21" s="421">
        <f>All_Detail_v29[[#This Row],[Coring Date (A)]]</f>
        <v>0</v>
      </c>
    </row>
    <row r="22" spans="1:21">
      <c r="A22">
        <v>21</v>
      </c>
      <c r="B22" s="645" t="s">
        <v>1288</v>
      </c>
      <c r="C22" s="666" t="s">
        <v>725</v>
      </c>
      <c r="D22" s="647">
        <v>45976</v>
      </c>
      <c r="E22" s="647">
        <v>45976</v>
      </c>
      <c r="F22" s="646">
        <v>1</v>
      </c>
      <c r="G22" s="646">
        <v>1</v>
      </c>
      <c r="H22" s="646" t="s">
        <v>358</v>
      </c>
      <c r="I22" s="647">
        <v>46135</v>
      </c>
      <c r="J22" s="667"/>
      <c r="K22" s="669">
        <v>1</v>
      </c>
      <c r="L22" s="669"/>
      <c r="M22" s="669" t="s">
        <v>1270</v>
      </c>
      <c r="N22" s="419">
        <f>All_Detail_v29[[#This Row],[Qty. Success]]</f>
        <v>1</v>
      </c>
      <c r="O22" s="419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1">
        <f>All_Detail_v29[[#This Row],[Cabling Date (S)]]</f>
        <v>45976</v>
      </c>
      <c r="S22" s="421">
        <f>All_Detail_v29[[#This Row],[Cabling Date (A)]]</f>
        <v>45976</v>
      </c>
      <c r="T22" s="421">
        <f>All_Detail_v29[[#This Row],[Coring Date (S)]]</f>
        <v>46135</v>
      </c>
      <c r="U22" s="421">
        <f>All_Detail_v29[[#This Row],[Coring Date (A)]]</f>
        <v>0</v>
      </c>
    </row>
    <row r="23" spans="1:21">
      <c r="A23">
        <v>22</v>
      </c>
      <c r="B23" s="645" t="s">
        <v>1289</v>
      </c>
      <c r="C23" s="666" t="s">
        <v>725</v>
      </c>
      <c r="D23" s="647">
        <v>45977</v>
      </c>
      <c r="E23" s="647">
        <v>45977</v>
      </c>
      <c r="F23" s="646">
        <v>1</v>
      </c>
      <c r="G23" s="646">
        <v>1</v>
      </c>
      <c r="H23" s="646" t="s">
        <v>358</v>
      </c>
      <c r="I23" s="647">
        <v>46136</v>
      </c>
      <c r="J23" s="667"/>
      <c r="K23" s="669">
        <v>1</v>
      </c>
      <c r="L23" s="669"/>
      <c r="M23" s="669" t="s">
        <v>1270</v>
      </c>
      <c r="N23" s="419">
        <f>All_Detail_v29[[#This Row],[Qty. Success]]</f>
        <v>1</v>
      </c>
      <c r="O23" s="419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1">
        <f>All_Detail_v29[[#This Row],[Cabling Date (S)]]</f>
        <v>45977</v>
      </c>
      <c r="S23" s="421">
        <f>All_Detail_v29[[#This Row],[Cabling Date (A)]]</f>
        <v>45977</v>
      </c>
      <c r="T23" s="421">
        <f>All_Detail_v29[[#This Row],[Coring Date (S)]]</f>
        <v>46136</v>
      </c>
      <c r="U23" s="421">
        <f>All_Detail_v29[[#This Row],[Coring Date (A)]]</f>
        <v>0</v>
      </c>
    </row>
    <row r="24" spans="1:21">
      <c r="A24">
        <v>23</v>
      </c>
      <c r="B24" s="645" t="s">
        <v>1290</v>
      </c>
      <c r="C24" s="666" t="s">
        <v>725</v>
      </c>
      <c r="D24" s="647">
        <v>45983</v>
      </c>
      <c r="E24" s="647">
        <v>45983</v>
      </c>
      <c r="F24" s="646">
        <v>1</v>
      </c>
      <c r="G24" s="646">
        <v>1</v>
      </c>
      <c r="H24" s="646" t="s">
        <v>358</v>
      </c>
      <c r="I24" s="647">
        <v>46067</v>
      </c>
      <c r="J24" s="647">
        <v>46067</v>
      </c>
      <c r="K24" s="669">
        <v>1</v>
      </c>
      <c r="L24" s="669">
        <v>1</v>
      </c>
      <c r="M24" s="646" t="s">
        <v>358</v>
      </c>
      <c r="N24" s="419">
        <f>All_Detail_v29[[#This Row],[Qty. Success]]</f>
        <v>1</v>
      </c>
      <c r="O24" s="419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1">
        <f>All_Detail_v29[[#This Row],[Cabling Date (S)]]</f>
        <v>45983</v>
      </c>
      <c r="S24" s="421">
        <f>All_Detail_v29[[#This Row],[Cabling Date (A)]]</f>
        <v>45983</v>
      </c>
      <c r="T24" s="421">
        <f>All_Detail_v29[[#This Row],[Coring Date (S)]]</f>
        <v>46067</v>
      </c>
      <c r="U24" s="421">
        <f>All_Detail_v29[[#This Row],[Coring Date (A)]]</f>
        <v>46067</v>
      </c>
    </row>
    <row r="25" spans="1:21">
      <c r="A25">
        <v>24</v>
      </c>
      <c r="B25" s="645" t="s">
        <v>1291</v>
      </c>
      <c r="C25" s="666" t="s">
        <v>725</v>
      </c>
      <c r="D25" s="647">
        <v>45984</v>
      </c>
      <c r="E25" s="647">
        <v>45984</v>
      </c>
      <c r="F25" s="646">
        <v>1</v>
      </c>
      <c r="G25" s="646">
        <v>1</v>
      </c>
      <c r="H25" s="646" t="s">
        <v>358</v>
      </c>
      <c r="I25" s="647">
        <v>46074</v>
      </c>
      <c r="J25" s="647">
        <v>46074</v>
      </c>
      <c r="K25" s="669">
        <v>1</v>
      </c>
      <c r="L25" s="669">
        <v>1</v>
      </c>
      <c r="M25" s="646" t="s">
        <v>358</v>
      </c>
      <c r="N25" s="419">
        <f>All_Detail_v29[[#This Row],[Qty. Success]]</f>
        <v>1</v>
      </c>
      <c r="O25" s="419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1">
        <f>All_Detail_v29[[#This Row],[Cabling Date (S)]]</f>
        <v>45984</v>
      </c>
      <c r="S25" s="421">
        <f>All_Detail_v29[[#This Row],[Cabling Date (A)]]</f>
        <v>45984</v>
      </c>
      <c r="T25" s="421">
        <f>All_Detail_v29[[#This Row],[Coring Date (S)]]</f>
        <v>46074</v>
      </c>
      <c r="U25" s="421">
        <f>All_Detail_v29[[#This Row],[Coring Date (A)]]</f>
        <v>46074</v>
      </c>
    </row>
    <row r="26" spans="1:21">
      <c r="A26">
        <v>25</v>
      </c>
      <c r="B26" s="645" t="s">
        <v>1292</v>
      </c>
      <c r="C26" s="666" t="s">
        <v>725</v>
      </c>
      <c r="D26" s="647">
        <v>46002</v>
      </c>
      <c r="E26" s="647">
        <v>46002</v>
      </c>
      <c r="F26" s="646">
        <v>1</v>
      </c>
      <c r="G26" s="646">
        <v>1</v>
      </c>
      <c r="H26" s="646" t="s">
        <v>358</v>
      </c>
      <c r="I26" s="647">
        <v>46142</v>
      </c>
      <c r="J26" s="667"/>
      <c r="K26" s="669">
        <v>1</v>
      </c>
      <c r="L26" s="669"/>
      <c r="M26" s="669" t="s">
        <v>1270</v>
      </c>
      <c r="N26" s="419">
        <f>All_Detail_v29[[#This Row],[Qty. Success]]</f>
        <v>1</v>
      </c>
      <c r="O26" s="419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1">
        <f>All_Detail_v29[[#This Row],[Cabling Date (S)]]</f>
        <v>46002</v>
      </c>
      <c r="S26" s="421">
        <f>All_Detail_v29[[#This Row],[Cabling Date (A)]]</f>
        <v>46002</v>
      </c>
      <c r="T26" s="421">
        <f>All_Detail_v29[[#This Row],[Coring Date (S)]]</f>
        <v>46142</v>
      </c>
      <c r="U26" s="421">
        <f>All_Detail_v29[[#This Row],[Coring Date (A)]]</f>
        <v>0</v>
      </c>
    </row>
    <row r="27" spans="1:21">
      <c r="A27">
        <v>26</v>
      </c>
      <c r="B27" s="645" t="s">
        <v>1293</v>
      </c>
      <c r="C27" s="666" t="s">
        <v>725</v>
      </c>
      <c r="D27" s="647">
        <v>46003</v>
      </c>
      <c r="E27" s="647">
        <v>46003</v>
      </c>
      <c r="F27" s="646">
        <v>1</v>
      </c>
      <c r="G27" s="646">
        <v>1</v>
      </c>
      <c r="H27" s="646" t="s">
        <v>358</v>
      </c>
      <c r="I27" s="647">
        <v>46143</v>
      </c>
      <c r="J27" s="667"/>
      <c r="K27" s="669">
        <v>1</v>
      </c>
      <c r="L27" s="669"/>
      <c r="M27" s="669" t="s">
        <v>1270</v>
      </c>
      <c r="N27" s="419">
        <f>All_Detail_v29[[#This Row],[Qty. Success]]</f>
        <v>1</v>
      </c>
      <c r="O27" s="419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1">
        <f>All_Detail_v29[[#This Row],[Cabling Date (S)]]</f>
        <v>46003</v>
      </c>
      <c r="S27" s="421">
        <f>All_Detail_v29[[#This Row],[Cabling Date (A)]]</f>
        <v>46003</v>
      </c>
      <c r="T27" s="421">
        <f>All_Detail_v29[[#This Row],[Coring Date (S)]]</f>
        <v>46143</v>
      </c>
      <c r="U27" s="421">
        <f>All_Detail_v29[[#This Row],[Coring Date (A)]]</f>
        <v>0</v>
      </c>
    </row>
    <row r="28" spans="1:21">
      <c r="A28">
        <v>27</v>
      </c>
      <c r="B28" s="645" t="s">
        <v>1294</v>
      </c>
      <c r="C28" s="666" t="s">
        <v>725</v>
      </c>
      <c r="D28" s="647">
        <v>46004</v>
      </c>
      <c r="E28" s="647">
        <v>46004</v>
      </c>
      <c r="F28" s="646">
        <v>1</v>
      </c>
      <c r="G28" s="646">
        <v>1</v>
      </c>
      <c r="H28" s="646" t="s">
        <v>358</v>
      </c>
      <c r="I28" s="647">
        <v>46149</v>
      </c>
      <c r="J28" s="667"/>
      <c r="K28" s="669">
        <v>1</v>
      </c>
      <c r="L28" s="669"/>
      <c r="M28" s="669" t="s">
        <v>1270</v>
      </c>
      <c r="N28" s="419">
        <f>All_Detail_v29[[#This Row],[Qty. Success]]</f>
        <v>1</v>
      </c>
      <c r="O28" s="419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1">
        <f>All_Detail_v29[[#This Row],[Cabling Date (S)]]</f>
        <v>46004</v>
      </c>
      <c r="S28" s="421">
        <f>All_Detail_v29[[#This Row],[Cabling Date (A)]]</f>
        <v>46004</v>
      </c>
      <c r="T28" s="421">
        <f>All_Detail_v29[[#This Row],[Coring Date (S)]]</f>
        <v>46149</v>
      </c>
      <c r="U28" s="421">
        <f>All_Detail_v29[[#This Row],[Coring Date (A)]]</f>
        <v>0</v>
      </c>
    </row>
    <row r="29" spans="1:21">
      <c r="A29">
        <v>28</v>
      </c>
      <c r="B29" s="645" t="s">
        <v>1295</v>
      </c>
      <c r="C29" s="666" t="s">
        <v>725</v>
      </c>
      <c r="D29" s="647">
        <v>46005</v>
      </c>
      <c r="E29" s="647">
        <v>46005</v>
      </c>
      <c r="F29" s="646">
        <v>1</v>
      </c>
      <c r="G29" s="646">
        <v>1</v>
      </c>
      <c r="H29" s="646" t="s">
        <v>358</v>
      </c>
      <c r="I29" s="647">
        <v>46150</v>
      </c>
      <c r="J29" s="667"/>
      <c r="K29" s="669">
        <v>1</v>
      </c>
      <c r="L29" s="669"/>
      <c r="M29" s="669" t="s">
        <v>1270</v>
      </c>
      <c r="N29" s="419">
        <f>All_Detail_v29[[#This Row],[Qty. Success]]</f>
        <v>1</v>
      </c>
      <c r="O29" s="419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1">
        <f>All_Detail_v29[[#This Row],[Cabling Date (S)]]</f>
        <v>46005</v>
      </c>
      <c r="S29" s="421">
        <f>All_Detail_v29[[#This Row],[Cabling Date (A)]]</f>
        <v>46005</v>
      </c>
      <c r="T29" s="421">
        <f>All_Detail_v29[[#This Row],[Coring Date (S)]]</f>
        <v>46150</v>
      </c>
      <c r="U29" s="421">
        <f>All_Detail_v29[[#This Row],[Coring Date (A)]]</f>
        <v>0</v>
      </c>
    </row>
    <row r="30" spans="1:21">
      <c r="A30">
        <v>29</v>
      </c>
      <c r="B30" s="645" t="s">
        <v>1296</v>
      </c>
      <c r="C30" s="666" t="s">
        <v>739</v>
      </c>
      <c r="D30" s="647">
        <v>46006</v>
      </c>
      <c r="E30" s="647">
        <v>46006</v>
      </c>
      <c r="F30" s="646">
        <v>1</v>
      </c>
      <c r="G30" s="646">
        <v>1</v>
      </c>
      <c r="H30" s="646" t="s">
        <v>358</v>
      </c>
      <c r="I30" s="647">
        <v>46156</v>
      </c>
      <c r="J30" s="667"/>
      <c r="K30" s="669">
        <v>1</v>
      </c>
      <c r="L30" s="669"/>
      <c r="M30" s="669" t="s">
        <v>1270</v>
      </c>
      <c r="N30" s="419">
        <f>All_Detail_v29[[#This Row],[Qty. Success]]</f>
        <v>1</v>
      </c>
      <c r="O30" s="419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1">
        <f>All_Detail_v29[[#This Row],[Cabling Date (S)]]</f>
        <v>46006</v>
      </c>
      <c r="S30" s="421">
        <f>All_Detail_v29[[#This Row],[Cabling Date (A)]]</f>
        <v>46006</v>
      </c>
      <c r="T30" s="421">
        <f>All_Detail_v29[[#This Row],[Coring Date (S)]]</f>
        <v>46156</v>
      </c>
      <c r="U30" s="421">
        <f>All_Detail_v29[[#This Row],[Coring Date (A)]]</f>
        <v>0</v>
      </c>
    </row>
    <row r="31" spans="1:21">
      <c r="A31">
        <v>30</v>
      </c>
      <c r="B31" s="645" t="s">
        <v>1297</v>
      </c>
      <c r="C31" s="666" t="s">
        <v>739</v>
      </c>
      <c r="D31" s="647">
        <v>46007</v>
      </c>
      <c r="E31" s="647">
        <v>46007</v>
      </c>
      <c r="F31" s="646">
        <v>1</v>
      </c>
      <c r="G31" s="646">
        <v>1</v>
      </c>
      <c r="H31" s="646" t="s">
        <v>358</v>
      </c>
      <c r="I31" s="647">
        <v>46157</v>
      </c>
      <c r="J31" s="667"/>
      <c r="K31" s="669">
        <v>1</v>
      </c>
      <c r="L31" s="669"/>
      <c r="M31" s="669" t="s">
        <v>1270</v>
      </c>
      <c r="N31" s="419">
        <f>All_Detail_v29[[#This Row],[Qty. Success]]</f>
        <v>1</v>
      </c>
      <c r="O31" s="419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1">
        <f>All_Detail_v29[[#This Row],[Cabling Date (S)]]</f>
        <v>46007</v>
      </c>
      <c r="S31" s="421">
        <f>All_Detail_v29[[#This Row],[Cabling Date (A)]]</f>
        <v>46007</v>
      </c>
      <c r="T31" s="421">
        <f>All_Detail_v29[[#This Row],[Coring Date (S)]]</f>
        <v>46157</v>
      </c>
      <c r="U31" s="421">
        <f>All_Detail_v29[[#This Row],[Coring Date (A)]]</f>
        <v>0</v>
      </c>
    </row>
    <row r="32" spans="1:21">
      <c r="A32">
        <v>31</v>
      </c>
      <c r="B32" s="645" t="s">
        <v>1298</v>
      </c>
      <c r="C32" s="666" t="s">
        <v>739</v>
      </c>
      <c r="D32" s="647">
        <v>46008</v>
      </c>
      <c r="E32" s="647">
        <v>46008</v>
      </c>
      <c r="F32" s="646">
        <v>1</v>
      </c>
      <c r="G32" s="646">
        <v>1</v>
      </c>
      <c r="H32" s="646" t="s">
        <v>358</v>
      </c>
      <c r="I32" s="647">
        <v>46066</v>
      </c>
      <c r="J32" s="647">
        <v>46066</v>
      </c>
      <c r="K32" s="669">
        <v>1</v>
      </c>
      <c r="L32" s="669">
        <v>1</v>
      </c>
      <c r="M32" s="646" t="s">
        <v>358</v>
      </c>
      <c r="N32" s="419">
        <f>All_Detail_v29[[#This Row],[Qty. Success]]</f>
        <v>1</v>
      </c>
      <c r="O32" s="419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1">
        <f>All_Detail_v29[[#This Row],[Cabling Date (S)]]</f>
        <v>46008</v>
      </c>
      <c r="S32" s="421">
        <f>All_Detail_v29[[#This Row],[Cabling Date (A)]]</f>
        <v>46008</v>
      </c>
      <c r="T32" s="421">
        <f>All_Detail_v29[[#This Row],[Coring Date (S)]]</f>
        <v>46066</v>
      </c>
      <c r="U32" s="421">
        <f>All_Detail_v29[[#This Row],[Coring Date (A)]]</f>
        <v>46066</v>
      </c>
    </row>
    <row r="33" spans="1:21">
      <c r="A33">
        <v>32</v>
      </c>
      <c r="B33" s="645" t="s">
        <v>1299</v>
      </c>
      <c r="C33" s="666" t="s">
        <v>739</v>
      </c>
      <c r="D33" s="647">
        <v>46009</v>
      </c>
      <c r="E33" s="647">
        <v>46009</v>
      </c>
      <c r="F33" s="646">
        <v>1</v>
      </c>
      <c r="G33" s="646">
        <v>1</v>
      </c>
      <c r="H33" s="646" t="s">
        <v>358</v>
      </c>
      <c r="I33" s="647">
        <v>46163</v>
      </c>
      <c r="J33" s="667"/>
      <c r="K33" s="669">
        <v>1</v>
      </c>
      <c r="L33" s="669"/>
      <c r="M33" s="669" t="s">
        <v>1270</v>
      </c>
      <c r="N33" s="419">
        <f>All_Detail_v29[[#This Row],[Qty. Success]]</f>
        <v>1</v>
      </c>
      <c r="O33" s="419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1">
        <f>All_Detail_v29[[#This Row],[Cabling Date (S)]]</f>
        <v>46009</v>
      </c>
      <c r="S33" s="421">
        <f>All_Detail_v29[[#This Row],[Cabling Date (A)]]</f>
        <v>46009</v>
      </c>
      <c r="T33" s="421">
        <f>All_Detail_v29[[#This Row],[Coring Date (S)]]</f>
        <v>46163</v>
      </c>
      <c r="U33" s="421">
        <f>All_Detail_v29[[#This Row],[Coring Date (A)]]</f>
        <v>0</v>
      </c>
    </row>
    <row r="34" spans="1:21">
      <c r="A34">
        <v>33</v>
      </c>
      <c r="B34" s="645" t="s">
        <v>1300</v>
      </c>
      <c r="C34" s="666" t="s">
        <v>739</v>
      </c>
      <c r="D34" s="647">
        <v>46011</v>
      </c>
      <c r="E34" s="647">
        <v>46011</v>
      </c>
      <c r="F34" s="646">
        <v>1</v>
      </c>
      <c r="G34" s="646">
        <v>1</v>
      </c>
      <c r="H34" s="646" t="s">
        <v>358</v>
      </c>
      <c r="I34" s="647">
        <v>46164</v>
      </c>
      <c r="J34" s="667"/>
      <c r="K34" s="669">
        <v>1</v>
      </c>
      <c r="L34" s="669"/>
      <c r="M34" s="669" t="s">
        <v>1270</v>
      </c>
      <c r="N34" s="419">
        <f>All_Detail_v29[[#This Row],[Qty. Success]]</f>
        <v>1</v>
      </c>
      <c r="O34" s="419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1">
        <f>All_Detail_v29[[#This Row],[Cabling Date (S)]]</f>
        <v>46011</v>
      </c>
      <c r="S34" s="421">
        <f>All_Detail_v29[[#This Row],[Cabling Date (A)]]</f>
        <v>46011</v>
      </c>
      <c r="T34" s="421">
        <f>All_Detail_v29[[#This Row],[Coring Date (S)]]</f>
        <v>46164</v>
      </c>
      <c r="U34" s="421">
        <f>All_Detail_v29[[#This Row],[Coring Date (A)]]</f>
        <v>0</v>
      </c>
    </row>
    <row r="35" spans="1:21">
      <c r="A35">
        <v>34</v>
      </c>
      <c r="B35" s="645" t="s">
        <v>1301</v>
      </c>
      <c r="C35" s="666" t="s">
        <v>739</v>
      </c>
      <c r="D35" s="647">
        <v>46012</v>
      </c>
      <c r="E35" s="647">
        <v>46012</v>
      </c>
      <c r="F35" s="646">
        <v>1</v>
      </c>
      <c r="G35" s="646">
        <v>1</v>
      </c>
      <c r="H35" s="646" t="s">
        <v>358</v>
      </c>
      <c r="I35" s="647">
        <v>46170</v>
      </c>
      <c r="J35" s="667"/>
      <c r="K35" s="669">
        <v>1</v>
      </c>
      <c r="L35" s="669"/>
      <c r="M35" s="669" t="s">
        <v>1270</v>
      </c>
      <c r="N35" s="419">
        <f>All_Detail_v29[[#This Row],[Qty. Success]]</f>
        <v>1</v>
      </c>
      <c r="O35" s="419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1">
        <f>All_Detail_v29[[#This Row],[Cabling Date (S)]]</f>
        <v>46012</v>
      </c>
      <c r="S35" s="421">
        <f>All_Detail_v29[[#This Row],[Cabling Date (A)]]</f>
        <v>46012</v>
      </c>
      <c r="T35" s="421">
        <f>All_Detail_v29[[#This Row],[Coring Date (S)]]</f>
        <v>46170</v>
      </c>
      <c r="U35" s="421">
        <f>All_Detail_v29[[#This Row],[Coring Date (A)]]</f>
        <v>0</v>
      </c>
    </row>
    <row r="36" spans="1:21">
      <c r="A36">
        <v>35</v>
      </c>
      <c r="B36" s="645" t="s">
        <v>1302</v>
      </c>
      <c r="C36" s="666" t="s">
        <v>695</v>
      </c>
      <c r="D36" s="647">
        <v>46030</v>
      </c>
      <c r="E36" s="647">
        <v>46030</v>
      </c>
      <c r="F36" s="646">
        <v>1</v>
      </c>
      <c r="G36" s="646">
        <v>1</v>
      </c>
      <c r="H36" s="646" t="s">
        <v>358</v>
      </c>
      <c r="I36" s="647">
        <v>46171</v>
      </c>
      <c r="J36" s="667"/>
      <c r="K36" s="669">
        <v>1</v>
      </c>
      <c r="L36" s="669"/>
      <c r="M36" s="669" t="s">
        <v>1270</v>
      </c>
      <c r="N36" s="419">
        <f>All_Detail_v29[[#This Row],[Qty. Success]]</f>
        <v>1</v>
      </c>
      <c r="O36" s="419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1">
        <f>All_Detail_v29[[#This Row],[Cabling Date (S)]]</f>
        <v>46030</v>
      </c>
      <c r="S36" s="421">
        <f>All_Detail_v29[[#This Row],[Cabling Date (A)]]</f>
        <v>46030</v>
      </c>
      <c r="T36" s="421">
        <f>All_Detail_v29[[#This Row],[Coring Date (S)]]</f>
        <v>46171</v>
      </c>
      <c r="U36" s="421">
        <f>All_Detail_v29[[#This Row],[Coring Date (A)]]</f>
        <v>0</v>
      </c>
    </row>
    <row r="37" spans="1:21">
      <c r="A37">
        <v>36</v>
      </c>
      <c r="B37" s="645" t="s">
        <v>1303</v>
      </c>
      <c r="C37" s="666" t="s">
        <v>695</v>
      </c>
      <c r="D37" s="647">
        <v>46031</v>
      </c>
      <c r="E37" s="647">
        <v>46031</v>
      </c>
      <c r="F37" s="646">
        <v>1</v>
      </c>
      <c r="G37" s="646">
        <v>1</v>
      </c>
      <c r="H37" s="646" t="s">
        <v>358</v>
      </c>
      <c r="I37" s="647">
        <v>46205</v>
      </c>
      <c r="J37" s="667"/>
      <c r="K37" s="669">
        <v>1</v>
      </c>
      <c r="L37" s="669"/>
      <c r="M37" s="669" t="s">
        <v>1270</v>
      </c>
      <c r="N37" s="419">
        <f>All_Detail_v29[[#This Row],[Qty. Success]]</f>
        <v>1</v>
      </c>
      <c r="O37" s="419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1">
        <f>All_Detail_v29[[#This Row],[Cabling Date (S)]]</f>
        <v>46031</v>
      </c>
      <c r="S37" s="421">
        <f>All_Detail_v29[[#This Row],[Cabling Date (A)]]</f>
        <v>46031</v>
      </c>
      <c r="T37" s="421">
        <f>All_Detail_v29[[#This Row],[Coring Date (S)]]</f>
        <v>46205</v>
      </c>
      <c r="U37" s="421">
        <f>All_Detail_v29[[#This Row],[Coring Date (A)]]</f>
        <v>0</v>
      </c>
    </row>
    <row r="38" spans="1:21">
      <c r="A38">
        <v>37</v>
      </c>
      <c r="B38" s="645" t="s">
        <v>1304</v>
      </c>
      <c r="C38" s="666" t="s">
        <v>695</v>
      </c>
      <c r="D38" s="647">
        <v>46032</v>
      </c>
      <c r="E38" s="647">
        <v>46032</v>
      </c>
      <c r="F38" s="646">
        <v>1</v>
      </c>
      <c r="G38" s="646">
        <v>1</v>
      </c>
      <c r="H38" s="646" t="s">
        <v>358</v>
      </c>
      <c r="I38" s="647">
        <v>46206</v>
      </c>
      <c r="J38" s="667"/>
      <c r="K38" s="669">
        <v>1</v>
      </c>
      <c r="L38" s="669"/>
      <c r="M38" s="669" t="s">
        <v>1270</v>
      </c>
      <c r="N38" s="419">
        <f>All_Detail_v29[[#This Row],[Qty. Success]]</f>
        <v>1</v>
      </c>
      <c r="O38" s="419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1">
        <f>All_Detail_v29[[#This Row],[Cabling Date (S)]]</f>
        <v>46032</v>
      </c>
      <c r="S38" s="421">
        <f>All_Detail_v29[[#This Row],[Cabling Date (A)]]</f>
        <v>46032</v>
      </c>
      <c r="T38" s="421">
        <f>All_Detail_v29[[#This Row],[Coring Date (S)]]</f>
        <v>46206</v>
      </c>
      <c r="U38" s="421">
        <f>All_Detail_v29[[#This Row],[Coring Date (A)]]</f>
        <v>0</v>
      </c>
    </row>
    <row r="39" spans="1:21">
      <c r="A39">
        <v>38</v>
      </c>
      <c r="B39" s="645" t="s">
        <v>1305</v>
      </c>
      <c r="C39" s="666" t="s">
        <v>695</v>
      </c>
      <c r="D39" s="647">
        <v>46033</v>
      </c>
      <c r="E39" s="647">
        <v>46033</v>
      </c>
      <c r="F39" s="646">
        <v>1</v>
      </c>
      <c r="G39" s="646">
        <v>1</v>
      </c>
      <c r="H39" s="646" t="s">
        <v>358</v>
      </c>
      <c r="I39" s="647">
        <v>46212</v>
      </c>
      <c r="J39" s="667"/>
      <c r="K39" s="669">
        <v>1</v>
      </c>
      <c r="L39" s="669"/>
      <c r="M39" s="669" t="s">
        <v>1270</v>
      </c>
      <c r="N39" s="419">
        <f>All_Detail_v29[[#This Row],[Qty. Success]]</f>
        <v>1</v>
      </c>
      <c r="O39" s="419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1">
        <f>All_Detail_v29[[#This Row],[Cabling Date (S)]]</f>
        <v>46033</v>
      </c>
      <c r="S39" s="421">
        <f>All_Detail_v29[[#This Row],[Cabling Date (A)]]</f>
        <v>46033</v>
      </c>
      <c r="T39" s="421">
        <f>All_Detail_v29[[#This Row],[Coring Date (S)]]</f>
        <v>46212</v>
      </c>
      <c r="U39" s="421">
        <f>All_Detail_v29[[#This Row],[Coring Date (A)]]</f>
        <v>0</v>
      </c>
    </row>
    <row r="40" spans="1:21">
      <c r="A40">
        <v>39</v>
      </c>
      <c r="B40" s="645" t="s">
        <v>1306</v>
      </c>
      <c r="C40" s="666" t="s">
        <v>695</v>
      </c>
      <c r="D40" s="647">
        <v>46034</v>
      </c>
      <c r="E40" s="647">
        <v>46034</v>
      </c>
      <c r="F40" s="646">
        <v>1</v>
      </c>
      <c r="G40" s="646">
        <v>1</v>
      </c>
      <c r="H40" s="646" t="s">
        <v>358</v>
      </c>
      <c r="I40" s="647">
        <v>46213</v>
      </c>
      <c r="J40" s="667"/>
      <c r="K40" s="669">
        <v>1</v>
      </c>
      <c r="L40" s="669"/>
      <c r="M40" s="669" t="s">
        <v>1270</v>
      </c>
      <c r="N40" s="419">
        <f>All_Detail_v29[[#This Row],[Qty. Success]]</f>
        <v>1</v>
      </c>
      <c r="O40" s="419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1">
        <f>All_Detail_v29[[#This Row],[Cabling Date (S)]]</f>
        <v>46034</v>
      </c>
      <c r="S40" s="421">
        <f>All_Detail_v29[[#This Row],[Cabling Date (A)]]</f>
        <v>46034</v>
      </c>
      <c r="T40" s="421">
        <f>All_Detail_v29[[#This Row],[Coring Date (S)]]</f>
        <v>46213</v>
      </c>
      <c r="U40" s="421">
        <f>All_Detail_v29[[#This Row],[Coring Date (A)]]</f>
        <v>0</v>
      </c>
    </row>
    <row r="41" spans="1:21">
      <c r="B41" s="381"/>
      <c r="C41" s="382"/>
      <c r="D41" s="383"/>
      <c r="E41" s="383"/>
      <c r="F41" s="539">
        <f>SUBTOTAL(109,All_Detail_v29[Qty])</f>
        <v>39</v>
      </c>
      <c r="G41" s="539">
        <f>SUBTOTAL(109,All_Detail_v29[Qty. Success])</f>
        <v>39</v>
      </c>
      <c r="H41" s="382"/>
      <c r="I41" s="383"/>
      <c r="J41" s="383"/>
      <c r="K41" s="539">
        <f>SUBTOTAL(109,All_Detail_v29[Qty2])</f>
        <v>39</v>
      </c>
      <c r="L41" s="539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2"/>
      <c r="T41" s="422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1" customWidth="1"/>
    <col min="2" max="39" width="10.5546875" style="671" bestFit="1" customWidth="1"/>
    <col min="40" max="40" width="16" style="671" customWidth="1"/>
    <col min="41" max="16384" width="8.88671875" style="671"/>
  </cols>
  <sheetData>
    <row r="1" spans="1:40" ht="30" customHeight="1">
      <c r="A1" s="1002" t="s">
        <v>1307</v>
      </c>
      <c r="B1" s="1000"/>
      <c r="C1" s="1000"/>
      <c r="D1" s="1000"/>
      <c r="E1" s="1000"/>
      <c r="F1" s="1000"/>
      <c r="G1" s="1000"/>
      <c r="H1" s="1000"/>
      <c r="I1" s="1000"/>
      <c r="J1" s="1000"/>
      <c r="K1" s="1000"/>
      <c r="L1" s="1000"/>
      <c r="M1" s="1000"/>
      <c r="N1" s="1000"/>
      <c r="O1" s="1000"/>
      <c r="P1" s="1000"/>
      <c r="Q1" s="1000"/>
      <c r="R1" s="1000"/>
      <c r="S1" s="1000"/>
      <c r="T1" s="1000"/>
      <c r="U1" s="1000"/>
      <c r="V1" s="1000"/>
      <c r="W1" s="1000"/>
      <c r="X1" s="1000"/>
      <c r="Y1" s="1000"/>
      <c r="Z1" s="1000"/>
      <c r="AA1" s="1000"/>
      <c r="AB1" s="1000"/>
      <c r="AC1" s="1000"/>
      <c r="AD1" s="1000"/>
      <c r="AE1" s="1000"/>
      <c r="AF1" s="1000"/>
      <c r="AG1" s="1000"/>
      <c r="AH1" s="1000"/>
      <c r="AI1" s="1000"/>
      <c r="AJ1" s="1000"/>
      <c r="AK1" s="1000"/>
      <c r="AL1" s="1000"/>
      <c r="AM1" s="1000"/>
      <c r="AN1" s="1001"/>
    </row>
    <row r="2" spans="1:40" ht="18" customHeight="1">
      <c r="A2" s="1003" t="s">
        <v>1308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1000"/>
      <c r="V2" s="1000"/>
      <c r="W2" s="1000"/>
      <c r="X2" s="1000"/>
      <c r="Y2" s="1000"/>
      <c r="Z2" s="1000"/>
      <c r="AA2" s="1000"/>
      <c r="AB2" s="1000"/>
      <c r="AC2" s="1000"/>
      <c r="AD2" s="1000"/>
      <c r="AE2" s="1000"/>
      <c r="AF2" s="1000"/>
      <c r="AG2" s="1000"/>
      <c r="AH2" s="1000"/>
      <c r="AI2" s="1000"/>
      <c r="AJ2" s="1000"/>
      <c r="AK2" s="1000"/>
      <c r="AL2" s="1000"/>
      <c r="AM2" s="1000"/>
      <c r="AN2" s="1001"/>
    </row>
    <row r="3" spans="1:40" ht="4.95" customHeight="1"/>
    <row r="4" spans="1:40" ht="22.2" customHeight="1">
      <c r="A4" s="1004" t="s">
        <v>291</v>
      </c>
      <c r="B4" s="672" t="s">
        <v>1309</v>
      </c>
      <c r="C4" s="672" t="s">
        <v>1310</v>
      </c>
      <c r="D4" s="672" t="s">
        <v>1311</v>
      </c>
      <c r="E4" s="672" t="s">
        <v>1312</v>
      </c>
      <c r="F4" s="672" t="s">
        <v>1313</v>
      </c>
      <c r="G4" s="672" t="s">
        <v>1314</v>
      </c>
      <c r="H4" s="672" t="s">
        <v>1315</v>
      </c>
      <c r="I4" s="672" t="s">
        <v>1316</v>
      </c>
      <c r="J4" s="672" t="s">
        <v>1317</v>
      </c>
      <c r="K4" s="672" t="s">
        <v>1318</v>
      </c>
      <c r="L4" s="672" t="s">
        <v>1319</v>
      </c>
      <c r="M4" s="672" t="s">
        <v>1320</v>
      </c>
      <c r="N4" s="672" t="s">
        <v>1321</v>
      </c>
      <c r="O4" s="672" t="s">
        <v>1322</v>
      </c>
      <c r="P4" s="672" t="s">
        <v>1323</v>
      </c>
      <c r="Q4" s="672" t="s">
        <v>1324</v>
      </c>
      <c r="R4" s="672" t="s">
        <v>1325</v>
      </c>
      <c r="S4" s="672" t="s">
        <v>1326</v>
      </c>
      <c r="T4" s="672" t="s">
        <v>1327</v>
      </c>
      <c r="U4" s="672" t="s">
        <v>1328</v>
      </c>
      <c r="V4" s="672" t="s">
        <v>1329</v>
      </c>
      <c r="W4" s="672" t="s">
        <v>1330</v>
      </c>
      <c r="X4" s="672" t="s">
        <v>1331</v>
      </c>
      <c r="Y4" s="672" t="s">
        <v>1332</v>
      </c>
      <c r="Z4" s="672" t="s">
        <v>1333</v>
      </c>
      <c r="AA4" s="672" t="s">
        <v>1334</v>
      </c>
      <c r="AB4" s="672" t="s">
        <v>1335</v>
      </c>
      <c r="AC4" s="672" t="s">
        <v>1336</v>
      </c>
      <c r="AD4" s="672" t="s">
        <v>1337</v>
      </c>
      <c r="AE4" s="672" t="s">
        <v>1338</v>
      </c>
      <c r="AF4" s="672" t="s">
        <v>1339</v>
      </c>
      <c r="AG4" s="672" t="s">
        <v>1340</v>
      </c>
      <c r="AH4" s="672" t="s">
        <v>1341</v>
      </c>
      <c r="AI4" s="672" t="s">
        <v>1342</v>
      </c>
      <c r="AJ4" s="672" t="s">
        <v>1343</v>
      </c>
      <c r="AK4" s="672" t="s">
        <v>1344</v>
      </c>
      <c r="AL4" s="672" t="s">
        <v>1345</v>
      </c>
      <c r="AM4" s="672" t="s">
        <v>1346</v>
      </c>
      <c r="AN4" s="1004" t="s">
        <v>301</v>
      </c>
    </row>
    <row r="5" spans="1:40" ht="4.95" customHeight="1">
      <c r="A5" s="1005"/>
      <c r="AN5" s="1005"/>
    </row>
    <row r="6" spans="1:40" ht="22.2" customHeight="1">
      <c r="A6" s="1006" t="s">
        <v>1347</v>
      </c>
      <c r="B6" s="1000"/>
      <c r="C6" s="1000"/>
      <c r="D6" s="1000"/>
      <c r="E6" s="1000"/>
      <c r="F6" s="1000"/>
      <c r="G6" s="1000"/>
      <c r="H6" s="1000"/>
      <c r="I6" s="1000"/>
      <c r="J6" s="1000"/>
      <c r="K6" s="1000"/>
      <c r="L6" s="1000"/>
      <c r="M6" s="1000"/>
      <c r="N6" s="1000"/>
      <c r="O6" s="1000"/>
      <c r="P6" s="1000"/>
      <c r="Q6" s="1000"/>
      <c r="R6" s="1000"/>
      <c r="S6" s="1000"/>
      <c r="T6" s="1000"/>
      <c r="U6" s="1000"/>
      <c r="V6" s="1000"/>
      <c r="W6" s="1000"/>
      <c r="X6" s="1000"/>
      <c r="Y6" s="1000"/>
      <c r="Z6" s="1000"/>
      <c r="AA6" s="1000"/>
      <c r="AB6" s="1000"/>
      <c r="AC6" s="1000"/>
      <c r="AD6" s="1000"/>
      <c r="AE6" s="1000"/>
      <c r="AF6" s="1000"/>
      <c r="AG6" s="1000"/>
      <c r="AH6" s="1000"/>
      <c r="AI6" s="1000"/>
      <c r="AJ6" s="1000"/>
      <c r="AK6" s="1000"/>
      <c r="AL6" s="1000"/>
      <c r="AM6" s="1000"/>
      <c r="AN6" s="1001"/>
    </row>
    <row r="7" spans="1:40" ht="18" customHeight="1">
      <c r="A7" s="673" t="s">
        <v>1348</v>
      </c>
      <c r="B7" s="674" cm="1">
        <f t="array" ref="B7">SUMPRODUCT(('SVB-Coring'!$R$2:$R$40&gt;=B86)*('SVB-Coring'!$R$2:$R$40&lt;=B87)*(ISNUMBER('SVB-Coring'!$F$2:$F$40))*('SVB-Coring'!$F$2:$F$40))</f>
        <v>2</v>
      </c>
      <c r="C7" s="674" cm="1">
        <f t="array" ref="C7">SUMPRODUCT(('SVB-Coring'!$R$2:$R$40&gt;=C86)*('SVB-Coring'!$R$2:$R$40&lt;=C87)*(ISNUMBER('SVB-Coring'!$F$2:$F$40))*('SVB-Coring'!$F$2:$F$40))</f>
        <v>2</v>
      </c>
      <c r="D7" s="674" cm="1">
        <f t="array" ref="D7">SUMPRODUCT(('SVB-Coring'!$R$2:$R$40&gt;=D86)*('SVB-Coring'!$R$2:$R$40&lt;=D87)*(ISNUMBER('SVB-Coring'!$F$2:$F$40))*('SVB-Coring'!$F$2:$F$40))</f>
        <v>7</v>
      </c>
      <c r="E7" s="674" cm="1">
        <f t="array" ref="E7">SUMPRODUCT(('SVB-Coring'!$R$2:$R$40&gt;=E86)*('SVB-Coring'!$R$2:$R$40&lt;=E87)*(ISNUMBER('SVB-Coring'!$F$2:$F$40))*('SVB-Coring'!$F$2:$F$40))</f>
        <v>3</v>
      </c>
      <c r="F7" s="674" cm="1">
        <f t="array" ref="F7">SUMPRODUCT(('SVB-Coring'!$R$2:$R$40&gt;=F86)*('SVB-Coring'!$R$2:$R$40&lt;=F87)*(ISNUMBER('SVB-Coring'!$F$2:$F$40))*('SVB-Coring'!$F$2:$F$40))</f>
        <v>4</v>
      </c>
      <c r="G7" s="674" cm="1">
        <f t="array" ref="G7">SUMPRODUCT(('SVB-Coring'!$R$2:$R$40&gt;=G86)*('SVB-Coring'!$R$2:$R$40&lt;=G87)*(ISNUMBER('SVB-Coring'!$F$2:$F$40))*('SVB-Coring'!$F$2:$F$40))</f>
        <v>6</v>
      </c>
      <c r="H7" s="674" cm="1">
        <f t="array" ref="H7">SUMPRODUCT(('SVB-Coring'!$R$2:$R$40&gt;=H86)*('SVB-Coring'!$R$2:$R$40&lt;=H87)*(ISNUMBER('SVB-Coring'!$F$2:$F$40))*('SVB-Coring'!$F$2:$F$40))</f>
        <v>2</v>
      </c>
      <c r="I7" s="674" cm="1">
        <f t="array" ref="I7">SUMPRODUCT(('SVB-Coring'!$R$2:$R$40&gt;=I86)*('SVB-Coring'!$R$2:$R$40&lt;=I87)*(ISNUMBER('SVB-Coring'!$F$2:$F$40))*('SVB-Coring'!$F$2:$F$40))</f>
        <v>0</v>
      </c>
      <c r="J7" s="674" cm="1">
        <f t="array" ref="J7">SUMPRODUCT(('SVB-Coring'!$R$2:$R$40&gt;=J86)*('SVB-Coring'!$R$2:$R$40&lt;=J87)*(ISNUMBER('SVB-Coring'!$F$2:$F$40))*('SVB-Coring'!$F$2:$F$40))</f>
        <v>2</v>
      </c>
      <c r="K7" s="674" cm="1">
        <f t="array" ref="K7">SUMPRODUCT(('SVB-Coring'!$R$2:$R$40&gt;=K86)*('SVB-Coring'!$R$2:$R$40&lt;=K87)*(ISNUMBER('SVB-Coring'!$F$2:$F$40))*('SVB-Coring'!$F$2:$F$40))</f>
        <v>6</v>
      </c>
      <c r="L7" s="674" cm="1">
        <f t="array" ref="L7">SUMPRODUCT(('SVB-Coring'!$R$2:$R$40&gt;=L86)*('SVB-Coring'!$R$2:$R$40&lt;=L87)*(ISNUMBER('SVB-Coring'!$F$2:$F$40))*('SVB-Coring'!$F$2:$F$40))</f>
        <v>5</v>
      </c>
      <c r="M7" s="674" cm="1">
        <f t="array" ref="M7">SUMPRODUCT(('SVB-Coring'!$R$2:$R$40&gt;=M86)*('SVB-Coring'!$R$2:$R$40&lt;=M87)*(ISNUMBER('SVB-Coring'!$F$2:$F$40))*('SVB-Coring'!$F$2:$F$40))</f>
        <v>0</v>
      </c>
      <c r="N7" s="674" cm="1">
        <f t="array" ref="N7">SUMPRODUCT(('SVB-Coring'!$R$2:$R$40&gt;=N86)*('SVB-Coring'!$R$2:$R$40&lt;=N87)*(ISNUMBER('SVB-Coring'!$F$2:$F$40))*('SVB-Coring'!$F$2:$F$40))</f>
        <v>0</v>
      </c>
      <c r="O7" s="674" cm="1">
        <f t="array" ref="O7">SUMPRODUCT(('SVB-Coring'!$R$2:$R$40&gt;=O86)*('SVB-Coring'!$R$2:$R$40&lt;=O87)*(ISNUMBER('SVB-Coring'!$F$2:$F$40))*('SVB-Coring'!$F$2:$F$40))</f>
        <v>0</v>
      </c>
      <c r="P7" s="674" cm="1">
        <f t="array" ref="P7">SUMPRODUCT(('SVB-Coring'!$R$2:$R$40&gt;=P86)*('SVB-Coring'!$R$2:$R$40&lt;=P87)*(ISNUMBER('SVB-Coring'!$F$2:$F$40))*('SVB-Coring'!$F$2:$F$40))</f>
        <v>0</v>
      </c>
      <c r="Q7" s="674" cm="1">
        <f t="array" ref="Q7">SUMPRODUCT(('SVB-Coring'!$R$2:$R$40&gt;=Q86)*('SVB-Coring'!$R$2:$R$40&lt;=Q87)*(ISNUMBER('SVB-Coring'!$F$2:$F$40))*('SVB-Coring'!$F$2:$F$40))</f>
        <v>0</v>
      </c>
      <c r="R7" s="674" cm="1">
        <f t="array" ref="R7">SUMPRODUCT(('SVB-Coring'!$R$2:$R$40&gt;=R86)*('SVB-Coring'!$R$2:$R$40&lt;=R87)*(ISNUMBER('SVB-Coring'!$F$2:$F$40))*('SVB-Coring'!$F$2:$F$40))</f>
        <v>0</v>
      </c>
      <c r="S7" s="674" cm="1">
        <f t="array" ref="S7">SUMPRODUCT(('SVB-Coring'!$R$2:$R$40&gt;=S86)*('SVB-Coring'!$R$2:$R$40&lt;=S87)*(ISNUMBER('SVB-Coring'!$F$2:$F$40))*('SVB-Coring'!$F$2:$F$40))</f>
        <v>0</v>
      </c>
      <c r="T7" s="674" cm="1">
        <f t="array" ref="T7">SUMPRODUCT(('SVB-Coring'!$R$2:$R$40&gt;=T86)*('SVB-Coring'!$R$2:$R$40&lt;=T87)*(ISNUMBER('SVB-Coring'!$F$2:$F$40))*('SVB-Coring'!$F$2:$F$40))</f>
        <v>0</v>
      </c>
      <c r="U7" s="674" cm="1">
        <f t="array" ref="U7">SUMPRODUCT(('SVB-Coring'!$R$2:$R$40&gt;=U86)*('SVB-Coring'!$R$2:$R$40&lt;=U87)*(ISNUMBER('SVB-Coring'!$F$2:$F$40))*('SVB-Coring'!$F$2:$F$40))</f>
        <v>0</v>
      </c>
      <c r="V7" s="674" cm="1">
        <f t="array" ref="V7">SUMPRODUCT(('SVB-Coring'!$R$2:$R$40&gt;=V86)*('SVB-Coring'!$R$2:$R$40&lt;=V87)*(ISNUMBER('SVB-Coring'!$F$2:$F$40))*('SVB-Coring'!$F$2:$F$40))</f>
        <v>0</v>
      </c>
      <c r="W7" s="674" cm="1">
        <f t="array" ref="W7">SUMPRODUCT(('SVB-Coring'!$R$2:$R$40&gt;=W86)*('SVB-Coring'!$R$2:$R$40&lt;=W87)*(ISNUMBER('SVB-Coring'!$F$2:$F$40))*('SVB-Coring'!$F$2:$F$40))</f>
        <v>0</v>
      </c>
      <c r="X7" s="674" cm="1">
        <f t="array" ref="X7">SUMPRODUCT(('SVB-Coring'!$R$2:$R$40&gt;=X86)*('SVB-Coring'!$R$2:$R$40&lt;=X87)*(ISNUMBER('SVB-Coring'!$F$2:$F$40))*('SVB-Coring'!$F$2:$F$40))</f>
        <v>0</v>
      </c>
      <c r="Y7" s="674" cm="1">
        <f t="array" ref="Y7">SUMPRODUCT(('SVB-Coring'!$R$2:$R$40&gt;=Y86)*('SVB-Coring'!$R$2:$R$40&lt;=Y87)*(ISNUMBER('SVB-Coring'!$F$2:$F$40))*('SVB-Coring'!$F$2:$F$40))</f>
        <v>0</v>
      </c>
      <c r="Z7" s="674" cm="1">
        <f t="array" ref="Z7">SUMPRODUCT(('SVB-Coring'!$R$2:$R$40&gt;=Z86)*('SVB-Coring'!$R$2:$R$40&lt;=Z87)*(ISNUMBER('SVB-Coring'!$F$2:$F$40))*('SVB-Coring'!$F$2:$F$40))</f>
        <v>0</v>
      </c>
      <c r="AA7" s="674" cm="1">
        <f t="array" ref="AA7">SUMPRODUCT(('SVB-Coring'!$R$2:$R$40&gt;=AA86)*('SVB-Coring'!$R$2:$R$40&lt;=AA87)*(ISNUMBER('SVB-Coring'!$F$2:$F$40))*('SVB-Coring'!$F$2:$F$40))</f>
        <v>0</v>
      </c>
      <c r="AB7" s="674" cm="1">
        <f t="array" ref="AB7">SUMPRODUCT(('SVB-Coring'!$R$2:$R$40&gt;=AB86)*('SVB-Coring'!$R$2:$R$40&lt;=AB87)*(ISNUMBER('SVB-Coring'!$F$2:$F$40))*('SVB-Coring'!$F$2:$F$40))</f>
        <v>0</v>
      </c>
      <c r="AC7" s="674" cm="1">
        <f t="array" ref="AC7">SUMPRODUCT(('SVB-Coring'!$R$2:$R$40&gt;=AC86)*('SVB-Coring'!$R$2:$R$40&lt;=AC87)*(ISNUMBER('SVB-Coring'!$F$2:$F$40))*('SVB-Coring'!$F$2:$F$40))</f>
        <v>0</v>
      </c>
      <c r="AD7" s="674" cm="1">
        <f t="array" ref="AD7">SUMPRODUCT(('SVB-Coring'!$R$2:$R$40&gt;=AD86)*('SVB-Coring'!$R$2:$R$40&lt;=AD87)*(ISNUMBER('SVB-Coring'!$F$2:$F$40))*('SVB-Coring'!$F$2:$F$40))</f>
        <v>0</v>
      </c>
      <c r="AE7" s="674" cm="1">
        <f t="array" ref="AE7">SUMPRODUCT(('SVB-Coring'!$R$2:$R$40&gt;=AE86)*('SVB-Coring'!$R$2:$R$40&lt;=AE87)*(ISNUMBER('SVB-Coring'!$F$2:$F$40))*('SVB-Coring'!$F$2:$F$40))</f>
        <v>0</v>
      </c>
      <c r="AF7" s="674" cm="1">
        <f t="array" ref="AF7">SUMPRODUCT(('SVB-Coring'!$R$2:$R$40&gt;=AF86)*('SVB-Coring'!$R$2:$R$40&lt;=AF87)*(ISNUMBER('SVB-Coring'!$F$2:$F$40))*('SVB-Coring'!$F$2:$F$40))</f>
        <v>0</v>
      </c>
      <c r="AG7" s="674" cm="1">
        <f t="array" ref="AG7">SUMPRODUCT(('SVB-Coring'!$R$2:$R$40&gt;=AG86)*('SVB-Coring'!$R$2:$R$40&lt;=AG87)*(ISNUMBER('SVB-Coring'!$F$2:$F$40))*('SVB-Coring'!$F$2:$F$40))</f>
        <v>0</v>
      </c>
      <c r="AH7" s="674" cm="1">
        <f t="array" ref="AH7">SUMPRODUCT(('SVB-Coring'!$R$2:$R$40&gt;=AH86)*('SVB-Coring'!$R$2:$R$40&lt;=AH87)*(ISNUMBER('SVB-Coring'!$F$2:$F$40))*('SVB-Coring'!$F$2:$F$40))</f>
        <v>0</v>
      </c>
      <c r="AI7" s="674" cm="1">
        <f t="array" ref="AI7">SUMPRODUCT(('SVB-Coring'!$R$2:$R$40&gt;=AI86)*('SVB-Coring'!$R$2:$R$40&lt;=AI87)*(ISNUMBER('SVB-Coring'!$F$2:$F$40))*('SVB-Coring'!$F$2:$F$40))</f>
        <v>0</v>
      </c>
      <c r="AJ7" s="674" cm="1">
        <f t="array" ref="AJ7">SUMPRODUCT(('SVB-Coring'!$R$2:$R$40&gt;=AJ86)*('SVB-Coring'!$R$2:$R$40&lt;=AJ87)*(ISNUMBER('SVB-Coring'!$F$2:$F$40))*('SVB-Coring'!$F$2:$F$40))</f>
        <v>0</v>
      </c>
      <c r="AK7" s="674" cm="1">
        <f t="array" ref="AK7">SUMPRODUCT(('SVB-Coring'!$R$2:$R$40&gt;=AK86)*('SVB-Coring'!$R$2:$R$40&lt;=AK87)*(ISNUMBER('SVB-Coring'!$F$2:$F$40))*('SVB-Coring'!$F$2:$F$40))</f>
        <v>0</v>
      </c>
      <c r="AL7" s="674" cm="1">
        <f t="array" ref="AL7">SUMPRODUCT(('SVB-Coring'!$R$2:$R$40&gt;=AL86)*('SVB-Coring'!$R$2:$R$40&lt;=AL87)*(ISNUMBER('SVB-Coring'!$F$2:$F$40))*('SVB-Coring'!$F$2:$F$40))</f>
        <v>0</v>
      </c>
      <c r="AM7" s="674" cm="1">
        <f t="array" ref="AM7">SUMPRODUCT(('SVB-Coring'!$R$2:$R$40&gt;=AM86)*('SVB-Coring'!$R$2:$R$40&lt;=AM87)*(ISNUMBER('SVB-Coring'!$F$2:$F$40))*('SVB-Coring'!$F$2:$F$40))</f>
        <v>0</v>
      </c>
      <c r="AN7" s="675" cm="1">
        <f t="array" ref="AN7">SUMPRODUCT((ISNUMBER('SVB-Coring'!$R$2:$R$40))*(ISNUMBER('SVB-Coring'!$F$2:$F$40))*('SVB-Coring'!$F$2:$F$40))</f>
        <v>39</v>
      </c>
    </row>
    <row r="8" spans="1:40" ht="18" customHeight="1">
      <c r="A8" s="676" t="s">
        <v>1349</v>
      </c>
      <c r="B8" s="677" cm="1">
        <f t="array" ref="B8">SUMPRODUCT(('SVB-Coring'!$S$2:$S$40&gt;=B86)*('SVB-Coring'!$S$2:$S$40&lt;=B87)*(ISNUMBER('SVB-Coring'!$F$2:$F$40))*('SVB-Coring'!$F$2:$F$40))</f>
        <v>2</v>
      </c>
      <c r="C8" s="677" cm="1">
        <f t="array" ref="C8">SUMPRODUCT(('SVB-Coring'!$S$2:$S$40&gt;=C86)*('SVB-Coring'!$S$2:$S$40&lt;=C87)*(ISNUMBER('SVB-Coring'!$F$2:$F$40))*('SVB-Coring'!$F$2:$F$40))</f>
        <v>2</v>
      </c>
      <c r="D8" s="677" cm="1">
        <f t="array" ref="D8">SUMPRODUCT(('SVB-Coring'!$S$2:$S$40&gt;=D86)*('SVB-Coring'!$S$2:$S$40&lt;=D87)*(ISNUMBER('SVB-Coring'!$F$2:$F$40))*('SVB-Coring'!$F$2:$F$40))</f>
        <v>7</v>
      </c>
      <c r="E8" s="677" cm="1">
        <f t="array" ref="E8">SUMPRODUCT(('SVB-Coring'!$S$2:$S$40&gt;=E86)*('SVB-Coring'!$S$2:$S$40&lt;=E87)*(ISNUMBER('SVB-Coring'!$F$2:$F$40))*('SVB-Coring'!$F$2:$F$40))</f>
        <v>3</v>
      </c>
      <c r="F8" s="677" cm="1">
        <f t="array" ref="F8">SUMPRODUCT(('SVB-Coring'!$S$2:$S$40&gt;=F86)*('SVB-Coring'!$S$2:$S$40&lt;=F87)*(ISNUMBER('SVB-Coring'!$F$2:$F$40))*('SVB-Coring'!$F$2:$F$40))</f>
        <v>4</v>
      </c>
      <c r="G8" s="677" cm="1">
        <f t="array" ref="G8">SUMPRODUCT(('SVB-Coring'!$S$2:$S$40&gt;=G86)*('SVB-Coring'!$S$2:$S$40&lt;=G87)*(ISNUMBER('SVB-Coring'!$F$2:$F$40))*('SVB-Coring'!$F$2:$F$40))</f>
        <v>6</v>
      </c>
      <c r="H8" s="677" cm="1">
        <f t="array" ref="H8">SUMPRODUCT(('SVB-Coring'!$S$2:$S$40&gt;=H86)*('SVB-Coring'!$S$2:$S$40&lt;=H87)*(ISNUMBER('SVB-Coring'!$F$2:$F$40))*('SVB-Coring'!$F$2:$F$40))</f>
        <v>2</v>
      </c>
      <c r="I8" s="677" cm="1">
        <f t="array" ref="I8">SUMPRODUCT(('SVB-Coring'!$S$2:$S$40&gt;=I86)*('SVB-Coring'!$S$2:$S$40&lt;=I87)*(ISNUMBER('SVB-Coring'!$F$2:$F$40))*('SVB-Coring'!$F$2:$F$40))</f>
        <v>0</v>
      </c>
      <c r="J8" s="677" cm="1">
        <f t="array" ref="J8">SUMPRODUCT(('SVB-Coring'!$S$2:$S$40&gt;=J86)*('SVB-Coring'!$S$2:$S$40&lt;=J87)*(ISNUMBER('SVB-Coring'!$F$2:$F$40))*('SVB-Coring'!$F$2:$F$40))</f>
        <v>2</v>
      </c>
      <c r="K8" s="677" cm="1">
        <f t="array" ref="K8">SUMPRODUCT(('SVB-Coring'!$S$2:$S$40&gt;=K86)*('SVB-Coring'!$S$2:$S$40&lt;=K87)*(ISNUMBER('SVB-Coring'!$F$2:$F$40))*('SVB-Coring'!$F$2:$F$40))</f>
        <v>6</v>
      </c>
      <c r="L8" s="677" cm="1">
        <f t="array" ref="L8">SUMPRODUCT(('SVB-Coring'!$S$2:$S$40&gt;=L86)*('SVB-Coring'!$S$2:$S$40&lt;=L87)*(ISNUMBER('SVB-Coring'!$F$2:$F$40))*('SVB-Coring'!$F$2:$F$40))</f>
        <v>5</v>
      </c>
      <c r="M8" s="677" cm="1">
        <f t="array" ref="M8">SUMPRODUCT(('SVB-Coring'!$S$2:$S$40&gt;=M86)*('SVB-Coring'!$S$2:$S$40&lt;=M87)*(ISNUMBER('SVB-Coring'!$F$2:$F$40))*('SVB-Coring'!$F$2:$F$40))</f>
        <v>0</v>
      </c>
      <c r="N8" s="677" cm="1">
        <f t="array" ref="N8">SUMPRODUCT(('SVB-Coring'!$S$2:$S$40&gt;=N86)*('SVB-Coring'!$S$2:$S$40&lt;=N87)*(ISNUMBER('SVB-Coring'!$F$2:$F$40))*('SVB-Coring'!$F$2:$F$40))</f>
        <v>0</v>
      </c>
      <c r="O8" s="677" cm="1">
        <f t="array" ref="O8">SUMPRODUCT(('SVB-Coring'!$S$2:$S$40&gt;=O86)*('SVB-Coring'!$S$2:$S$40&lt;=O87)*(ISNUMBER('SVB-Coring'!$F$2:$F$40))*('SVB-Coring'!$F$2:$F$40))</f>
        <v>0</v>
      </c>
      <c r="P8" s="677" cm="1">
        <f t="array" ref="P8">SUMPRODUCT(('SVB-Coring'!$S$2:$S$40&gt;=P86)*('SVB-Coring'!$S$2:$S$40&lt;=P87)*(ISNUMBER('SVB-Coring'!$F$2:$F$40))*('SVB-Coring'!$F$2:$F$40))</f>
        <v>0</v>
      </c>
      <c r="Q8" s="677" cm="1">
        <f t="array" ref="Q8">SUMPRODUCT(('SVB-Coring'!$S$2:$S$40&gt;=Q86)*('SVB-Coring'!$S$2:$S$40&lt;=Q87)*(ISNUMBER('SVB-Coring'!$F$2:$F$40))*('SVB-Coring'!$F$2:$F$40))</f>
        <v>0</v>
      </c>
      <c r="R8" s="677" cm="1">
        <f t="array" ref="R8">SUMPRODUCT(('SVB-Coring'!$S$2:$S$40&gt;=R86)*('SVB-Coring'!$S$2:$S$40&lt;=R87)*(ISNUMBER('SVB-Coring'!$F$2:$F$40))*('SVB-Coring'!$F$2:$F$40))</f>
        <v>0</v>
      </c>
      <c r="S8" s="677" cm="1">
        <f t="array" ref="S8">SUMPRODUCT(('SVB-Coring'!$S$2:$S$40&gt;=S86)*('SVB-Coring'!$S$2:$S$40&lt;=S87)*(ISNUMBER('SVB-Coring'!$F$2:$F$40))*('SVB-Coring'!$F$2:$F$40))</f>
        <v>0</v>
      </c>
      <c r="T8" s="677" cm="1">
        <f t="array" ref="T8">SUMPRODUCT(('SVB-Coring'!$S$2:$S$40&gt;=T86)*('SVB-Coring'!$S$2:$S$40&lt;=T87)*(ISNUMBER('SVB-Coring'!$F$2:$F$40))*('SVB-Coring'!$F$2:$F$40))</f>
        <v>0</v>
      </c>
      <c r="U8" s="677" cm="1">
        <f t="array" ref="U8">SUMPRODUCT(('SVB-Coring'!$S$2:$S$40&gt;=U86)*('SVB-Coring'!$S$2:$S$40&lt;=U87)*(ISNUMBER('SVB-Coring'!$F$2:$F$40))*('SVB-Coring'!$F$2:$F$40))</f>
        <v>0</v>
      </c>
      <c r="V8" s="677" cm="1">
        <f t="array" ref="V8">SUMPRODUCT(('SVB-Coring'!$S$2:$S$40&gt;=V86)*('SVB-Coring'!$S$2:$S$40&lt;=V87)*(ISNUMBER('SVB-Coring'!$F$2:$F$40))*('SVB-Coring'!$F$2:$F$40))</f>
        <v>0</v>
      </c>
      <c r="W8" s="677" cm="1">
        <f t="array" ref="W8">SUMPRODUCT(('SVB-Coring'!$S$2:$S$40&gt;=W86)*('SVB-Coring'!$S$2:$S$40&lt;=W87)*(ISNUMBER('SVB-Coring'!$F$2:$F$40))*('SVB-Coring'!$F$2:$F$40))</f>
        <v>0</v>
      </c>
      <c r="X8" s="677" cm="1">
        <f t="array" ref="X8">SUMPRODUCT(('SVB-Coring'!$S$2:$S$40&gt;=X86)*('SVB-Coring'!$S$2:$S$40&lt;=X87)*(ISNUMBER('SVB-Coring'!$F$2:$F$40))*('SVB-Coring'!$F$2:$F$40))</f>
        <v>0</v>
      </c>
      <c r="Y8" s="677" cm="1">
        <f t="array" ref="Y8">SUMPRODUCT(('SVB-Coring'!$S$2:$S$40&gt;=Y86)*('SVB-Coring'!$S$2:$S$40&lt;=Y87)*(ISNUMBER('SVB-Coring'!$F$2:$F$40))*('SVB-Coring'!$F$2:$F$40))</f>
        <v>0</v>
      </c>
      <c r="Z8" s="677" cm="1">
        <f t="array" ref="Z8">SUMPRODUCT(('SVB-Coring'!$S$2:$S$40&gt;=Z86)*('SVB-Coring'!$S$2:$S$40&lt;=Z87)*(ISNUMBER('SVB-Coring'!$F$2:$F$40))*('SVB-Coring'!$F$2:$F$40))</f>
        <v>0</v>
      </c>
      <c r="AA8" s="677" cm="1">
        <f t="array" ref="AA8">SUMPRODUCT(('SVB-Coring'!$S$2:$S$40&gt;=AA86)*('SVB-Coring'!$S$2:$S$40&lt;=AA87)*(ISNUMBER('SVB-Coring'!$F$2:$F$40))*('SVB-Coring'!$F$2:$F$40))</f>
        <v>0</v>
      </c>
      <c r="AB8" s="677" cm="1">
        <f t="array" ref="AB8">SUMPRODUCT(('SVB-Coring'!$S$2:$S$40&gt;=AB86)*('SVB-Coring'!$S$2:$S$40&lt;=AB87)*(ISNUMBER('SVB-Coring'!$F$2:$F$40))*('SVB-Coring'!$F$2:$F$40))</f>
        <v>0</v>
      </c>
      <c r="AC8" s="677" cm="1">
        <f t="array" ref="AC8">SUMPRODUCT(('SVB-Coring'!$S$2:$S$40&gt;=AC86)*('SVB-Coring'!$S$2:$S$40&lt;=AC87)*(ISNUMBER('SVB-Coring'!$F$2:$F$40))*('SVB-Coring'!$F$2:$F$40))</f>
        <v>0</v>
      </c>
      <c r="AD8" s="677" cm="1">
        <f t="array" ref="AD8">SUMPRODUCT(('SVB-Coring'!$S$2:$S$40&gt;=AD86)*('SVB-Coring'!$S$2:$S$40&lt;=AD87)*(ISNUMBER('SVB-Coring'!$F$2:$F$40))*('SVB-Coring'!$F$2:$F$40))</f>
        <v>0</v>
      </c>
      <c r="AE8" s="677" cm="1">
        <f t="array" ref="AE8">SUMPRODUCT(('SVB-Coring'!$S$2:$S$40&gt;=AE86)*('SVB-Coring'!$S$2:$S$40&lt;=AE87)*(ISNUMBER('SVB-Coring'!$F$2:$F$40))*('SVB-Coring'!$F$2:$F$40))</f>
        <v>0</v>
      </c>
      <c r="AF8" s="677" cm="1">
        <f t="array" ref="AF8">SUMPRODUCT(('SVB-Coring'!$S$2:$S$40&gt;=AF86)*('SVB-Coring'!$S$2:$S$40&lt;=AF87)*(ISNUMBER('SVB-Coring'!$F$2:$F$40))*('SVB-Coring'!$F$2:$F$40))</f>
        <v>0</v>
      </c>
      <c r="AG8" s="677" cm="1">
        <f t="array" ref="AG8">SUMPRODUCT(('SVB-Coring'!$S$2:$S$40&gt;=AG86)*('SVB-Coring'!$S$2:$S$40&lt;=AG87)*(ISNUMBER('SVB-Coring'!$F$2:$F$40))*('SVB-Coring'!$F$2:$F$40))</f>
        <v>0</v>
      </c>
      <c r="AH8" s="677" cm="1">
        <f t="array" ref="AH8">SUMPRODUCT(('SVB-Coring'!$S$2:$S$40&gt;=AH86)*('SVB-Coring'!$S$2:$S$40&lt;=AH87)*(ISNUMBER('SVB-Coring'!$F$2:$F$40))*('SVB-Coring'!$F$2:$F$40))</f>
        <v>0</v>
      </c>
      <c r="AI8" s="677" cm="1">
        <f t="array" ref="AI8">SUMPRODUCT(('SVB-Coring'!$S$2:$S$40&gt;=AI86)*('SVB-Coring'!$S$2:$S$40&lt;=AI87)*(ISNUMBER('SVB-Coring'!$F$2:$F$40))*('SVB-Coring'!$F$2:$F$40))</f>
        <v>0</v>
      </c>
      <c r="AJ8" s="677" cm="1">
        <f t="array" ref="AJ8">SUMPRODUCT(('SVB-Coring'!$S$2:$S$40&gt;=AJ86)*('SVB-Coring'!$S$2:$S$40&lt;=AJ87)*(ISNUMBER('SVB-Coring'!$F$2:$F$40))*('SVB-Coring'!$F$2:$F$40))</f>
        <v>0</v>
      </c>
      <c r="AK8" s="677" cm="1">
        <f t="array" ref="AK8">SUMPRODUCT(('SVB-Coring'!$S$2:$S$40&gt;=AK86)*('SVB-Coring'!$S$2:$S$40&lt;=AK87)*(ISNUMBER('SVB-Coring'!$F$2:$F$40))*('SVB-Coring'!$F$2:$F$40))</f>
        <v>0</v>
      </c>
      <c r="AL8" s="677" cm="1">
        <f t="array" ref="AL8">SUMPRODUCT(('SVB-Coring'!$S$2:$S$40&gt;=AL86)*('SVB-Coring'!$S$2:$S$40&lt;=AL87)*(ISNUMBER('SVB-Coring'!$F$2:$F$40))*('SVB-Coring'!$F$2:$F$40))</f>
        <v>0</v>
      </c>
      <c r="AM8" s="677" cm="1">
        <f t="array" ref="AM8">SUMPRODUCT(('SVB-Coring'!$S$2:$S$40&gt;=AM86)*('SVB-Coring'!$S$2:$S$40&lt;=AM87)*(ISNUMBER('SVB-Coring'!$F$2:$F$40))*('SVB-Coring'!$F$2:$F$40))</f>
        <v>0</v>
      </c>
      <c r="AN8" s="675">
        <f>SUM(B8:AM8)</f>
        <v>39</v>
      </c>
    </row>
    <row r="9" spans="1:40" ht="18" customHeight="1">
      <c r="A9" s="678" t="s">
        <v>1350</v>
      </c>
      <c r="B9" s="679">
        <f t="shared" ref="B9:AN9" si="0">IF(B7=0,0,B8/B7)</f>
        <v>1</v>
      </c>
      <c r="C9" s="679">
        <f t="shared" si="0"/>
        <v>1</v>
      </c>
      <c r="D9" s="679">
        <f t="shared" si="0"/>
        <v>1</v>
      </c>
      <c r="E9" s="679">
        <f t="shared" si="0"/>
        <v>1</v>
      </c>
      <c r="F9" s="679">
        <f t="shared" si="0"/>
        <v>1</v>
      </c>
      <c r="G9" s="679">
        <f t="shared" si="0"/>
        <v>1</v>
      </c>
      <c r="H9" s="679">
        <f t="shared" si="0"/>
        <v>1</v>
      </c>
      <c r="I9" s="679">
        <f t="shared" si="0"/>
        <v>0</v>
      </c>
      <c r="J9" s="679">
        <f t="shared" si="0"/>
        <v>1</v>
      </c>
      <c r="K9" s="679">
        <f t="shared" si="0"/>
        <v>1</v>
      </c>
      <c r="L9" s="679">
        <f t="shared" si="0"/>
        <v>1</v>
      </c>
      <c r="M9" s="679">
        <f t="shared" si="0"/>
        <v>0</v>
      </c>
      <c r="N9" s="679">
        <f t="shared" si="0"/>
        <v>0</v>
      </c>
      <c r="O9" s="679">
        <f t="shared" si="0"/>
        <v>0</v>
      </c>
      <c r="P9" s="679">
        <f t="shared" si="0"/>
        <v>0</v>
      </c>
      <c r="Q9" s="679">
        <f t="shared" si="0"/>
        <v>0</v>
      </c>
      <c r="R9" s="679">
        <f t="shared" si="0"/>
        <v>0</v>
      </c>
      <c r="S9" s="679">
        <f t="shared" si="0"/>
        <v>0</v>
      </c>
      <c r="T9" s="679">
        <f t="shared" si="0"/>
        <v>0</v>
      </c>
      <c r="U9" s="679">
        <f t="shared" si="0"/>
        <v>0</v>
      </c>
      <c r="V9" s="679">
        <f t="shared" si="0"/>
        <v>0</v>
      </c>
      <c r="W9" s="679">
        <f t="shared" si="0"/>
        <v>0</v>
      </c>
      <c r="X9" s="679">
        <f t="shared" si="0"/>
        <v>0</v>
      </c>
      <c r="Y9" s="679">
        <f t="shared" si="0"/>
        <v>0</v>
      </c>
      <c r="Z9" s="679">
        <f t="shared" si="0"/>
        <v>0</v>
      </c>
      <c r="AA9" s="679">
        <f t="shared" si="0"/>
        <v>0</v>
      </c>
      <c r="AB9" s="679">
        <f t="shared" si="0"/>
        <v>0</v>
      </c>
      <c r="AC9" s="679">
        <f t="shared" si="0"/>
        <v>0</v>
      </c>
      <c r="AD9" s="679">
        <f t="shared" si="0"/>
        <v>0</v>
      </c>
      <c r="AE9" s="679">
        <f t="shared" si="0"/>
        <v>0</v>
      </c>
      <c r="AF9" s="679">
        <f t="shared" si="0"/>
        <v>0</v>
      </c>
      <c r="AG9" s="679">
        <f t="shared" si="0"/>
        <v>0</v>
      </c>
      <c r="AH9" s="679">
        <f t="shared" si="0"/>
        <v>0</v>
      </c>
      <c r="AI9" s="679">
        <f t="shared" si="0"/>
        <v>0</v>
      </c>
      <c r="AJ9" s="679">
        <f t="shared" si="0"/>
        <v>0</v>
      </c>
      <c r="AK9" s="679">
        <f t="shared" si="0"/>
        <v>0</v>
      </c>
      <c r="AL9" s="679">
        <f t="shared" si="0"/>
        <v>0</v>
      </c>
      <c r="AM9" s="679">
        <f t="shared" si="0"/>
        <v>0</v>
      </c>
      <c r="AN9" s="680">
        <f t="shared" si="0"/>
        <v>1</v>
      </c>
    </row>
    <row r="10" spans="1:40" ht="18" customHeight="1">
      <c r="A10" s="681" t="s">
        <v>1351</v>
      </c>
      <c r="B10" s="682">
        <f>SUM($B7:B7)</f>
        <v>2</v>
      </c>
      <c r="C10" s="682">
        <f>SUM($B7:C7)</f>
        <v>4</v>
      </c>
      <c r="D10" s="682">
        <f>SUM($B7:D7)</f>
        <v>11</v>
      </c>
      <c r="E10" s="682">
        <f>SUM($B7:E7)</f>
        <v>14</v>
      </c>
      <c r="F10" s="682">
        <f>SUM($B7:F7)</f>
        <v>18</v>
      </c>
      <c r="G10" s="682">
        <f>SUM($B7:G7)</f>
        <v>24</v>
      </c>
      <c r="H10" s="682">
        <f>SUM($B7:H7)</f>
        <v>26</v>
      </c>
      <c r="I10" s="682">
        <f>SUM($B7:I7)</f>
        <v>26</v>
      </c>
      <c r="J10" s="682">
        <f>SUM($B7:J7)</f>
        <v>28</v>
      </c>
      <c r="K10" s="682">
        <f>SUM($B7:K7)</f>
        <v>34</v>
      </c>
      <c r="L10" s="682">
        <f>SUM($B7:L7)</f>
        <v>39</v>
      </c>
      <c r="M10" s="682">
        <f>SUM($B7:M7)</f>
        <v>39</v>
      </c>
      <c r="N10" s="682">
        <f>SUM($B7:N7)</f>
        <v>39</v>
      </c>
      <c r="O10" s="682">
        <f>SUM($B7:O7)</f>
        <v>39</v>
      </c>
      <c r="P10" s="682">
        <f>SUM($B7:P7)</f>
        <v>39</v>
      </c>
      <c r="Q10" s="682">
        <f>SUM($B7:Q7)</f>
        <v>39</v>
      </c>
      <c r="R10" s="682">
        <f>SUM($B7:R7)</f>
        <v>39</v>
      </c>
      <c r="S10" s="682">
        <f>SUM($B7:S7)</f>
        <v>39</v>
      </c>
      <c r="T10" s="682">
        <f>SUM($B7:T7)</f>
        <v>39</v>
      </c>
      <c r="U10" s="682">
        <f>SUM($B7:U7)</f>
        <v>39</v>
      </c>
      <c r="V10" s="682">
        <f>SUM($B7:V7)</f>
        <v>39</v>
      </c>
      <c r="W10" s="682">
        <f>SUM($B7:W7)</f>
        <v>39</v>
      </c>
      <c r="X10" s="682">
        <f>SUM($B7:X7)</f>
        <v>39</v>
      </c>
      <c r="Y10" s="682">
        <f>SUM($B7:Y7)</f>
        <v>39</v>
      </c>
      <c r="Z10" s="682">
        <f>SUM($B7:Z7)</f>
        <v>39</v>
      </c>
      <c r="AA10" s="682">
        <f>SUM($B7:AA7)</f>
        <v>39</v>
      </c>
      <c r="AB10" s="682">
        <f>SUM($B7:AB7)</f>
        <v>39</v>
      </c>
      <c r="AC10" s="682">
        <f>SUM($B7:AC7)</f>
        <v>39</v>
      </c>
      <c r="AD10" s="682">
        <f>SUM($B7:AD7)</f>
        <v>39</v>
      </c>
      <c r="AE10" s="682">
        <f>SUM($B7:AE7)</f>
        <v>39</v>
      </c>
      <c r="AF10" s="682">
        <f>SUM($B7:AF7)</f>
        <v>39</v>
      </c>
      <c r="AG10" s="682">
        <f>SUM($B7:AG7)</f>
        <v>39</v>
      </c>
      <c r="AH10" s="682">
        <f>SUM($B7:AH7)</f>
        <v>39</v>
      </c>
      <c r="AI10" s="682">
        <f>SUM($B7:AI7)</f>
        <v>39</v>
      </c>
      <c r="AJ10" s="682">
        <f>SUM($B7:AJ7)</f>
        <v>39</v>
      </c>
      <c r="AK10" s="682">
        <f>SUM($B7:AK7)</f>
        <v>39</v>
      </c>
      <c r="AL10" s="682">
        <f>SUM($B7:AL7)</f>
        <v>39</v>
      </c>
      <c r="AM10" s="682">
        <f>SUM($B7:AM7)</f>
        <v>39</v>
      </c>
      <c r="AN10" s="675">
        <f>AN7</f>
        <v>39</v>
      </c>
    </row>
    <row r="11" spans="1:40" ht="18" customHeight="1">
      <c r="A11" s="681" t="s">
        <v>1352</v>
      </c>
      <c r="B11" s="682">
        <f>SUM($B8:B8)</f>
        <v>2</v>
      </c>
      <c r="C11" s="682">
        <f>SUM($B8:C8)</f>
        <v>4</v>
      </c>
      <c r="D11" s="682">
        <f>SUM($B8:D8)</f>
        <v>11</v>
      </c>
      <c r="E11" s="682">
        <f>SUM($B8:E8)</f>
        <v>14</v>
      </c>
      <c r="F11" s="682">
        <f>SUM($B8:F8)</f>
        <v>18</v>
      </c>
      <c r="G11" s="682">
        <f>SUM($B8:G8)</f>
        <v>24</v>
      </c>
      <c r="H11" s="682">
        <f>SUM($B8:H8)</f>
        <v>26</v>
      </c>
      <c r="I11" s="682">
        <f>SUM($B8:I8)</f>
        <v>26</v>
      </c>
      <c r="J11" s="682">
        <f>SUM($B8:J8)</f>
        <v>28</v>
      </c>
      <c r="K11" s="682">
        <f>SUM($B8:K8)</f>
        <v>34</v>
      </c>
      <c r="L11" s="682">
        <f>SUM($B8:L8)</f>
        <v>39</v>
      </c>
      <c r="M11" s="682">
        <f>SUM($B8:M8)</f>
        <v>39</v>
      </c>
      <c r="N11" s="682">
        <f>SUM($B8:N8)</f>
        <v>39</v>
      </c>
      <c r="O11" s="682">
        <f>SUM($B8:O8)</f>
        <v>39</v>
      </c>
      <c r="P11" s="682">
        <f>SUM($B8:P8)</f>
        <v>39</v>
      </c>
      <c r="Q11" s="682">
        <f>SUM($B8:Q8)</f>
        <v>39</v>
      </c>
      <c r="R11" s="682">
        <f>SUM($B8:R8)</f>
        <v>39</v>
      </c>
      <c r="S11" s="682">
        <f>SUM($B8:S8)</f>
        <v>39</v>
      </c>
      <c r="T11" s="682">
        <f>SUM($B8:T8)</f>
        <v>39</v>
      </c>
      <c r="U11" s="682">
        <f>SUM($B8:U8)</f>
        <v>39</v>
      </c>
      <c r="V11" s="682">
        <f>SUM($B8:V8)</f>
        <v>39</v>
      </c>
      <c r="W11" s="682">
        <f>SUM($B8:W8)</f>
        <v>39</v>
      </c>
      <c r="X11" s="682">
        <f>SUM($B8:X8)</f>
        <v>39</v>
      </c>
      <c r="Y11" s="682">
        <f>SUM($B8:Y8)</f>
        <v>39</v>
      </c>
      <c r="Z11" s="682">
        <f>SUM($B8:Z8)</f>
        <v>39</v>
      </c>
      <c r="AA11" s="682">
        <f>SUM($B8:AA8)</f>
        <v>39</v>
      </c>
      <c r="AB11" s="682">
        <f>SUM($B8:AB8)</f>
        <v>39</v>
      </c>
      <c r="AC11" s="682">
        <f>SUM($B8:AC8)</f>
        <v>39</v>
      </c>
      <c r="AD11" s="682">
        <f>SUM($B8:AD8)</f>
        <v>39</v>
      </c>
      <c r="AE11" s="682">
        <f>SUM($B8:AE8)</f>
        <v>39</v>
      </c>
      <c r="AF11" s="682">
        <f>SUM($B8:AF8)</f>
        <v>39</v>
      </c>
      <c r="AG11" s="682">
        <f>SUM($B8:AG8)</f>
        <v>39</v>
      </c>
      <c r="AH11" s="682">
        <f>SUM($B8:AH8)</f>
        <v>39</v>
      </c>
      <c r="AI11" s="682">
        <f>SUM($B8:AI8)</f>
        <v>39</v>
      </c>
      <c r="AJ11" s="682">
        <f>SUM($B8:AJ8)</f>
        <v>39</v>
      </c>
      <c r="AK11" s="682">
        <f>SUM($B8:AK8)</f>
        <v>39</v>
      </c>
      <c r="AL11" s="682">
        <f>SUM($B8:AL8)</f>
        <v>39</v>
      </c>
      <c r="AM11" s="682">
        <f>SUM($B8:AM8)</f>
        <v>39</v>
      </c>
      <c r="AN11" s="675">
        <f>AN8</f>
        <v>39</v>
      </c>
    </row>
    <row r="12" spans="1:40" ht="18" customHeight="1">
      <c r="A12" s="683" t="s">
        <v>1353</v>
      </c>
      <c r="B12" s="684">
        <f>IF(AN7=0,0,B11/AN7)</f>
        <v>5.128205128205128E-2</v>
      </c>
      <c r="C12" s="684">
        <f>IF(AN7=0,0,C11/AN7)</f>
        <v>0.10256410256410256</v>
      </c>
      <c r="D12" s="684">
        <f>IF(AN7=0,0,D11/AN7)</f>
        <v>0.28205128205128205</v>
      </c>
      <c r="E12" s="684">
        <f>IF(AN7=0,0,E11/AN7)</f>
        <v>0.35897435897435898</v>
      </c>
      <c r="F12" s="684">
        <f>IF(AN7=0,0,F11/AN7)</f>
        <v>0.46153846153846156</v>
      </c>
      <c r="G12" s="684">
        <f>IF(AN7=0,0,G11/AN7)</f>
        <v>0.61538461538461542</v>
      </c>
      <c r="H12" s="684">
        <f>IF(AN7=0,0,H11/AN7)</f>
        <v>0.66666666666666663</v>
      </c>
      <c r="I12" s="684">
        <f>IF(AN7=0,0,I11/AN7)</f>
        <v>0.66666666666666663</v>
      </c>
      <c r="J12" s="684">
        <f>IF(AN7=0,0,J11/AN7)</f>
        <v>0.71794871794871795</v>
      </c>
      <c r="K12" s="684">
        <f>IF(AN7=0,0,K11/AN7)</f>
        <v>0.87179487179487181</v>
      </c>
      <c r="L12" s="684">
        <f>IF(AN7=0,0,L11/AN7)</f>
        <v>1</v>
      </c>
      <c r="M12" s="684">
        <f>IF(AN7=0,0,M11/AN7)</f>
        <v>1</v>
      </c>
      <c r="N12" s="684">
        <f>IF(AN7=0,0,N11/AN7)</f>
        <v>1</v>
      </c>
      <c r="O12" s="684">
        <f>IF(AN7=0,0,O11/AN7)</f>
        <v>1</v>
      </c>
      <c r="P12" s="684">
        <f>IF(AN7=0,0,P11/AN7)</f>
        <v>1</v>
      </c>
      <c r="Q12" s="684">
        <f>IF(AN7=0,0,Q11/AN7)</f>
        <v>1</v>
      </c>
      <c r="R12" s="684">
        <f>IF(AN7=0,0,R11/AN7)</f>
        <v>1</v>
      </c>
      <c r="S12" s="684">
        <f>IF(AN7=0,0,S11/AN7)</f>
        <v>1</v>
      </c>
      <c r="T12" s="684">
        <f>IF(AN7=0,0,T11/AN7)</f>
        <v>1</v>
      </c>
      <c r="U12" s="684">
        <f>IF(AN7=0,0,U11/AN7)</f>
        <v>1</v>
      </c>
      <c r="V12" s="684">
        <f>IF(AN7=0,0,V11/AN7)</f>
        <v>1</v>
      </c>
      <c r="W12" s="684">
        <f>IF(AN7=0,0,W11/AN7)</f>
        <v>1</v>
      </c>
      <c r="X12" s="684">
        <f>IF(AN7=0,0,X11/AN7)</f>
        <v>1</v>
      </c>
      <c r="Y12" s="684">
        <f>IF(AN7=0,0,Y11/AN7)</f>
        <v>1</v>
      </c>
      <c r="Z12" s="684">
        <f>IF(AN7=0,0,Z11/AN7)</f>
        <v>1</v>
      </c>
      <c r="AA12" s="684">
        <f>IF(AN7=0,0,AA11/AN7)</f>
        <v>1</v>
      </c>
      <c r="AB12" s="684">
        <f>IF(AN7=0,0,AB11/AN7)</f>
        <v>1</v>
      </c>
      <c r="AC12" s="684">
        <f>IF(AN7=0,0,AC11/AN7)</f>
        <v>1</v>
      </c>
      <c r="AD12" s="684">
        <f>IF(AN7=0,0,AD11/AN7)</f>
        <v>1</v>
      </c>
      <c r="AE12" s="684">
        <f>IF(AN7=0,0,AE11/AN7)</f>
        <v>1</v>
      </c>
      <c r="AF12" s="684">
        <f>IF(AN7=0,0,AF11/AN7)</f>
        <v>1</v>
      </c>
      <c r="AG12" s="684">
        <f>IF(AN7=0,0,AG11/AN7)</f>
        <v>1</v>
      </c>
      <c r="AH12" s="684">
        <f>IF(AN7=0,0,AH11/AN7)</f>
        <v>1</v>
      </c>
      <c r="AI12" s="684">
        <f>IF(AN7=0,0,AI11/AN7)</f>
        <v>1</v>
      </c>
      <c r="AJ12" s="684">
        <f>IF(AN7=0,0,AJ11/AN7)</f>
        <v>1</v>
      </c>
      <c r="AK12" s="684">
        <f>IF(AN7=0,0,AK11/AN7)</f>
        <v>1</v>
      </c>
      <c r="AL12" s="684">
        <f>IF(AN7=0,0,AL11/AN7)</f>
        <v>1</v>
      </c>
      <c r="AM12" s="684">
        <f>IF(AN7=0,0,AM11/AN7)</f>
        <v>1</v>
      </c>
      <c r="AN12" s="680">
        <f>IF(AN7=0,0,AN11/AN7)</f>
        <v>1</v>
      </c>
    </row>
    <row r="13" spans="1:40" ht="4.95" customHeight="1"/>
    <row r="14" spans="1:40" ht="22.2" customHeight="1">
      <c r="A14" s="1007" t="s">
        <v>1354</v>
      </c>
      <c r="B14" s="1000"/>
      <c r="C14" s="1000"/>
      <c r="D14" s="1000"/>
      <c r="E14" s="1000"/>
      <c r="F14" s="1000"/>
      <c r="G14" s="1000"/>
      <c r="H14" s="1000"/>
      <c r="I14" s="1000"/>
      <c r="J14" s="1000"/>
      <c r="K14" s="1000"/>
      <c r="L14" s="1000"/>
      <c r="M14" s="1000"/>
      <c r="N14" s="1000"/>
      <c r="O14" s="1000"/>
      <c r="P14" s="1000"/>
      <c r="Q14" s="1000"/>
      <c r="R14" s="1000"/>
      <c r="S14" s="1000"/>
      <c r="T14" s="1000"/>
      <c r="U14" s="1000"/>
      <c r="V14" s="1000"/>
      <c r="W14" s="1000"/>
      <c r="X14" s="1000"/>
      <c r="Y14" s="1000"/>
      <c r="Z14" s="1000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0"/>
      <c r="AL14" s="1000"/>
      <c r="AM14" s="1000"/>
      <c r="AN14" s="1001"/>
    </row>
    <row r="15" spans="1:40" ht="18" customHeight="1">
      <c r="A15" s="673" t="s">
        <v>1348</v>
      </c>
      <c r="B15" s="674" cm="1">
        <f t="array" ref="B15">SUMPRODUCT(('SVB-Coring'!$T$2:$T$40&gt;=B86)*('SVB-Coring'!$T$2:$T$40&lt;=B87)*(ISNUMBER('SVB-Coring'!$K$2:$K$40))*('SVB-Coring'!$K$2:$K$40))</f>
        <v>0</v>
      </c>
      <c r="C15" s="674" cm="1">
        <f t="array" ref="C15">SUMPRODUCT(('SVB-Coring'!$T$2:$T$40&gt;=C86)*('SVB-Coring'!$T$2:$T$40&lt;=C87)*(ISNUMBER('SVB-Coring'!$K$2:$K$40))*('SVB-Coring'!$K$2:$K$40))</f>
        <v>0</v>
      </c>
      <c r="D15" s="674" cm="1">
        <f t="array" ref="D15">SUMPRODUCT(('SVB-Coring'!$T$2:$T$40&gt;=D86)*('SVB-Coring'!$T$2:$T$40&lt;=D87)*(ISNUMBER('SVB-Coring'!$K$2:$K$40))*('SVB-Coring'!$K$2:$K$40))</f>
        <v>0</v>
      </c>
      <c r="E15" s="674" cm="1">
        <f t="array" ref="E15">SUMPRODUCT(('SVB-Coring'!$T$2:$T$40&gt;=E86)*('SVB-Coring'!$T$2:$T$40&lt;=E87)*(ISNUMBER('SVB-Coring'!$K$2:$K$40))*('SVB-Coring'!$K$2:$K$40))</f>
        <v>0</v>
      </c>
      <c r="F15" s="674" cm="1">
        <f t="array" ref="F15">SUMPRODUCT(('SVB-Coring'!$T$2:$T$40&gt;=F86)*('SVB-Coring'!$T$2:$T$40&lt;=F87)*(ISNUMBER('SVB-Coring'!$K$2:$K$40))*('SVB-Coring'!$K$2:$K$40))</f>
        <v>0</v>
      </c>
      <c r="G15" s="674" cm="1">
        <f t="array" ref="G15">SUMPRODUCT(('SVB-Coring'!$T$2:$T$40&gt;=G86)*('SVB-Coring'!$T$2:$T$40&lt;=G87)*(ISNUMBER('SVB-Coring'!$K$2:$K$40))*('SVB-Coring'!$K$2:$K$40))</f>
        <v>0</v>
      </c>
      <c r="H15" s="674" cm="1">
        <f t="array" ref="H15">SUMPRODUCT(('SVB-Coring'!$T$2:$T$40&gt;=H86)*('SVB-Coring'!$T$2:$T$40&lt;=H87)*(ISNUMBER('SVB-Coring'!$K$2:$K$40))*('SVB-Coring'!$K$2:$K$40))</f>
        <v>0</v>
      </c>
      <c r="I15" s="674" cm="1">
        <f t="array" ref="I15">SUMPRODUCT(('SVB-Coring'!$T$2:$T$40&gt;=I86)*('SVB-Coring'!$T$2:$T$40&lt;=I87)*(ISNUMBER('SVB-Coring'!$K$2:$K$40))*('SVB-Coring'!$K$2:$K$40))</f>
        <v>0</v>
      </c>
      <c r="J15" s="674" cm="1">
        <f t="array" ref="J15">SUMPRODUCT(('SVB-Coring'!$T$2:$T$40&gt;=J86)*('SVB-Coring'!$T$2:$T$40&lt;=J87)*(ISNUMBER('SVB-Coring'!$K$2:$K$40))*('SVB-Coring'!$K$2:$K$40))</f>
        <v>0</v>
      </c>
      <c r="K15" s="674" cm="1">
        <f t="array" ref="K15">SUMPRODUCT(('SVB-Coring'!$T$2:$T$40&gt;=K86)*('SVB-Coring'!$T$2:$T$40&lt;=K87)*(ISNUMBER('SVB-Coring'!$K$2:$K$40))*('SVB-Coring'!$K$2:$K$40))</f>
        <v>0</v>
      </c>
      <c r="L15" s="674" cm="1">
        <f t="array" ref="L15">SUMPRODUCT(('SVB-Coring'!$T$2:$T$40&gt;=L86)*('SVB-Coring'!$T$2:$T$40&lt;=L87)*(ISNUMBER('SVB-Coring'!$K$2:$K$40))*('SVB-Coring'!$K$2:$K$40))</f>
        <v>1</v>
      </c>
      <c r="M15" s="674" cm="1">
        <f t="array" ref="M15">SUMPRODUCT(('SVB-Coring'!$T$2:$T$40&gt;=M86)*('SVB-Coring'!$T$2:$T$40&lt;=M87)*(ISNUMBER('SVB-Coring'!$K$2:$K$40))*('SVB-Coring'!$K$2:$K$40))</f>
        <v>0</v>
      </c>
      <c r="N15" s="674" cm="1">
        <f t="array" ref="N15">SUMPRODUCT(('SVB-Coring'!$T$2:$T$40&gt;=N86)*('SVB-Coring'!$T$2:$T$40&lt;=N87)*(ISNUMBER('SVB-Coring'!$K$2:$K$40))*('SVB-Coring'!$K$2:$K$40))</f>
        <v>0</v>
      </c>
      <c r="O15" s="674" cm="1">
        <f t="array" ref="O15">SUMPRODUCT(('SVB-Coring'!$T$2:$T$40&gt;=O86)*('SVB-Coring'!$T$2:$T$40&lt;=O87)*(ISNUMBER('SVB-Coring'!$K$2:$K$40))*('SVB-Coring'!$K$2:$K$40))</f>
        <v>1</v>
      </c>
      <c r="P15" s="674" cm="1">
        <f t="array" ref="P15">SUMPRODUCT(('SVB-Coring'!$T$2:$T$40&gt;=P86)*('SVB-Coring'!$T$2:$T$40&lt;=P87)*(ISNUMBER('SVB-Coring'!$K$2:$K$40))*('SVB-Coring'!$K$2:$K$40))</f>
        <v>2</v>
      </c>
      <c r="Q15" s="674" cm="1">
        <f t="array" ref="Q15">SUMPRODUCT(('SVB-Coring'!$T$2:$T$40&gt;=Q86)*('SVB-Coring'!$T$2:$T$40&lt;=Q87)*(ISNUMBER('SVB-Coring'!$K$2:$K$40))*('SVB-Coring'!$K$2:$K$40))</f>
        <v>1</v>
      </c>
      <c r="R15" s="674" cm="1">
        <f t="array" ref="R15">SUMPRODUCT(('SVB-Coring'!$T$2:$T$40&gt;=R86)*('SVB-Coring'!$T$2:$T$40&lt;=R87)*(ISNUMBER('SVB-Coring'!$K$2:$K$40))*('SVB-Coring'!$K$2:$K$40))</f>
        <v>1</v>
      </c>
      <c r="S15" s="674" cm="1">
        <f t="array" ref="S15">SUMPRODUCT(('SVB-Coring'!$T$2:$T$40&gt;=S86)*('SVB-Coring'!$T$2:$T$40&lt;=S87)*(ISNUMBER('SVB-Coring'!$K$2:$K$40))*('SVB-Coring'!$K$2:$K$40))</f>
        <v>1</v>
      </c>
      <c r="T15" s="674" cm="1">
        <f t="array" ref="T15">SUMPRODUCT(('SVB-Coring'!$T$2:$T$40&gt;=T86)*('SVB-Coring'!$T$2:$T$40&lt;=T87)*(ISNUMBER('SVB-Coring'!$K$2:$K$40))*('SVB-Coring'!$K$2:$K$40))</f>
        <v>2</v>
      </c>
      <c r="U15" s="674" cm="1">
        <f t="array" ref="U15">SUMPRODUCT(('SVB-Coring'!$T$2:$T$40&gt;=U86)*('SVB-Coring'!$T$2:$T$40&lt;=U87)*(ISNUMBER('SVB-Coring'!$K$2:$K$40))*('SVB-Coring'!$K$2:$K$40))</f>
        <v>2</v>
      </c>
      <c r="V15" s="674" cm="1">
        <f t="array" ref="V15">SUMPRODUCT(('SVB-Coring'!$T$2:$T$40&gt;=V86)*('SVB-Coring'!$T$2:$T$40&lt;=V87)*(ISNUMBER('SVB-Coring'!$K$2:$K$40))*('SVB-Coring'!$K$2:$K$40))</f>
        <v>2</v>
      </c>
      <c r="W15" s="674" cm="1">
        <f t="array" ref="W15">SUMPRODUCT(('SVB-Coring'!$T$2:$T$40&gt;=W86)*('SVB-Coring'!$T$2:$T$40&lt;=W87)*(ISNUMBER('SVB-Coring'!$K$2:$K$40))*('SVB-Coring'!$K$2:$K$40))</f>
        <v>2</v>
      </c>
      <c r="X15" s="674" cm="1">
        <f t="array" ref="X15">SUMPRODUCT(('SVB-Coring'!$T$2:$T$40&gt;=X86)*('SVB-Coring'!$T$2:$T$40&lt;=X87)*(ISNUMBER('SVB-Coring'!$K$2:$K$40))*('SVB-Coring'!$K$2:$K$40))</f>
        <v>0</v>
      </c>
      <c r="Y15" s="674" cm="1">
        <f t="array" ref="Y15">SUMPRODUCT(('SVB-Coring'!$T$2:$T$40&gt;=Y86)*('SVB-Coring'!$T$2:$T$40&lt;=Y87)*(ISNUMBER('SVB-Coring'!$K$2:$K$40))*('SVB-Coring'!$K$2:$K$40))</f>
        <v>2</v>
      </c>
      <c r="Z15" s="674" cm="1">
        <f t="array" ref="Z15">SUMPRODUCT(('SVB-Coring'!$T$2:$T$40&gt;=Z86)*('SVB-Coring'!$T$2:$T$40&lt;=Z87)*(ISNUMBER('SVB-Coring'!$K$2:$K$40))*('SVB-Coring'!$K$2:$K$40))</f>
        <v>2</v>
      </c>
      <c r="AA15" s="674" cm="1">
        <f t="array" ref="AA15">SUMPRODUCT(('SVB-Coring'!$T$2:$T$40&gt;=AA86)*('SVB-Coring'!$T$2:$T$40&lt;=AA87)*(ISNUMBER('SVB-Coring'!$K$2:$K$40))*('SVB-Coring'!$K$2:$K$40))</f>
        <v>2</v>
      </c>
      <c r="AB15" s="674" cm="1">
        <f t="array" ref="AB15">SUMPRODUCT(('SVB-Coring'!$T$2:$T$40&gt;=AB86)*('SVB-Coring'!$T$2:$T$40&lt;=AB87)*(ISNUMBER('SVB-Coring'!$K$2:$K$40))*('SVB-Coring'!$K$2:$K$40))</f>
        <v>2</v>
      </c>
      <c r="AC15" s="674" cm="1">
        <f t="array" ref="AC15">SUMPRODUCT(('SVB-Coring'!$T$2:$T$40&gt;=AC86)*('SVB-Coring'!$T$2:$T$40&lt;=AC87)*(ISNUMBER('SVB-Coring'!$K$2:$K$40))*('SVB-Coring'!$K$2:$K$40))</f>
        <v>2</v>
      </c>
      <c r="AD15" s="674" cm="1">
        <f t="array" ref="AD15">SUMPRODUCT(('SVB-Coring'!$T$2:$T$40&gt;=AD86)*('SVB-Coring'!$T$2:$T$40&lt;=AD87)*(ISNUMBER('SVB-Coring'!$K$2:$K$40))*('SVB-Coring'!$K$2:$K$40))</f>
        <v>2</v>
      </c>
      <c r="AE15" s="674" cm="1">
        <f t="array" ref="AE15">SUMPRODUCT(('SVB-Coring'!$T$2:$T$40&gt;=AE86)*('SVB-Coring'!$T$2:$T$40&lt;=AE87)*(ISNUMBER('SVB-Coring'!$K$2:$K$40))*('SVB-Coring'!$K$2:$K$40))</f>
        <v>2</v>
      </c>
      <c r="AF15" s="674" cm="1">
        <f t="array" ref="AF15">SUMPRODUCT(('SVB-Coring'!$T$2:$T$40&gt;=AF86)*('SVB-Coring'!$T$2:$T$40&lt;=AF87)*(ISNUMBER('SVB-Coring'!$K$2:$K$40))*('SVB-Coring'!$K$2:$K$40))</f>
        <v>2</v>
      </c>
      <c r="AG15" s="674" cm="1">
        <f t="array" ref="AG15">SUMPRODUCT(('SVB-Coring'!$T$2:$T$40&gt;=AG86)*('SVB-Coring'!$T$2:$T$40&lt;=AG87)*(ISNUMBER('SVB-Coring'!$K$2:$K$40))*('SVB-Coring'!$K$2:$K$40))</f>
        <v>2</v>
      </c>
      <c r="AH15" s="674" cm="1">
        <f t="array" ref="AH15">SUMPRODUCT(('SVB-Coring'!$T$2:$T$40&gt;=AH86)*('SVB-Coring'!$T$2:$T$40&lt;=AH87)*(ISNUMBER('SVB-Coring'!$K$2:$K$40))*('SVB-Coring'!$K$2:$K$40))</f>
        <v>2</v>
      </c>
      <c r="AI15" s="674" cm="1">
        <f t="array" ref="AI15">SUMPRODUCT(('SVB-Coring'!$T$2:$T$40&gt;=AI86)*('SVB-Coring'!$T$2:$T$40&lt;=AI87)*(ISNUMBER('SVB-Coring'!$K$2:$K$40))*('SVB-Coring'!$K$2:$K$40))</f>
        <v>2</v>
      </c>
      <c r="AJ15" s="674" cm="1">
        <f t="array" ref="AJ15">SUMPRODUCT(('SVB-Coring'!$T$2:$T$40&gt;=AJ86)*('SVB-Coring'!$T$2:$T$40&lt;=AJ87)*(ISNUMBER('SVB-Coring'!$K$2:$K$40))*('SVB-Coring'!$K$2:$K$40))</f>
        <v>2</v>
      </c>
      <c r="AK15" s="674" cm="1">
        <f t="array" ref="AK15">SUMPRODUCT(('SVB-Coring'!$T$2:$T$40&gt;=AK86)*('SVB-Coring'!$T$2:$T$40&lt;=AK87)*(ISNUMBER('SVB-Coring'!$K$2:$K$40))*('SVB-Coring'!$K$2:$K$40))</f>
        <v>0</v>
      </c>
      <c r="AL15" s="674" cm="1">
        <f t="array" ref="AL15">SUMPRODUCT(('SVB-Coring'!$T$2:$T$40&gt;=AL86)*('SVB-Coring'!$T$2:$T$40&lt;=AL87)*(ISNUMBER('SVB-Coring'!$K$2:$K$40))*('SVB-Coring'!$K$2:$K$40))</f>
        <v>0</v>
      </c>
      <c r="AM15" s="674" cm="1">
        <f t="array" ref="AM15">SUMPRODUCT(('SVB-Coring'!$T$2:$T$40&gt;=AM86)*('SVB-Coring'!$T$2:$T$40&lt;=AM87)*(ISNUMBER('SVB-Coring'!$K$2:$K$40))*('SVB-Coring'!$K$2:$K$40))</f>
        <v>0</v>
      </c>
      <c r="AN15" s="675" cm="1">
        <f t="array" ref="AN15">SUMPRODUCT((ISNUMBER('SVB-Coring'!$T$2:$T$40))*(ISNUMBER('SVB-Coring'!$K$2:$K$40))*('SVB-Coring'!$K$2:$K$40))</f>
        <v>39</v>
      </c>
    </row>
    <row r="16" spans="1:40" ht="18" customHeight="1">
      <c r="A16" s="676" t="s">
        <v>1349</v>
      </c>
      <c r="B16" s="677" cm="1">
        <f t="array" ref="B16">SUMPRODUCT(('SVB-Coring'!$U$2:$U$40&gt;=B86)*('SVB-Coring'!$U$2:$U$40&lt;=B87)*(ISNUMBER('SVB-Coring'!$K$2:$K$40))*('SVB-Coring'!$K$2:$K$40))</f>
        <v>0</v>
      </c>
      <c r="C16" s="677" cm="1">
        <f t="array" ref="C16">SUMPRODUCT(('SVB-Coring'!$U$2:$U$40&gt;=C86)*('SVB-Coring'!$U$2:$U$40&lt;=C87)*(ISNUMBER('SVB-Coring'!$K$2:$K$40))*('SVB-Coring'!$K$2:$K$40))</f>
        <v>0</v>
      </c>
      <c r="D16" s="677" cm="1">
        <f t="array" ref="D16">SUMPRODUCT(('SVB-Coring'!$U$2:$U$40&gt;=D86)*('SVB-Coring'!$U$2:$U$40&lt;=D87)*(ISNUMBER('SVB-Coring'!$K$2:$K$40))*('SVB-Coring'!$K$2:$K$40))</f>
        <v>0</v>
      </c>
      <c r="E16" s="677" cm="1">
        <f t="array" ref="E16">SUMPRODUCT(('SVB-Coring'!$U$2:$U$40&gt;=E86)*('SVB-Coring'!$U$2:$U$40&lt;=E87)*(ISNUMBER('SVB-Coring'!$K$2:$K$40))*('SVB-Coring'!$K$2:$K$40))</f>
        <v>0</v>
      </c>
      <c r="F16" s="677" cm="1">
        <f t="array" ref="F16">SUMPRODUCT(('SVB-Coring'!$U$2:$U$40&gt;=F86)*('SVB-Coring'!$U$2:$U$40&lt;=F87)*(ISNUMBER('SVB-Coring'!$K$2:$K$40))*('SVB-Coring'!$K$2:$K$40))</f>
        <v>0</v>
      </c>
      <c r="G16" s="677" cm="1">
        <f t="array" ref="G16">SUMPRODUCT(('SVB-Coring'!$U$2:$U$40&gt;=G86)*('SVB-Coring'!$U$2:$U$40&lt;=G87)*(ISNUMBER('SVB-Coring'!$K$2:$K$40))*('SVB-Coring'!$K$2:$K$40))</f>
        <v>0</v>
      </c>
      <c r="H16" s="677" cm="1">
        <f t="array" ref="H16">SUMPRODUCT(('SVB-Coring'!$U$2:$U$40&gt;=H86)*('SVB-Coring'!$U$2:$U$40&lt;=H87)*(ISNUMBER('SVB-Coring'!$K$2:$K$40))*('SVB-Coring'!$K$2:$K$40))</f>
        <v>0</v>
      </c>
      <c r="I16" s="677" cm="1">
        <f t="array" ref="I16">SUMPRODUCT(('SVB-Coring'!$U$2:$U$40&gt;=I86)*('SVB-Coring'!$U$2:$U$40&lt;=I87)*(ISNUMBER('SVB-Coring'!$K$2:$K$40))*('SVB-Coring'!$K$2:$K$40))</f>
        <v>0</v>
      </c>
      <c r="J16" s="677" cm="1">
        <f t="array" ref="J16">SUMPRODUCT(('SVB-Coring'!$U$2:$U$40&gt;=J86)*('SVB-Coring'!$U$2:$U$40&lt;=J87)*(ISNUMBER('SVB-Coring'!$K$2:$K$40))*('SVB-Coring'!$K$2:$K$40))</f>
        <v>0</v>
      </c>
      <c r="K16" s="677" cm="1">
        <f t="array" ref="K16">SUMPRODUCT(('SVB-Coring'!$U$2:$U$40&gt;=K86)*('SVB-Coring'!$U$2:$U$40&lt;=K87)*(ISNUMBER('SVB-Coring'!$K$2:$K$40))*('SVB-Coring'!$K$2:$K$40))</f>
        <v>0</v>
      </c>
      <c r="L16" s="677" cm="1">
        <f t="array" ref="L16">SUMPRODUCT(('SVB-Coring'!$U$2:$U$40&gt;=L86)*('SVB-Coring'!$U$2:$U$40&lt;=L87)*(ISNUMBER('SVB-Coring'!$K$2:$K$40))*('SVB-Coring'!$K$2:$K$40))</f>
        <v>1</v>
      </c>
      <c r="M16" s="677" cm="1">
        <f t="array" ref="M16">SUMPRODUCT(('SVB-Coring'!$U$2:$U$40&gt;=M86)*('SVB-Coring'!$U$2:$U$40&lt;=M87)*(ISNUMBER('SVB-Coring'!$K$2:$K$40))*('SVB-Coring'!$K$2:$K$40))</f>
        <v>0</v>
      </c>
      <c r="N16" s="677" cm="1">
        <f t="array" ref="N16">SUMPRODUCT(('SVB-Coring'!$U$2:$U$40&gt;=N86)*('SVB-Coring'!$U$2:$U$40&lt;=N87)*(ISNUMBER('SVB-Coring'!$K$2:$K$40))*('SVB-Coring'!$K$2:$K$40))</f>
        <v>0</v>
      </c>
      <c r="O16" s="677" cm="1">
        <f t="array" ref="O16">SUMPRODUCT(('SVB-Coring'!$U$2:$U$40&gt;=O86)*('SVB-Coring'!$U$2:$U$40&lt;=O87)*(ISNUMBER('SVB-Coring'!$K$2:$K$40))*('SVB-Coring'!$K$2:$K$40))</f>
        <v>1</v>
      </c>
      <c r="P16" s="677" cm="1">
        <f t="array" ref="P16">SUMPRODUCT(('SVB-Coring'!$U$2:$U$40&gt;=P86)*('SVB-Coring'!$U$2:$U$40&lt;=P87)*(ISNUMBER('SVB-Coring'!$K$2:$K$40))*('SVB-Coring'!$K$2:$K$40))</f>
        <v>2</v>
      </c>
      <c r="Q16" s="677" cm="1">
        <f t="array" ref="Q16">SUMPRODUCT(('SVB-Coring'!$U$2:$U$40&gt;=Q86)*('SVB-Coring'!$U$2:$U$40&lt;=Q87)*(ISNUMBER('SVB-Coring'!$K$2:$K$40))*('SVB-Coring'!$K$2:$K$40))</f>
        <v>1</v>
      </c>
      <c r="R16" s="677" cm="1">
        <f t="array" ref="R16">SUMPRODUCT(('SVB-Coring'!$U$2:$U$40&gt;=R86)*('SVB-Coring'!$U$2:$U$40&lt;=R87)*(ISNUMBER('SVB-Coring'!$K$2:$K$40))*('SVB-Coring'!$K$2:$K$40))</f>
        <v>1</v>
      </c>
      <c r="S16" s="677" cm="1">
        <f t="array" ref="S16">SUMPRODUCT(('SVB-Coring'!$U$2:$U$40&gt;=S86)*('SVB-Coring'!$U$2:$U$40&lt;=S87)*(ISNUMBER('SVB-Coring'!$K$2:$K$40))*('SVB-Coring'!$K$2:$K$40))</f>
        <v>1</v>
      </c>
      <c r="T16" s="677" cm="1">
        <f t="array" ref="T16">SUMPRODUCT(('SVB-Coring'!$U$2:$U$40&gt;=T86)*('SVB-Coring'!$U$2:$U$40&lt;=T87)*(ISNUMBER('SVB-Coring'!$K$2:$K$40))*('SVB-Coring'!$K$2:$K$40))</f>
        <v>0</v>
      </c>
      <c r="U16" s="677" cm="1">
        <f t="array" ref="U16">SUMPRODUCT(('SVB-Coring'!$U$2:$U$40&gt;=U86)*('SVB-Coring'!$U$2:$U$40&lt;=U87)*(ISNUMBER('SVB-Coring'!$K$2:$K$40))*('SVB-Coring'!$K$2:$K$40))</f>
        <v>1</v>
      </c>
      <c r="V16" s="677" cm="1">
        <f t="array" ref="V16">SUMPRODUCT(('SVB-Coring'!$U$2:$U$40&gt;=V86)*('SVB-Coring'!$U$2:$U$40&lt;=V87)*(ISNUMBER('SVB-Coring'!$K$2:$K$40))*('SVB-Coring'!$K$2:$K$40))</f>
        <v>0</v>
      </c>
      <c r="W16" s="677" cm="1">
        <f t="array" ref="W16">SUMPRODUCT(('SVB-Coring'!$U$2:$U$40&gt;=W86)*('SVB-Coring'!$U$2:$U$40&lt;=W87)*(ISNUMBER('SVB-Coring'!$K$2:$K$40))*('SVB-Coring'!$K$2:$K$40))</f>
        <v>0</v>
      </c>
      <c r="X16" s="677" cm="1">
        <f t="array" ref="X16">SUMPRODUCT(('SVB-Coring'!$U$2:$U$40&gt;=X86)*('SVB-Coring'!$U$2:$U$40&lt;=X87)*(ISNUMBER('SVB-Coring'!$K$2:$K$40))*('SVB-Coring'!$K$2:$K$40))</f>
        <v>0</v>
      </c>
      <c r="Y16" s="677" cm="1">
        <f t="array" ref="Y16">SUMPRODUCT(('SVB-Coring'!$U$2:$U$40&gt;=Y86)*('SVB-Coring'!$U$2:$U$40&lt;=Y87)*(ISNUMBER('SVB-Coring'!$K$2:$K$40))*('SVB-Coring'!$K$2:$K$40))</f>
        <v>0</v>
      </c>
      <c r="Z16" s="677" cm="1">
        <f t="array" ref="Z16">SUMPRODUCT(('SVB-Coring'!$U$2:$U$40&gt;=Z86)*('SVB-Coring'!$U$2:$U$40&lt;=Z87)*(ISNUMBER('SVB-Coring'!$K$2:$K$40))*('SVB-Coring'!$K$2:$K$40))</f>
        <v>0</v>
      </c>
      <c r="AA16" s="677" cm="1">
        <f t="array" ref="AA16">SUMPRODUCT(('SVB-Coring'!$U$2:$U$40&gt;=AA86)*('SVB-Coring'!$U$2:$U$40&lt;=AA87)*(ISNUMBER('SVB-Coring'!$K$2:$K$40))*('SVB-Coring'!$K$2:$K$40))</f>
        <v>0</v>
      </c>
      <c r="AB16" s="677" cm="1">
        <f t="array" ref="AB16">SUMPRODUCT(('SVB-Coring'!$U$2:$U$40&gt;=AB86)*('SVB-Coring'!$U$2:$U$40&lt;=AB87)*(ISNUMBER('SVB-Coring'!$K$2:$K$40))*('SVB-Coring'!$K$2:$K$40))</f>
        <v>0</v>
      </c>
      <c r="AC16" s="677" cm="1">
        <f t="array" ref="AC16">SUMPRODUCT(('SVB-Coring'!$U$2:$U$40&gt;=AC86)*('SVB-Coring'!$U$2:$U$40&lt;=AC87)*(ISNUMBER('SVB-Coring'!$K$2:$K$40))*('SVB-Coring'!$K$2:$K$40))</f>
        <v>0</v>
      </c>
      <c r="AD16" s="677" cm="1">
        <f t="array" ref="AD16">SUMPRODUCT(('SVB-Coring'!$U$2:$U$40&gt;=AD86)*('SVB-Coring'!$U$2:$U$40&lt;=AD87)*(ISNUMBER('SVB-Coring'!$K$2:$K$40))*('SVB-Coring'!$K$2:$K$40))</f>
        <v>0</v>
      </c>
      <c r="AE16" s="677" cm="1">
        <f t="array" ref="AE16">SUMPRODUCT(('SVB-Coring'!$U$2:$U$40&gt;=AE86)*('SVB-Coring'!$U$2:$U$40&lt;=AE87)*(ISNUMBER('SVB-Coring'!$K$2:$K$40))*('SVB-Coring'!$K$2:$K$40))</f>
        <v>0</v>
      </c>
      <c r="AF16" s="677" cm="1">
        <f t="array" ref="AF16">SUMPRODUCT(('SVB-Coring'!$U$2:$U$40&gt;=AF86)*('SVB-Coring'!$U$2:$U$40&lt;=AF87)*(ISNUMBER('SVB-Coring'!$K$2:$K$40))*('SVB-Coring'!$K$2:$K$40))</f>
        <v>0</v>
      </c>
      <c r="AG16" s="677" cm="1">
        <f t="array" ref="AG16">SUMPRODUCT(('SVB-Coring'!$U$2:$U$40&gt;=AG86)*('SVB-Coring'!$U$2:$U$40&lt;=AG87)*(ISNUMBER('SVB-Coring'!$K$2:$K$40))*('SVB-Coring'!$K$2:$K$40))</f>
        <v>0</v>
      </c>
      <c r="AH16" s="677" cm="1">
        <f t="array" ref="AH16">SUMPRODUCT(('SVB-Coring'!$U$2:$U$40&gt;=AH86)*('SVB-Coring'!$U$2:$U$40&lt;=AH87)*(ISNUMBER('SVB-Coring'!$K$2:$K$40))*('SVB-Coring'!$K$2:$K$40))</f>
        <v>0</v>
      </c>
      <c r="AI16" s="677" cm="1">
        <f t="array" ref="AI16">SUMPRODUCT(('SVB-Coring'!$U$2:$U$40&gt;=AI86)*('SVB-Coring'!$U$2:$U$40&lt;=AI87)*(ISNUMBER('SVB-Coring'!$K$2:$K$40))*('SVB-Coring'!$K$2:$K$40))</f>
        <v>0</v>
      </c>
      <c r="AJ16" s="677" cm="1">
        <f t="array" ref="AJ16">SUMPRODUCT(('SVB-Coring'!$U$2:$U$40&gt;=AJ86)*('SVB-Coring'!$U$2:$U$40&lt;=AJ87)*(ISNUMBER('SVB-Coring'!$K$2:$K$40))*('SVB-Coring'!$K$2:$K$40))</f>
        <v>0</v>
      </c>
      <c r="AK16" s="677" cm="1">
        <f t="array" ref="AK16">SUMPRODUCT(('SVB-Coring'!$U$2:$U$40&gt;=AK86)*('SVB-Coring'!$U$2:$U$40&lt;=AK87)*(ISNUMBER('SVB-Coring'!$K$2:$K$40))*('SVB-Coring'!$K$2:$K$40))</f>
        <v>0</v>
      </c>
      <c r="AL16" s="677" cm="1">
        <f t="array" ref="AL16">SUMPRODUCT(('SVB-Coring'!$U$2:$U$40&gt;=AL86)*('SVB-Coring'!$U$2:$U$40&lt;=AL87)*(ISNUMBER('SVB-Coring'!$K$2:$K$40))*('SVB-Coring'!$K$2:$K$40))</f>
        <v>0</v>
      </c>
      <c r="AM16" s="677" cm="1">
        <f t="array" ref="AM16">SUMPRODUCT(('SVB-Coring'!$U$2:$U$40&gt;=AM86)*('SVB-Coring'!$U$2:$U$40&lt;=AM87)*(ISNUMBER('SVB-Coring'!$K$2:$K$40))*('SVB-Coring'!$K$2:$K$40))</f>
        <v>0</v>
      </c>
      <c r="AN16" s="675">
        <f>SUM(B16:AM16)</f>
        <v>8</v>
      </c>
    </row>
    <row r="17" spans="1:40" ht="18" customHeight="1">
      <c r="A17" s="678" t="s">
        <v>1350</v>
      </c>
      <c r="B17" s="679">
        <f t="shared" ref="B17:AN17" si="1">IF(B15=0,0,B16/B15)</f>
        <v>0</v>
      </c>
      <c r="C17" s="679">
        <f t="shared" si="1"/>
        <v>0</v>
      </c>
      <c r="D17" s="679">
        <f t="shared" si="1"/>
        <v>0</v>
      </c>
      <c r="E17" s="679">
        <f t="shared" si="1"/>
        <v>0</v>
      </c>
      <c r="F17" s="679">
        <f t="shared" si="1"/>
        <v>0</v>
      </c>
      <c r="G17" s="679">
        <f t="shared" si="1"/>
        <v>0</v>
      </c>
      <c r="H17" s="679">
        <f t="shared" si="1"/>
        <v>0</v>
      </c>
      <c r="I17" s="679">
        <f t="shared" si="1"/>
        <v>0</v>
      </c>
      <c r="J17" s="679">
        <f t="shared" si="1"/>
        <v>0</v>
      </c>
      <c r="K17" s="679">
        <f t="shared" si="1"/>
        <v>0</v>
      </c>
      <c r="L17" s="679">
        <f t="shared" si="1"/>
        <v>1</v>
      </c>
      <c r="M17" s="679">
        <f t="shared" si="1"/>
        <v>0</v>
      </c>
      <c r="N17" s="679">
        <f t="shared" si="1"/>
        <v>0</v>
      </c>
      <c r="O17" s="679">
        <f t="shared" si="1"/>
        <v>1</v>
      </c>
      <c r="P17" s="679">
        <f t="shared" si="1"/>
        <v>1</v>
      </c>
      <c r="Q17" s="679">
        <f t="shared" si="1"/>
        <v>1</v>
      </c>
      <c r="R17" s="679">
        <f t="shared" si="1"/>
        <v>1</v>
      </c>
      <c r="S17" s="679">
        <f t="shared" si="1"/>
        <v>1</v>
      </c>
      <c r="T17" s="679">
        <f t="shared" si="1"/>
        <v>0</v>
      </c>
      <c r="U17" s="679">
        <f t="shared" si="1"/>
        <v>0.5</v>
      </c>
      <c r="V17" s="679">
        <f t="shared" si="1"/>
        <v>0</v>
      </c>
      <c r="W17" s="679">
        <f t="shared" si="1"/>
        <v>0</v>
      </c>
      <c r="X17" s="679">
        <f t="shared" si="1"/>
        <v>0</v>
      </c>
      <c r="Y17" s="679">
        <f t="shared" si="1"/>
        <v>0</v>
      </c>
      <c r="Z17" s="679">
        <f t="shared" si="1"/>
        <v>0</v>
      </c>
      <c r="AA17" s="679">
        <f t="shared" si="1"/>
        <v>0</v>
      </c>
      <c r="AB17" s="679">
        <f t="shared" si="1"/>
        <v>0</v>
      </c>
      <c r="AC17" s="679">
        <f t="shared" si="1"/>
        <v>0</v>
      </c>
      <c r="AD17" s="679">
        <f t="shared" si="1"/>
        <v>0</v>
      </c>
      <c r="AE17" s="679">
        <f t="shared" si="1"/>
        <v>0</v>
      </c>
      <c r="AF17" s="679">
        <f t="shared" si="1"/>
        <v>0</v>
      </c>
      <c r="AG17" s="679">
        <f t="shared" si="1"/>
        <v>0</v>
      </c>
      <c r="AH17" s="679">
        <f t="shared" si="1"/>
        <v>0</v>
      </c>
      <c r="AI17" s="679">
        <f t="shared" si="1"/>
        <v>0</v>
      </c>
      <c r="AJ17" s="679">
        <f t="shared" si="1"/>
        <v>0</v>
      </c>
      <c r="AK17" s="679">
        <f t="shared" si="1"/>
        <v>0</v>
      </c>
      <c r="AL17" s="679">
        <f t="shared" si="1"/>
        <v>0</v>
      </c>
      <c r="AM17" s="679">
        <f t="shared" si="1"/>
        <v>0</v>
      </c>
      <c r="AN17" s="680">
        <f t="shared" si="1"/>
        <v>0.20512820512820512</v>
      </c>
    </row>
    <row r="18" spans="1:40" ht="18" customHeight="1">
      <c r="A18" s="681" t="s">
        <v>1351</v>
      </c>
      <c r="B18" s="682">
        <f>SUM($B15:B15)</f>
        <v>0</v>
      </c>
      <c r="C18" s="682">
        <f>SUM($B15:C15)</f>
        <v>0</v>
      </c>
      <c r="D18" s="682">
        <f>SUM($B15:D15)</f>
        <v>0</v>
      </c>
      <c r="E18" s="682">
        <f>SUM($B15:E15)</f>
        <v>0</v>
      </c>
      <c r="F18" s="682">
        <f>SUM($B15:F15)</f>
        <v>0</v>
      </c>
      <c r="G18" s="682">
        <f>SUM($B15:G15)</f>
        <v>0</v>
      </c>
      <c r="H18" s="682">
        <f>SUM($B15:H15)</f>
        <v>0</v>
      </c>
      <c r="I18" s="682">
        <f>SUM($B15:I15)</f>
        <v>0</v>
      </c>
      <c r="J18" s="682">
        <f>SUM($B15:J15)</f>
        <v>0</v>
      </c>
      <c r="K18" s="682">
        <f>SUM($B15:K15)</f>
        <v>0</v>
      </c>
      <c r="L18" s="682">
        <f>SUM($B15:L15)</f>
        <v>1</v>
      </c>
      <c r="M18" s="682">
        <f>SUM($B15:M15)</f>
        <v>1</v>
      </c>
      <c r="N18" s="682">
        <f>SUM($B15:N15)</f>
        <v>1</v>
      </c>
      <c r="O18" s="682">
        <f>SUM($B15:O15)</f>
        <v>2</v>
      </c>
      <c r="P18" s="682">
        <f>SUM($B15:P15)</f>
        <v>4</v>
      </c>
      <c r="Q18" s="682">
        <f>SUM($B15:Q15)</f>
        <v>5</v>
      </c>
      <c r="R18" s="682">
        <f>SUM($B15:R15)</f>
        <v>6</v>
      </c>
      <c r="S18" s="682">
        <f>SUM($B15:S15)</f>
        <v>7</v>
      </c>
      <c r="T18" s="682">
        <f>SUM($B15:T15)</f>
        <v>9</v>
      </c>
      <c r="U18" s="682">
        <f>SUM($B15:U15)</f>
        <v>11</v>
      </c>
      <c r="V18" s="682">
        <f>SUM($B15:V15)</f>
        <v>13</v>
      </c>
      <c r="W18" s="682">
        <f>SUM($B15:W15)</f>
        <v>15</v>
      </c>
      <c r="X18" s="682">
        <f>SUM($B15:X15)</f>
        <v>15</v>
      </c>
      <c r="Y18" s="682">
        <f>SUM($B15:Y15)</f>
        <v>17</v>
      </c>
      <c r="Z18" s="682">
        <f>SUM($B15:Z15)</f>
        <v>19</v>
      </c>
      <c r="AA18" s="682">
        <f>SUM($B15:AA15)</f>
        <v>21</v>
      </c>
      <c r="AB18" s="682">
        <f>SUM($B15:AB15)</f>
        <v>23</v>
      </c>
      <c r="AC18" s="682">
        <f>SUM($B15:AC15)</f>
        <v>25</v>
      </c>
      <c r="AD18" s="682">
        <f>SUM($B15:AD15)</f>
        <v>27</v>
      </c>
      <c r="AE18" s="682">
        <f>SUM($B15:AE15)</f>
        <v>29</v>
      </c>
      <c r="AF18" s="682">
        <f>SUM($B15:AF15)</f>
        <v>31</v>
      </c>
      <c r="AG18" s="682">
        <f>SUM($B15:AG15)</f>
        <v>33</v>
      </c>
      <c r="AH18" s="682">
        <f>SUM($B15:AH15)</f>
        <v>35</v>
      </c>
      <c r="AI18" s="682">
        <f>SUM($B15:AI15)</f>
        <v>37</v>
      </c>
      <c r="AJ18" s="682">
        <f>SUM($B15:AJ15)</f>
        <v>39</v>
      </c>
      <c r="AK18" s="682">
        <f>SUM($B15:AK15)</f>
        <v>39</v>
      </c>
      <c r="AL18" s="682">
        <f>SUM($B15:AL15)</f>
        <v>39</v>
      </c>
      <c r="AM18" s="682">
        <f>SUM($B15:AM15)</f>
        <v>39</v>
      </c>
      <c r="AN18" s="675">
        <f>AN15</f>
        <v>39</v>
      </c>
    </row>
    <row r="19" spans="1:40" ht="18" customHeight="1">
      <c r="A19" s="681" t="s">
        <v>1352</v>
      </c>
      <c r="B19" s="682">
        <f>SUM($B16:B16)</f>
        <v>0</v>
      </c>
      <c r="C19" s="682">
        <f>SUM($B16:C16)</f>
        <v>0</v>
      </c>
      <c r="D19" s="682">
        <f>SUM($B16:D16)</f>
        <v>0</v>
      </c>
      <c r="E19" s="682">
        <f>SUM($B16:E16)</f>
        <v>0</v>
      </c>
      <c r="F19" s="682">
        <f>SUM($B16:F16)</f>
        <v>0</v>
      </c>
      <c r="G19" s="682">
        <f>SUM($B16:G16)</f>
        <v>0</v>
      </c>
      <c r="H19" s="682">
        <f>SUM($B16:H16)</f>
        <v>0</v>
      </c>
      <c r="I19" s="682">
        <f>SUM($B16:I16)</f>
        <v>0</v>
      </c>
      <c r="J19" s="682">
        <f>SUM($B16:J16)</f>
        <v>0</v>
      </c>
      <c r="K19" s="682">
        <f>SUM($B16:K16)</f>
        <v>0</v>
      </c>
      <c r="L19" s="682">
        <f>SUM($B16:L16)</f>
        <v>1</v>
      </c>
      <c r="M19" s="682">
        <f>SUM($B16:M16)</f>
        <v>1</v>
      </c>
      <c r="N19" s="682">
        <f>SUM($B16:N16)</f>
        <v>1</v>
      </c>
      <c r="O19" s="682">
        <f>SUM($B16:O16)</f>
        <v>2</v>
      </c>
      <c r="P19" s="682">
        <f>SUM($B16:P16)</f>
        <v>4</v>
      </c>
      <c r="Q19" s="682">
        <f>SUM($B16:Q16)</f>
        <v>5</v>
      </c>
      <c r="R19" s="682">
        <f>SUM($B16:R16)</f>
        <v>6</v>
      </c>
      <c r="S19" s="682">
        <f>SUM($B16:S16)</f>
        <v>7</v>
      </c>
      <c r="T19" s="682">
        <f>SUM($B16:T16)</f>
        <v>7</v>
      </c>
      <c r="U19" s="682">
        <f>SUM($B16:U16)</f>
        <v>8</v>
      </c>
      <c r="V19" s="682">
        <f>SUM($B16:V16)</f>
        <v>8</v>
      </c>
      <c r="W19" s="682">
        <f>SUM($B16:W16)</f>
        <v>8</v>
      </c>
      <c r="X19" s="682">
        <f>SUM($B16:X16)</f>
        <v>8</v>
      </c>
      <c r="Y19" s="682">
        <f>SUM($B16:Y16)</f>
        <v>8</v>
      </c>
      <c r="Z19" s="682">
        <f>SUM($B16:Z16)</f>
        <v>8</v>
      </c>
      <c r="AA19" s="682">
        <f>SUM($B16:AA16)</f>
        <v>8</v>
      </c>
      <c r="AB19" s="682">
        <f>SUM($B16:AB16)</f>
        <v>8</v>
      </c>
      <c r="AC19" s="682">
        <f>SUM($B16:AC16)</f>
        <v>8</v>
      </c>
      <c r="AD19" s="682">
        <f>SUM($B16:AD16)</f>
        <v>8</v>
      </c>
      <c r="AE19" s="682">
        <f>SUM($B16:AE16)</f>
        <v>8</v>
      </c>
      <c r="AF19" s="682">
        <f>SUM($B16:AF16)</f>
        <v>8</v>
      </c>
      <c r="AG19" s="682">
        <f>SUM($B16:AG16)</f>
        <v>8</v>
      </c>
      <c r="AH19" s="682">
        <f>SUM($B16:AH16)</f>
        <v>8</v>
      </c>
      <c r="AI19" s="682">
        <f>SUM($B16:AI16)</f>
        <v>8</v>
      </c>
      <c r="AJ19" s="682">
        <f>SUM($B16:AJ16)</f>
        <v>8</v>
      </c>
      <c r="AK19" s="682">
        <f>SUM($B16:AK16)</f>
        <v>8</v>
      </c>
      <c r="AL19" s="682">
        <f>SUM($B16:AL16)</f>
        <v>8</v>
      </c>
      <c r="AM19" s="682">
        <f>SUM($B16:AM16)</f>
        <v>8</v>
      </c>
      <c r="AN19" s="675">
        <f>AN16</f>
        <v>8</v>
      </c>
    </row>
    <row r="20" spans="1:40" ht="18" customHeight="1">
      <c r="A20" s="683" t="s">
        <v>1353</v>
      </c>
      <c r="B20" s="684">
        <f>IF(AN15=0,0,B19/AN15)</f>
        <v>0</v>
      </c>
      <c r="C20" s="684">
        <f>IF(AN15=0,0,C19/AN15)</f>
        <v>0</v>
      </c>
      <c r="D20" s="684">
        <f>IF(AN15=0,0,D19/AN15)</f>
        <v>0</v>
      </c>
      <c r="E20" s="684">
        <f>IF(AN15=0,0,E19/AN15)</f>
        <v>0</v>
      </c>
      <c r="F20" s="684">
        <f>IF(AN15=0,0,F19/AN15)</f>
        <v>0</v>
      </c>
      <c r="G20" s="684">
        <f>IF(AN15=0,0,G19/AN15)</f>
        <v>0</v>
      </c>
      <c r="H20" s="684">
        <f>IF(AN15=0,0,H19/AN15)</f>
        <v>0</v>
      </c>
      <c r="I20" s="684">
        <f>IF(AN15=0,0,I19/AN15)</f>
        <v>0</v>
      </c>
      <c r="J20" s="684">
        <f>IF(AN15=0,0,J19/AN15)</f>
        <v>0</v>
      </c>
      <c r="K20" s="684">
        <f>IF(AN15=0,0,K19/AN15)</f>
        <v>0</v>
      </c>
      <c r="L20" s="684">
        <f>IF(AN15=0,0,L19/AN15)</f>
        <v>2.564102564102564E-2</v>
      </c>
      <c r="M20" s="684">
        <f>IF(AN15=0,0,M19/AN15)</f>
        <v>2.564102564102564E-2</v>
      </c>
      <c r="N20" s="684">
        <f>IF(AN15=0,0,N19/AN15)</f>
        <v>2.564102564102564E-2</v>
      </c>
      <c r="O20" s="684">
        <f>IF(AN15=0,0,O19/AN15)</f>
        <v>5.128205128205128E-2</v>
      </c>
      <c r="P20" s="684">
        <f>IF(AN15=0,0,P19/AN15)</f>
        <v>0.10256410256410256</v>
      </c>
      <c r="Q20" s="684">
        <f>IF(AN15=0,0,Q19/AN15)</f>
        <v>0.12820512820512819</v>
      </c>
      <c r="R20" s="684">
        <f>IF(AN15=0,0,R19/AN15)</f>
        <v>0.15384615384615385</v>
      </c>
      <c r="S20" s="684">
        <f>IF(AN15=0,0,S19/AN15)</f>
        <v>0.17948717948717949</v>
      </c>
      <c r="T20" s="684">
        <f>IF(AN15=0,0,T19/AN15)</f>
        <v>0.17948717948717949</v>
      </c>
      <c r="U20" s="684">
        <f>IF(AN15=0,0,U19/AN15)</f>
        <v>0.20512820512820512</v>
      </c>
      <c r="V20" s="684">
        <f>IF(AN15=0,0,V19/AN15)</f>
        <v>0.20512820512820512</v>
      </c>
      <c r="W20" s="684">
        <f>IF(AN15=0,0,W19/AN15)</f>
        <v>0.20512820512820512</v>
      </c>
      <c r="X20" s="684">
        <f>IF(AN15=0,0,X19/AN15)</f>
        <v>0.20512820512820512</v>
      </c>
      <c r="Y20" s="684">
        <f>IF(AN15=0,0,Y19/AN15)</f>
        <v>0.20512820512820512</v>
      </c>
      <c r="Z20" s="684">
        <f>IF(AN15=0,0,Z19/AN15)</f>
        <v>0.20512820512820512</v>
      </c>
      <c r="AA20" s="684">
        <f>IF(AN15=0,0,AA19/AN15)</f>
        <v>0.20512820512820512</v>
      </c>
      <c r="AB20" s="684">
        <f>IF(AN15=0,0,AB19/AN15)</f>
        <v>0.20512820512820512</v>
      </c>
      <c r="AC20" s="684">
        <f>IF(AN15=0,0,AC19/AN15)</f>
        <v>0.20512820512820512</v>
      </c>
      <c r="AD20" s="684">
        <f>IF(AN15=0,0,AD19/AN15)</f>
        <v>0.20512820512820512</v>
      </c>
      <c r="AE20" s="684">
        <f>IF(AN15=0,0,AE19/AN15)</f>
        <v>0.20512820512820512</v>
      </c>
      <c r="AF20" s="684">
        <f>IF(AN15=0,0,AF19/AN15)</f>
        <v>0.20512820512820512</v>
      </c>
      <c r="AG20" s="684">
        <f>IF(AN15=0,0,AG19/AN15)</f>
        <v>0.20512820512820512</v>
      </c>
      <c r="AH20" s="684">
        <f>IF(AN15=0,0,AH19/AN15)</f>
        <v>0.20512820512820512</v>
      </c>
      <c r="AI20" s="684">
        <f>IF(AN15=0,0,AI19/AN15)</f>
        <v>0.20512820512820512</v>
      </c>
      <c r="AJ20" s="684">
        <f>IF(AN15=0,0,AJ19/AN15)</f>
        <v>0.20512820512820512</v>
      </c>
      <c r="AK20" s="684">
        <f>IF(AN15=0,0,AK19/AN15)</f>
        <v>0.20512820512820512</v>
      </c>
      <c r="AL20" s="684">
        <f>IF(AN15=0,0,AL19/AN15)</f>
        <v>0.20512820512820512</v>
      </c>
      <c r="AM20" s="684">
        <f>IF(AN15=0,0,AM19/AN15)</f>
        <v>0.20512820512820512</v>
      </c>
      <c r="AN20" s="680">
        <f>IF(AN15=0,0,AN19/AN15)</f>
        <v>0.20512820512820512</v>
      </c>
    </row>
    <row r="21" spans="1:40" ht="4.95" customHeight="1"/>
    <row r="22" spans="1:40" ht="22.2" customHeight="1">
      <c r="A22" s="999" t="s">
        <v>1355</v>
      </c>
      <c r="B22" s="1000"/>
      <c r="C22" s="1000"/>
      <c r="D22" s="1000"/>
      <c r="E22" s="1000"/>
      <c r="F22" s="1000"/>
      <c r="G22" s="1000"/>
      <c r="H22" s="1000"/>
      <c r="I22" s="1000"/>
      <c r="J22" s="1000"/>
      <c r="K22" s="1000"/>
      <c r="L22" s="1000"/>
      <c r="M22" s="1000"/>
      <c r="N22" s="1000"/>
      <c r="O22" s="1000"/>
      <c r="P22" s="1000"/>
      <c r="Q22" s="1000"/>
      <c r="R22" s="1000"/>
      <c r="S22" s="1000"/>
      <c r="T22" s="1000"/>
      <c r="U22" s="1000"/>
      <c r="V22" s="1000"/>
      <c r="W22" s="1000"/>
      <c r="X22" s="1000"/>
      <c r="Y22" s="1000"/>
      <c r="Z22" s="1000"/>
      <c r="AA22" s="1000"/>
      <c r="AB22" s="1000"/>
      <c r="AC22" s="1000"/>
      <c r="AD22" s="1000"/>
      <c r="AE22" s="1000"/>
      <c r="AF22" s="1000"/>
      <c r="AG22" s="1000"/>
      <c r="AH22" s="1000"/>
      <c r="AI22" s="1000"/>
      <c r="AJ22" s="1000"/>
      <c r="AK22" s="1000"/>
      <c r="AL22" s="1000"/>
      <c r="AM22" s="1000"/>
      <c r="AN22" s="1001"/>
    </row>
    <row r="23" spans="1:40" ht="18" customHeight="1">
      <c r="A23" s="685" t="s">
        <v>1356</v>
      </c>
      <c r="B23" s="686">
        <f t="shared" ref="B23:AN23" si="2">AVERAGE(B9,B17)</f>
        <v>0.5</v>
      </c>
      <c r="C23" s="686">
        <f t="shared" si="2"/>
        <v>0.5</v>
      </c>
      <c r="D23" s="686">
        <f t="shared" si="2"/>
        <v>0.5</v>
      </c>
      <c r="E23" s="686">
        <f t="shared" si="2"/>
        <v>0.5</v>
      </c>
      <c r="F23" s="686">
        <f t="shared" si="2"/>
        <v>0.5</v>
      </c>
      <c r="G23" s="686">
        <f t="shared" si="2"/>
        <v>0.5</v>
      </c>
      <c r="H23" s="686">
        <f t="shared" si="2"/>
        <v>0.5</v>
      </c>
      <c r="I23" s="686">
        <f t="shared" si="2"/>
        <v>0</v>
      </c>
      <c r="J23" s="686">
        <f t="shared" si="2"/>
        <v>0.5</v>
      </c>
      <c r="K23" s="686">
        <f t="shared" si="2"/>
        <v>0.5</v>
      </c>
      <c r="L23" s="686">
        <f t="shared" si="2"/>
        <v>1</v>
      </c>
      <c r="M23" s="686">
        <f t="shared" si="2"/>
        <v>0</v>
      </c>
      <c r="N23" s="686">
        <f t="shared" si="2"/>
        <v>0</v>
      </c>
      <c r="O23" s="686">
        <f t="shared" si="2"/>
        <v>0.5</v>
      </c>
      <c r="P23" s="686">
        <f t="shared" si="2"/>
        <v>0.5</v>
      </c>
      <c r="Q23" s="686">
        <f t="shared" si="2"/>
        <v>0.5</v>
      </c>
      <c r="R23" s="686">
        <f t="shared" si="2"/>
        <v>0.5</v>
      </c>
      <c r="S23" s="686">
        <f t="shared" si="2"/>
        <v>0.5</v>
      </c>
      <c r="T23" s="686">
        <f t="shared" si="2"/>
        <v>0</v>
      </c>
      <c r="U23" s="686">
        <f t="shared" si="2"/>
        <v>0.25</v>
      </c>
      <c r="V23" s="686">
        <f t="shared" si="2"/>
        <v>0</v>
      </c>
      <c r="W23" s="686">
        <f t="shared" si="2"/>
        <v>0</v>
      </c>
      <c r="X23" s="686">
        <f t="shared" si="2"/>
        <v>0</v>
      </c>
      <c r="Y23" s="686">
        <f t="shared" si="2"/>
        <v>0</v>
      </c>
      <c r="Z23" s="686">
        <f t="shared" si="2"/>
        <v>0</v>
      </c>
      <c r="AA23" s="686">
        <f t="shared" si="2"/>
        <v>0</v>
      </c>
      <c r="AB23" s="686">
        <f t="shared" si="2"/>
        <v>0</v>
      </c>
      <c r="AC23" s="686">
        <f t="shared" si="2"/>
        <v>0</v>
      </c>
      <c r="AD23" s="686">
        <f t="shared" si="2"/>
        <v>0</v>
      </c>
      <c r="AE23" s="686">
        <f t="shared" si="2"/>
        <v>0</v>
      </c>
      <c r="AF23" s="686">
        <f t="shared" si="2"/>
        <v>0</v>
      </c>
      <c r="AG23" s="686">
        <f t="shared" si="2"/>
        <v>0</v>
      </c>
      <c r="AH23" s="686">
        <f t="shared" si="2"/>
        <v>0</v>
      </c>
      <c r="AI23" s="686">
        <f t="shared" si="2"/>
        <v>0</v>
      </c>
      <c r="AJ23" s="686">
        <f t="shared" si="2"/>
        <v>0</v>
      </c>
      <c r="AK23" s="686">
        <f t="shared" si="2"/>
        <v>0</v>
      </c>
      <c r="AL23" s="686">
        <f t="shared" si="2"/>
        <v>0</v>
      </c>
      <c r="AM23" s="686">
        <f t="shared" si="2"/>
        <v>0</v>
      </c>
      <c r="AN23" s="680">
        <f t="shared" si="2"/>
        <v>0.60256410256410253</v>
      </c>
    </row>
    <row r="25" spans="1:40" ht="22.2" customHeight="1">
      <c r="A25" s="999" t="s">
        <v>1357</v>
      </c>
      <c r="B25" s="1000"/>
      <c r="C25" s="1000"/>
      <c r="D25" s="1000"/>
      <c r="E25" s="1000"/>
      <c r="F25" s="1000"/>
      <c r="G25" s="1000"/>
      <c r="H25" s="1000"/>
      <c r="I25" s="1000"/>
      <c r="J25" s="1000"/>
      <c r="K25" s="1000"/>
      <c r="L25" s="1000"/>
      <c r="M25" s="1000"/>
      <c r="N25" s="1000"/>
      <c r="O25" s="1000"/>
      <c r="P25" s="1000"/>
      <c r="Q25" s="1000"/>
      <c r="R25" s="1000"/>
      <c r="S25" s="1000"/>
      <c r="T25" s="1000"/>
      <c r="U25" s="1000"/>
      <c r="V25" s="1000"/>
      <c r="W25" s="1000"/>
      <c r="X25" s="1000"/>
      <c r="Y25" s="1000"/>
      <c r="Z25" s="1000"/>
      <c r="AA25" s="1000"/>
      <c r="AB25" s="1000"/>
      <c r="AC25" s="1000"/>
      <c r="AD25" s="1000"/>
      <c r="AE25" s="1000"/>
      <c r="AF25" s="1000"/>
      <c r="AG25" s="1000"/>
      <c r="AH25" s="1000"/>
      <c r="AI25" s="1000"/>
      <c r="AJ25" s="1000"/>
      <c r="AK25" s="1000"/>
      <c r="AL25" s="1000"/>
      <c r="AM25" s="1000"/>
      <c r="AN25" s="1001"/>
    </row>
    <row r="26" spans="1:40" ht="18" customHeight="1">
      <c r="A26" s="687" t="s">
        <v>1358</v>
      </c>
      <c r="B26" s="688">
        <f>IF(($AN$7+$AN$15)=0,0,(B10+B18)/($AN$7+$AN$15))</f>
        <v>2.564102564102564E-2</v>
      </c>
      <c r="C26" s="688">
        <f>IF(($AN$7+$AN$15)=0,0,(C10+C18)/($AN$7+$AN$15))</f>
        <v>5.128205128205128E-2</v>
      </c>
      <c r="D26" s="688">
        <f t="shared" ref="D26:AM26" si="3">IF(($AN$7+$AN$15)=0,0,(D10+D18)/($AN$7+$AN$15))</f>
        <v>0.14102564102564102</v>
      </c>
      <c r="E26" s="688">
        <f t="shared" si="3"/>
        <v>0.17948717948717949</v>
      </c>
      <c r="F26" s="688">
        <f t="shared" si="3"/>
        <v>0.23076923076923078</v>
      </c>
      <c r="G26" s="688">
        <f t="shared" si="3"/>
        <v>0.30769230769230771</v>
      </c>
      <c r="H26" s="688">
        <f t="shared" si="3"/>
        <v>0.33333333333333331</v>
      </c>
      <c r="I26" s="688">
        <f t="shared" si="3"/>
        <v>0.33333333333333331</v>
      </c>
      <c r="J26" s="688">
        <f t="shared" si="3"/>
        <v>0.35897435897435898</v>
      </c>
      <c r="K26" s="688">
        <f t="shared" si="3"/>
        <v>0.4358974358974359</v>
      </c>
      <c r="L26" s="688">
        <f t="shared" si="3"/>
        <v>0.51282051282051277</v>
      </c>
      <c r="M26" s="688">
        <f t="shared" si="3"/>
        <v>0.51282051282051277</v>
      </c>
      <c r="N26" s="688">
        <f t="shared" si="3"/>
        <v>0.51282051282051277</v>
      </c>
      <c r="O26" s="688">
        <f t="shared" si="3"/>
        <v>0.52564102564102566</v>
      </c>
      <c r="P26" s="688">
        <f t="shared" si="3"/>
        <v>0.55128205128205132</v>
      </c>
      <c r="Q26" s="688">
        <f t="shared" si="3"/>
        <v>0.5641025641025641</v>
      </c>
      <c r="R26" s="688">
        <f t="shared" si="3"/>
        <v>0.57692307692307687</v>
      </c>
      <c r="S26" s="688">
        <f t="shared" si="3"/>
        <v>0.58974358974358976</v>
      </c>
      <c r="T26" s="688">
        <f t="shared" si="3"/>
        <v>0.61538461538461542</v>
      </c>
      <c r="U26" s="688">
        <f t="shared" si="3"/>
        <v>0.64102564102564108</v>
      </c>
      <c r="V26" s="688">
        <f t="shared" si="3"/>
        <v>0.66666666666666663</v>
      </c>
      <c r="W26" s="688">
        <f t="shared" si="3"/>
        <v>0.69230769230769229</v>
      </c>
      <c r="X26" s="688">
        <f t="shared" si="3"/>
        <v>0.69230769230769229</v>
      </c>
      <c r="Y26" s="688">
        <f t="shared" si="3"/>
        <v>0.71794871794871795</v>
      </c>
      <c r="Z26" s="688">
        <f t="shared" si="3"/>
        <v>0.74358974358974361</v>
      </c>
      <c r="AA26" s="688">
        <f t="shared" si="3"/>
        <v>0.76923076923076927</v>
      </c>
      <c r="AB26" s="688">
        <f t="shared" si="3"/>
        <v>0.79487179487179482</v>
      </c>
      <c r="AC26" s="688">
        <f t="shared" si="3"/>
        <v>0.82051282051282048</v>
      </c>
      <c r="AD26" s="688">
        <f t="shared" si="3"/>
        <v>0.84615384615384615</v>
      </c>
      <c r="AE26" s="688">
        <f t="shared" si="3"/>
        <v>0.87179487179487181</v>
      </c>
      <c r="AF26" s="688">
        <f t="shared" si="3"/>
        <v>0.89743589743589747</v>
      </c>
      <c r="AG26" s="688">
        <f t="shared" si="3"/>
        <v>0.92307692307692313</v>
      </c>
      <c r="AH26" s="688">
        <f t="shared" si="3"/>
        <v>0.94871794871794868</v>
      </c>
      <c r="AI26" s="688">
        <f t="shared" si="3"/>
        <v>0.97435897435897434</v>
      </c>
      <c r="AJ26" s="688">
        <f t="shared" si="3"/>
        <v>1</v>
      </c>
      <c r="AK26" s="688">
        <f t="shared" si="3"/>
        <v>1</v>
      </c>
      <c r="AL26" s="688">
        <f t="shared" si="3"/>
        <v>1</v>
      </c>
      <c r="AM26" s="688">
        <f t="shared" si="3"/>
        <v>1</v>
      </c>
      <c r="AN26" s="680">
        <f>IF((AN7+AN15)=0,0,(AN10+AN18)/(AN7+AN15))</f>
        <v>1</v>
      </c>
    </row>
    <row r="27" spans="1:40" ht="18" customHeight="1">
      <c r="A27" s="689" t="s">
        <v>1359</v>
      </c>
      <c r="B27" s="684">
        <f>IF(($AN$7+$AN$15)=0,0,(B11+B19)/($AN$7+$AN$15))</f>
        <v>2.564102564102564E-2</v>
      </c>
      <c r="C27" s="684">
        <f t="shared" ref="C27:AM27" si="4">IF(($AN$7+$AN$15)=0,0,(C11+C19)/($AN$7+$AN$15))</f>
        <v>5.128205128205128E-2</v>
      </c>
      <c r="D27" s="684">
        <f t="shared" si="4"/>
        <v>0.14102564102564102</v>
      </c>
      <c r="E27" s="684">
        <f t="shared" si="4"/>
        <v>0.17948717948717949</v>
      </c>
      <c r="F27" s="684">
        <f t="shared" si="4"/>
        <v>0.23076923076923078</v>
      </c>
      <c r="G27" s="684">
        <f t="shared" si="4"/>
        <v>0.30769230769230771</v>
      </c>
      <c r="H27" s="684">
        <f t="shared" si="4"/>
        <v>0.33333333333333331</v>
      </c>
      <c r="I27" s="684">
        <f t="shared" si="4"/>
        <v>0.33333333333333331</v>
      </c>
      <c r="J27" s="684">
        <f t="shared" si="4"/>
        <v>0.35897435897435898</v>
      </c>
      <c r="K27" s="684">
        <f t="shared" si="4"/>
        <v>0.4358974358974359</v>
      </c>
      <c r="L27" s="684">
        <f t="shared" si="4"/>
        <v>0.51282051282051277</v>
      </c>
      <c r="M27" s="684">
        <f t="shared" si="4"/>
        <v>0.51282051282051277</v>
      </c>
      <c r="N27" s="684">
        <f t="shared" si="4"/>
        <v>0.51282051282051277</v>
      </c>
      <c r="O27" s="684">
        <f t="shared" si="4"/>
        <v>0.52564102564102566</v>
      </c>
      <c r="P27" s="684">
        <f t="shared" si="4"/>
        <v>0.55128205128205132</v>
      </c>
      <c r="Q27" s="684">
        <f t="shared" si="4"/>
        <v>0.5641025641025641</v>
      </c>
      <c r="R27" s="684">
        <f t="shared" si="4"/>
        <v>0.57692307692307687</v>
      </c>
      <c r="S27" s="684">
        <f t="shared" si="4"/>
        <v>0.58974358974358976</v>
      </c>
      <c r="T27" s="684">
        <f t="shared" si="4"/>
        <v>0.58974358974358976</v>
      </c>
      <c r="U27" s="684">
        <f t="shared" si="4"/>
        <v>0.60256410256410253</v>
      </c>
      <c r="V27" s="684">
        <f t="shared" si="4"/>
        <v>0.60256410256410253</v>
      </c>
      <c r="W27" s="684">
        <f t="shared" si="4"/>
        <v>0.60256410256410253</v>
      </c>
      <c r="X27" s="684">
        <f t="shared" si="4"/>
        <v>0.60256410256410253</v>
      </c>
      <c r="Y27" s="684">
        <f t="shared" si="4"/>
        <v>0.60256410256410253</v>
      </c>
      <c r="Z27" s="684">
        <f t="shared" si="4"/>
        <v>0.60256410256410253</v>
      </c>
      <c r="AA27" s="684">
        <f t="shared" si="4"/>
        <v>0.60256410256410253</v>
      </c>
      <c r="AB27" s="684">
        <f t="shared" si="4"/>
        <v>0.60256410256410253</v>
      </c>
      <c r="AC27" s="684">
        <f t="shared" si="4"/>
        <v>0.60256410256410253</v>
      </c>
      <c r="AD27" s="684">
        <f t="shared" si="4"/>
        <v>0.60256410256410253</v>
      </c>
      <c r="AE27" s="684">
        <f t="shared" si="4"/>
        <v>0.60256410256410253</v>
      </c>
      <c r="AF27" s="684">
        <f t="shared" si="4"/>
        <v>0.60256410256410253</v>
      </c>
      <c r="AG27" s="684">
        <f t="shared" si="4"/>
        <v>0.60256410256410253</v>
      </c>
      <c r="AH27" s="684">
        <f t="shared" si="4"/>
        <v>0.60256410256410253</v>
      </c>
      <c r="AI27" s="684">
        <f t="shared" si="4"/>
        <v>0.60256410256410253</v>
      </c>
      <c r="AJ27" s="684">
        <f t="shared" si="4"/>
        <v>0.60256410256410253</v>
      </c>
      <c r="AK27" s="684">
        <f t="shared" si="4"/>
        <v>0.60256410256410253</v>
      </c>
      <c r="AL27" s="684">
        <f t="shared" si="4"/>
        <v>0.60256410256410253</v>
      </c>
      <c r="AM27" s="684">
        <f t="shared" si="4"/>
        <v>0.60256410256410253</v>
      </c>
      <c r="AN27" s="680">
        <f>IF((AN7+AN15)=0,0,(AN11+AN19)/(AN7+AN15))</f>
        <v>0.60256410256410253</v>
      </c>
    </row>
    <row r="28" spans="1:40" ht="18" customHeight="1">
      <c r="A28" s="690" t="s">
        <v>1360</v>
      </c>
      <c r="B28" s="691">
        <f t="shared" ref="B28:AN28" si="5">B26-B27</f>
        <v>0</v>
      </c>
      <c r="C28" s="691">
        <f t="shared" si="5"/>
        <v>0</v>
      </c>
      <c r="D28" s="691">
        <f t="shared" si="5"/>
        <v>0</v>
      </c>
      <c r="E28" s="691">
        <f t="shared" si="5"/>
        <v>0</v>
      </c>
      <c r="F28" s="691">
        <f t="shared" si="5"/>
        <v>0</v>
      </c>
      <c r="G28" s="691">
        <f t="shared" si="5"/>
        <v>0</v>
      </c>
      <c r="H28" s="691">
        <f t="shared" si="5"/>
        <v>0</v>
      </c>
      <c r="I28" s="691">
        <f t="shared" si="5"/>
        <v>0</v>
      </c>
      <c r="J28" s="691">
        <f t="shared" si="5"/>
        <v>0</v>
      </c>
      <c r="K28" s="691">
        <f t="shared" si="5"/>
        <v>0</v>
      </c>
      <c r="L28" s="691">
        <f t="shared" si="5"/>
        <v>0</v>
      </c>
      <c r="M28" s="691">
        <f t="shared" si="5"/>
        <v>0</v>
      </c>
      <c r="N28" s="691">
        <f t="shared" si="5"/>
        <v>0</v>
      </c>
      <c r="O28" s="691">
        <f t="shared" si="5"/>
        <v>0</v>
      </c>
      <c r="P28" s="691">
        <f t="shared" si="5"/>
        <v>0</v>
      </c>
      <c r="Q28" s="691">
        <f t="shared" si="5"/>
        <v>0</v>
      </c>
      <c r="R28" s="691">
        <f t="shared" si="5"/>
        <v>0</v>
      </c>
      <c r="S28" s="691">
        <f t="shared" si="5"/>
        <v>0</v>
      </c>
      <c r="T28" s="691">
        <f t="shared" si="5"/>
        <v>2.5641025641025661E-2</v>
      </c>
      <c r="U28" s="691">
        <f t="shared" si="5"/>
        <v>3.8461538461538547E-2</v>
      </c>
      <c r="V28" s="691">
        <f t="shared" si="5"/>
        <v>6.4102564102564097E-2</v>
      </c>
      <c r="W28" s="691">
        <f t="shared" si="5"/>
        <v>8.9743589743589758E-2</v>
      </c>
      <c r="X28" s="691">
        <f t="shared" si="5"/>
        <v>8.9743589743589758E-2</v>
      </c>
      <c r="Y28" s="691">
        <f t="shared" si="5"/>
        <v>0.11538461538461542</v>
      </c>
      <c r="Z28" s="691">
        <f t="shared" si="5"/>
        <v>0.14102564102564108</v>
      </c>
      <c r="AA28" s="691">
        <f t="shared" si="5"/>
        <v>0.16666666666666674</v>
      </c>
      <c r="AB28" s="691">
        <f t="shared" si="5"/>
        <v>0.19230769230769229</v>
      </c>
      <c r="AC28" s="691">
        <f t="shared" si="5"/>
        <v>0.21794871794871795</v>
      </c>
      <c r="AD28" s="691">
        <f t="shared" si="5"/>
        <v>0.24358974358974361</v>
      </c>
      <c r="AE28" s="691">
        <f t="shared" si="5"/>
        <v>0.26923076923076927</v>
      </c>
      <c r="AF28" s="691">
        <f t="shared" si="5"/>
        <v>0.29487179487179493</v>
      </c>
      <c r="AG28" s="691">
        <f t="shared" si="5"/>
        <v>0.3205128205128206</v>
      </c>
      <c r="AH28" s="691">
        <f t="shared" si="5"/>
        <v>0.34615384615384615</v>
      </c>
      <c r="AI28" s="691">
        <f t="shared" si="5"/>
        <v>0.37179487179487181</v>
      </c>
      <c r="AJ28" s="691">
        <f t="shared" si="5"/>
        <v>0.39743589743589747</v>
      </c>
      <c r="AK28" s="691">
        <f t="shared" si="5"/>
        <v>0.39743589743589747</v>
      </c>
      <c r="AL28" s="691">
        <f t="shared" si="5"/>
        <v>0.39743589743589747</v>
      </c>
      <c r="AM28" s="691">
        <f t="shared" si="5"/>
        <v>0.39743589743589747</v>
      </c>
      <c r="AN28" s="692">
        <f t="shared" si="5"/>
        <v>0.39743589743589747</v>
      </c>
    </row>
    <row r="29" spans="1:40" ht="27.6">
      <c r="A29" s="693" t="s">
        <v>1361</v>
      </c>
      <c r="B29" s="757"/>
      <c r="C29" s="757"/>
      <c r="D29" s="757"/>
      <c r="E29" s="757"/>
      <c r="F29" s="757"/>
      <c r="G29" s="757"/>
      <c r="H29" s="757"/>
      <c r="I29" s="757"/>
      <c r="J29" s="757"/>
      <c r="K29" s="757"/>
      <c r="L29" s="757"/>
      <c r="M29" s="757"/>
      <c r="N29" s="757"/>
      <c r="O29" s="757"/>
      <c r="P29" s="757"/>
      <c r="Q29" s="757"/>
      <c r="R29" s="757"/>
      <c r="S29" s="757"/>
      <c r="T29" s="757"/>
      <c r="U29" s="757"/>
      <c r="V29" s="757"/>
      <c r="W29" s="757"/>
      <c r="X29" s="757"/>
      <c r="Y29" s="757"/>
      <c r="Z29" s="757"/>
      <c r="AA29" s="757"/>
      <c r="AB29" s="757"/>
      <c r="AC29" s="757"/>
      <c r="AD29" s="757"/>
      <c r="AE29" s="757"/>
      <c r="AF29" s="757"/>
      <c r="AG29" s="757"/>
      <c r="AH29" s="757"/>
      <c r="AI29" s="757"/>
      <c r="AJ29" s="757"/>
      <c r="AK29" s="757"/>
      <c r="AL29" s="757"/>
      <c r="AM29" s="757"/>
      <c r="AN29" s="758"/>
    </row>
    <row r="86" spans="2:39" hidden="1">
      <c r="B86" s="694">
        <f>DATE(2025,11,8)</f>
        <v>45969</v>
      </c>
      <c r="C86" s="694">
        <f>DATE(2025,11,15)</f>
        <v>45976</v>
      </c>
      <c r="D86" s="694">
        <f>DATE(2025,11,22)</f>
        <v>45983</v>
      </c>
      <c r="E86" s="694">
        <f>DATE(2025,11,29)</f>
        <v>45990</v>
      </c>
      <c r="F86" s="694">
        <f>DATE(2025,12,6)</f>
        <v>45997</v>
      </c>
      <c r="G86" s="694">
        <f>DATE(2025,12,13)</f>
        <v>46004</v>
      </c>
      <c r="H86" s="694">
        <f>DATE(2025,12,20)</f>
        <v>46011</v>
      </c>
      <c r="I86" s="694">
        <f>DATE(2025,12,27)</f>
        <v>46018</v>
      </c>
      <c r="J86" s="694">
        <f>DATE(2026,1,3)</f>
        <v>46025</v>
      </c>
      <c r="K86" s="694">
        <f>DATE(2026,1,10)</f>
        <v>46032</v>
      </c>
      <c r="L86" s="694">
        <f>DATE(2026,1,17)</f>
        <v>46039</v>
      </c>
      <c r="M86" s="694">
        <f>DATE(2026,1,24)</f>
        <v>46046</v>
      </c>
      <c r="N86" s="694">
        <f>DATE(2026,1,31)</f>
        <v>46053</v>
      </c>
      <c r="O86" s="694">
        <f>DATE(2026,2,7)</f>
        <v>46060</v>
      </c>
      <c r="P86" s="694">
        <f>DATE(2026,2,14)</f>
        <v>46067</v>
      </c>
      <c r="Q86" s="694">
        <f>DATE(2026,2,21)</f>
        <v>46074</v>
      </c>
      <c r="R86" s="694">
        <f>DATE(2026,2,28)</f>
        <v>46081</v>
      </c>
      <c r="S86" s="694">
        <f>DATE(2026,3,7)</f>
        <v>46088</v>
      </c>
      <c r="T86" s="694">
        <f>DATE(2026,3,14)</f>
        <v>46095</v>
      </c>
      <c r="U86" s="694">
        <f>DATE(2026,3,21)</f>
        <v>46102</v>
      </c>
      <c r="V86" s="694">
        <f>DATE(2026,3,28)</f>
        <v>46109</v>
      </c>
      <c r="W86" s="694">
        <f>DATE(2026,4,4)</f>
        <v>46116</v>
      </c>
      <c r="X86" s="694">
        <f>DATE(2026,4,11)</f>
        <v>46123</v>
      </c>
      <c r="Y86" s="694">
        <f>DATE(2026,4,18)</f>
        <v>46130</v>
      </c>
      <c r="Z86" s="694">
        <f>DATE(2026,4,25)</f>
        <v>46137</v>
      </c>
      <c r="AA86" s="694">
        <f>DATE(2026,5,2)</f>
        <v>46144</v>
      </c>
      <c r="AB86" s="694">
        <f>DATE(2026,5,9)</f>
        <v>46151</v>
      </c>
      <c r="AC86" s="694">
        <f>DATE(2026,5,16)</f>
        <v>46158</v>
      </c>
      <c r="AD86" s="694">
        <f>DATE(2026,5,23)</f>
        <v>46165</v>
      </c>
      <c r="AE86" s="694">
        <f>DATE(2026,5,30)</f>
        <v>46172</v>
      </c>
      <c r="AF86" s="694">
        <f>DATE(2026,6,6)</f>
        <v>46179</v>
      </c>
      <c r="AG86" s="694">
        <f>DATE(2026,6,13)</f>
        <v>46186</v>
      </c>
      <c r="AH86" s="694">
        <f>DATE(2026,6,20)</f>
        <v>46193</v>
      </c>
      <c r="AI86" s="694">
        <f>DATE(2026,6,27)</f>
        <v>46200</v>
      </c>
      <c r="AJ86" s="694">
        <f>DATE(2026,7,4)</f>
        <v>46207</v>
      </c>
      <c r="AK86" s="694">
        <f>DATE(2026,7,11)</f>
        <v>46214</v>
      </c>
      <c r="AL86" s="694">
        <f>DATE(2026,7,18)</f>
        <v>46221</v>
      </c>
      <c r="AM86" s="694">
        <f>DATE(2026,7,25)</f>
        <v>46228</v>
      </c>
    </row>
    <row r="87" spans="2:39" hidden="1">
      <c r="B87" s="694">
        <f>DATE(2025,11,14)</f>
        <v>45975</v>
      </c>
      <c r="C87" s="694">
        <f>DATE(2025,11,21)</f>
        <v>45982</v>
      </c>
      <c r="D87" s="694">
        <f>DATE(2025,11,28)</f>
        <v>45989</v>
      </c>
      <c r="E87" s="694">
        <f>DATE(2025,12,5)</f>
        <v>45996</v>
      </c>
      <c r="F87" s="694">
        <f>DATE(2025,12,12)</f>
        <v>46003</v>
      </c>
      <c r="G87" s="694">
        <f>DATE(2025,12,19)</f>
        <v>46010</v>
      </c>
      <c r="H87" s="694">
        <f>DATE(2025,12,26)</f>
        <v>46017</v>
      </c>
      <c r="I87" s="694">
        <f>DATE(2026,1,2)</f>
        <v>46024</v>
      </c>
      <c r="J87" s="694">
        <f>DATE(2026,1,9)</f>
        <v>46031</v>
      </c>
      <c r="K87" s="694">
        <f>DATE(2026,1,16)</f>
        <v>46038</v>
      </c>
      <c r="L87" s="694">
        <f>DATE(2026,1,23)</f>
        <v>46045</v>
      </c>
      <c r="M87" s="694">
        <f>DATE(2026,1,30)</f>
        <v>46052</v>
      </c>
      <c r="N87" s="694">
        <f>DATE(2026,2,6)</f>
        <v>46059</v>
      </c>
      <c r="O87" s="694">
        <f>DATE(2026,2,13)</f>
        <v>46066</v>
      </c>
      <c r="P87" s="694">
        <f>DATE(2026,2,20)</f>
        <v>46073</v>
      </c>
      <c r="Q87" s="694">
        <f>DATE(2026,2,27)</f>
        <v>46080</v>
      </c>
      <c r="R87" s="694">
        <f>DATE(2026,3,6)</f>
        <v>46087</v>
      </c>
      <c r="S87" s="694">
        <f>DATE(2026,3,13)</f>
        <v>46094</v>
      </c>
      <c r="T87" s="694">
        <f>DATE(2026,3,20)</f>
        <v>46101</v>
      </c>
      <c r="U87" s="694">
        <f>DATE(2026,3,27)</f>
        <v>46108</v>
      </c>
      <c r="V87" s="694">
        <f>DATE(2026,4,3)</f>
        <v>46115</v>
      </c>
      <c r="W87" s="694">
        <f>DATE(2026,4,10)</f>
        <v>46122</v>
      </c>
      <c r="X87" s="694">
        <f>DATE(2026,4,17)</f>
        <v>46129</v>
      </c>
      <c r="Y87" s="694">
        <f>DATE(2026,4,24)</f>
        <v>46136</v>
      </c>
      <c r="Z87" s="694">
        <f>DATE(2026,5,1)</f>
        <v>46143</v>
      </c>
      <c r="AA87" s="694">
        <f>DATE(2026,5,8)</f>
        <v>46150</v>
      </c>
      <c r="AB87" s="694">
        <f>DATE(2026,5,15)</f>
        <v>46157</v>
      </c>
      <c r="AC87" s="694">
        <f>DATE(2026,5,22)</f>
        <v>46164</v>
      </c>
      <c r="AD87" s="694">
        <f>DATE(2026,5,29)</f>
        <v>46171</v>
      </c>
      <c r="AE87" s="694">
        <f>DATE(2026,6,5)</f>
        <v>46178</v>
      </c>
      <c r="AF87" s="694">
        <f>DATE(2026,6,12)</f>
        <v>46185</v>
      </c>
      <c r="AG87" s="694">
        <f>DATE(2026,6,19)</f>
        <v>46192</v>
      </c>
      <c r="AH87" s="694">
        <f>DATE(2026,6,26)</f>
        <v>46199</v>
      </c>
      <c r="AI87" s="694">
        <f>DATE(2026,7,3)</f>
        <v>46206</v>
      </c>
      <c r="AJ87" s="694">
        <f>DATE(2026,7,10)</f>
        <v>46213</v>
      </c>
      <c r="AK87" s="694">
        <f>DATE(2026,7,17)</f>
        <v>46220</v>
      </c>
      <c r="AL87" s="694">
        <f>DATE(2026,7,24)</f>
        <v>46227</v>
      </c>
      <c r="AM87" s="694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1" customWidth="1"/>
    <col min="2" max="39" width="9.33203125" style="671" customWidth="1"/>
    <col min="40" max="16384" width="8.88671875" style="671"/>
  </cols>
  <sheetData>
    <row r="1" spans="1:41" ht="30" customHeight="1">
      <c r="A1" s="1002" t="s">
        <v>1362</v>
      </c>
      <c r="B1" s="1000"/>
      <c r="C1" s="1000"/>
      <c r="D1" s="1000"/>
      <c r="E1" s="1000"/>
      <c r="F1" s="1000"/>
      <c r="G1" s="1000"/>
      <c r="H1" s="1000"/>
      <c r="I1" s="1000"/>
      <c r="J1" s="1000"/>
      <c r="K1" s="1000"/>
      <c r="L1" s="1000"/>
      <c r="M1" s="1000"/>
      <c r="N1" s="1000"/>
      <c r="O1" s="1000"/>
      <c r="P1" s="1000"/>
      <c r="Q1" s="1000"/>
      <c r="R1" s="1000"/>
      <c r="S1" s="1000"/>
      <c r="T1" s="1000"/>
      <c r="U1" s="1000"/>
      <c r="V1" s="1000"/>
      <c r="W1" s="1000"/>
      <c r="X1" s="1000"/>
      <c r="Y1" s="1000"/>
      <c r="Z1" s="1000"/>
      <c r="AA1" s="1000"/>
      <c r="AB1" s="1000"/>
      <c r="AC1" s="1000"/>
      <c r="AD1" s="1000"/>
      <c r="AE1" s="1000"/>
      <c r="AF1" s="1000"/>
      <c r="AG1" s="1000"/>
      <c r="AH1" s="1000"/>
      <c r="AI1" s="1000"/>
      <c r="AJ1" s="1000"/>
      <c r="AK1" s="1000"/>
      <c r="AL1" s="1000"/>
      <c r="AM1" s="1000"/>
      <c r="AN1" s="1000"/>
      <c r="AO1" s="1001"/>
    </row>
    <row r="2" spans="1:41" ht="18" customHeight="1">
      <c r="A2" s="1003" t="s">
        <v>1363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1000"/>
      <c r="V2" s="1000"/>
      <c r="W2" s="1000"/>
      <c r="X2" s="1000"/>
      <c r="Y2" s="1000"/>
      <c r="Z2" s="1000"/>
      <c r="AA2" s="1000"/>
      <c r="AB2" s="1000"/>
      <c r="AC2" s="1000"/>
      <c r="AD2" s="1000"/>
      <c r="AE2" s="1000"/>
      <c r="AF2" s="1000"/>
      <c r="AG2" s="1000"/>
      <c r="AH2" s="1000"/>
      <c r="AI2" s="1000"/>
      <c r="AJ2" s="1000"/>
      <c r="AK2" s="1000"/>
      <c r="AL2" s="1000"/>
      <c r="AM2" s="1000"/>
      <c r="AN2" s="1000"/>
      <c r="AO2" s="1001"/>
    </row>
    <row r="4" spans="1:41" ht="22.2" customHeight="1">
      <c r="A4" s="1008" t="s">
        <v>1347</v>
      </c>
      <c r="B4" s="1000"/>
      <c r="C4" s="1000"/>
      <c r="D4" s="1000"/>
      <c r="E4" s="1000"/>
      <c r="F4" s="1000"/>
      <c r="G4" s="1000"/>
      <c r="H4" s="1000"/>
      <c r="I4" s="1000"/>
      <c r="J4" s="1000"/>
      <c r="K4" s="1000"/>
      <c r="L4" s="1000"/>
      <c r="M4" s="1000"/>
      <c r="N4" s="1000"/>
      <c r="O4" s="1000"/>
      <c r="P4" s="1000"/>
      <c r="Q4" s="1000"/>
      <c r="R4" s="1000"/>
      <c r="S4" s="1000"/>
      <c r="T4" s="1000"/>
      <c r="U4" s="1000"/>
      <c r="V4" s="1000"/>
      <c r="W4" s="1000"/>
      <c r="X4" s="1000"/>
      <c r="Y4" s="1000"/>
      <c r="Z4" s="1000"/>
      <c r="AA4" s="1000"/>
      <c r="AB4" s="1000"/>
      <c r="AC4" s="1000"/>
      <c r="AD4" s="1000"/>
      <c r="AE4" s="1000"/>
      <c r="AF4" s="1000"/>
      <c r="AG4" s="1000"/>
      <c r="AH4" s="1000"/>
      <c r="AI4" s="1000"/>
      <c r="AJ4" s="1000"/>
      <c r="AK4" s="1000"/>
      <c r="AL4" s="1000"/>
      <c r="AM4" s="1000"/>
      <c r="AN4" s="1000"/>
      <c r="AO4" s="1001"/>
    </row>
    <row r="5" spans="1:41" ht="36">
      <c r="A5" s="695"/>
      <c r="B5" s="672" t="str">
        <f>'SVB-Coring-รายสัปดาห์'!B4</f>
        <v>W.1
(8/11-14/11)</v>
      </c>
      <c r="C5" s="672" t="str">
        <f>'SVB-Coring-รายสัปดาห์'!C4</f>
        <v>W.2
(15/11-21/11)</v>
      </c>
      <c r="D5" s="672" t="str">
        <f>'SVB-Coring-รายสัปดาห์'!D4</f>
        <v>W.3
(22/11-28/11)</v>
      </c>
      <c r="E5" s="672" t="str">
        <f>'SVB-Coring-รายสัปดาห์'!E4</f>
        <v>W.4
(29/11-5/12)</v>
      </c>
      <c r="F5" s="672" t="str">
        <f>'SVB-Coring-รายสัปดาห์'!F4</f>
        <v>W.5
(6/12-12/12)</v>
      </c>
      <c r="G5" s="672" t="str">
        <f>'SVB-Coring-รายสัปดาห์'!G4</f>
        <v>W.6
(13/12-19/12)</v>
      </c>
      <c r="H5" s="672" t="str">
        <f>'SVB-Coring-รายสัปดาห์'!H4</f>
        <v>W.7
(20/12-26/12)</v>
      </c>
      <c r="I5" s="672" t="str">
        <f>'SVB-Coring-รายสัปดาห์'!I4</f>
        <v>W.8
(27/12-2/1)</v>
      </c>
      <c r="J5" s="672" t="str">
        <f>'SVB-Coring-รายสัปดาห์'!J4</f>
        <v>W.9
(3/1-9/1)</v>
      </c>
      <c r="K5" s="672" t="str">
        <f>'SVB-Coring-รายสัปดาห์'!K4</f>
        <v>W.10
(10/1-16/1)</v>
      </c>
      <c r="L5" s="672" t="str">
        <f>'SVB-Coring-รายสัปดาห์'!L4</f>
        <v>W.11
(17/1-23/1)</v>
      </c>
      <c r="M5" s="672" t="str">
        <f>'SVB-Coring-รายสัปดาห์'!M4</f>
        <v>W.12
(24/1-30/1)</v>
      </c>
      <c r="N5" s="672" t="str">
        <f>'SVB-Coring-รายสัปดาห์'!N4</f>
        <v>W.13
(31/1-6/2)</v>
      </c>
      <c r="O5" s="672" t="str">
        <f>'SVB-Coring-รายสัปดาห์'!O4</f>
        <v>W.14
(7/2-13/2)</v>
      </c>
      <c r="P5" s="672" t="str">
        <f>'SVB-Coring-รายสัปดาห์'!P4</f>
        <v>W.15
(14/2-20/2)</v>
      </c>
      <c r="Q5" s="672" t="str">
        <f>'SVB-Coring-รายสัปดาห์'!Q4</f>
        <v>W.16
(21/2-27/2)</v>
      </c>
      <c r="R5" s="672" t="str">
        <f>'SVB-Coring-รายสัปดาห์'!R4</f>
        <v>W.17
(28/2-6/3)</v>
      </c>
      <c r="S5" s="672" t="str">
        <f>'SVB-Coring-รายสัปดาห์'!S4</f>
        <v>W.18
(7/3-13/3)</v>
      </c>
      <c r="T5" s="672" t="str">
        <f>'SVB-Coring-รายสัปดาห์'!T4</f>
        <v>W.19
(14/3-20/3)</v>
      </c>
      <c r="U5" s="672" t="str">
        <f>'SVB-Coring-รายสัปดาห์'!U4</f>
        <v>W.20
(21/3-27/3)</v>
      </c>
      <c r="V5" s="672" t="str">
        <f>'SVB-Coring-รายสัปดาห์'!V4</f>
        <v>W.21
(28/3-3/4)</v>
      </c>
      <c r="W5" s="672" t="str">
        <f>'SVB-Coring-รายสัปดาห์'!W4</f>
        <v>W.22
(4/4-10/4)</v>
      </c>
      <c r="X5" s="672" t="str">
        <f>'SVB-Coring-รายสัปดาห์'!X4</f>
        <v>W.23
(11/4-17/4)</v>
      </c>
      <c r="Y5" s="672" t="str">
        <f>'SVB-Coring-รายสัปดาห์'!Y4</f>
        <v>W.24
(18/4-24/4)</v>
      </c>
      <c r="Z5" s="672" t="str">
        <f>'SVB-Coring-รายสัปดาห์'!Z4</f>
        <v>W.25
(25/4-1/5)</v>
      </c>
      <c r="AA5" s="672" t="str">
        <f>'SVB-Coring-รายสัปดาห์'!AA4</f>
        <v>W.26
(2/5-8/5)</v>
      </c>
      <c r="AB5" s="672" t="str">
        <f>'SVB-Coring-รายสัปดาห์'!AB4</f>
        <v>W.27
(9/5-15/5)</v>
      </c>
      <c r="AC5" s="672" t="str">
        <f>'SVB-Coring-รายสัปดาห์'!AC4</f>
        <v>W.28
(16/5-22/5)</v>
      </c>
      <c r="AD5" s="672" t="str">
        <f>'SVB-Coring-รายสัปดาห์'!AD4</f>
        <v>W.29
(23/5-29/5)</v>
      </c>
      <c r="AE5" s="672" t="str">
        <f>'SVB-Coring-รายสัปดาห์'!AE4</f>
        <v>W.30
(30/5-5/6)</v>
      </c>
      <c r="AF5" s="672" t="str">
        <f>'SVB-Coring-รายสัปดาห์'!AF4</f>
        <v>W.31
(6/6-12/6)</v>
      </c>
      <c r="AG5" s="672" t="str">
        <f>'SVB-Coring-รายสัปดาห์'!AG4</f>
        <v>W.32
(13/6-19/6)</v>
      </c>
      <c r="AH5" s="672" t="str">
        <f>'SVB-Coring-รายสัปดาห์'!AH4</f>
        <v>W.33
(20/6-26/6)</v>
      </c>
      <c r="AI5" s="672" t="str">
        <f>'SVB-Coring-รายสัปดาห์'!AI4</f>
        <v>W.34
(27/6-3/7)</v>
      </c>
      <c r="AJ5" s="672" t="str">
        <f>'SVB-Coring-รายสัปดาห์'!AJ4</f>
        <v>W.35
(4/7-10/7)</v>
      </c>
      <c r="AK5" s="672" t="str">
        <f>'SVB-Coring-รายสัปดาห์'!AK4</f>
        <v>W.36
(11/7-17/7)</v>
      </c>
      <c r="AL5" s="672" t="str">
        <f>'SVB-Coring-รายสัปดาห์'!AL4</f>
        <v>W.37
(18/7-24/7)</v>
      </c>
      <c r="AM5" s="672" t="str">
        <f>'SVB-Coring-รายสัปดาห์'!AM4</f>
        <v>W.38
(25/7-31/7)</v>
      </c>
    </row>
    <row r="6" spans="1:41" ht="16.2" customHeight="1">
      <c r="A6" s="696" t="s">
        <v>1364</v>
      </c>
      <c r="B6" s="697">
        <f>'SVB-Coring-รายสัปดาห์'!B7</f>
        <v>2</v>
      </c>
      <c r="C6" s="697">
        <f>'SVB-Coring-รายสัปดาห์'!C7</f>
        <v>2</v>
      </c>
      <c r="D6" s="697">
        <f>'SVB-Coring-รายสัปดาห์'!D7</f>
        <v>7</v>
      </c>
      <c r="E6" s="697">
        <f>'SVB-Coring-รายสัปดาห์'!E7</f>
        <v>3</v>
      </c>
      <c r="F6" s="697">
        <f>'SVB-Coring-รายสัปดาห์'!F7</f>
        <v>4</v>
      </c>
      <c r="G6" s="697">
        <f>'SVB-Coring-รายสัปดาห์'!G7</f>
        <v>6</v>
      </c>
      <c r="H6" s="697">
        <f>'SVB-Coring-รายสัปดาห์'!H7</f>
        <v>2</v>
      </c>
      <c r="I6" s="697">
        <f>'SVB-Coring-รายสัปดาห์'!I7</f>
        <v>0</v>
      </c>
      <c r="J6" s="697">
        <f>'SVB-Coring-รายสัปดาห์'!J7</f>
        <v>2</v>
      </c>
      <c r="K6" s="697">
        <f>'SVB-Coring-รายสัปดาห์'!K7</f>
        <v>6</v>
      </c>
      <c r="L6" s="697">
        <f>'SVB-Coring-รายสัปดาห์'!L7</f>
        <v>5</v>
      </c>
      <c r="M6" s="697">
        <f>'SVB-Coring-รายสัปดาห์'!M7</f>
        <v>0</v>
      </c>
      <c r="N6" s="697">
        <f>'SVB-Coring-รายสัปดาห์'!N7</f>
        <v>0</v>
      </c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  <c r="AA6" s="697"/>
      <c r="AB6" s="697"/>
      <c r="AC6" s="697"/>
      <c r="AD6" s="697"/>
      <c r="AE6" s="697"/>
      <c r="AF6" s="697"/>
      <c r="AG6" s="697"/>
      <c r="AH6" s="697"/>
      <c r="AI6" s="697"/>
      <c r="AJ6" s="697"/>
      <c r="AK6" s="697"/>
      <c r="AL6" s="697"/>
      <c r="AM6" s="697"/>
    </row>
    <row r="7" spans="1:41" ht="16.2" customHeight="1">
      <c r="A7" s="676" t="s">
        <v>1365</v>
      </c>
      <c r="B7" s="698">
        <f>'SVB-Coring-รายสัปดาห์'!B8</f>
        <v>2</v>
      </c>
      <c r="C7" s="698">
        <f>'SVB-Coring-รายสัปดาห์'!C8</f>
        <v>2</v>
      </c>
      <c r="D7" s="698">
        <f>'SVB-Coring-รายสัปดาห์'!D8</f>
        <v>7</v>
      </c>
      <c r="E7" s="698">
        <f>'SVB-Coring-รายสัปดาห์'!E8</f>
        <v>3</v>
      </c>
      <c r="F7" s="698">
        <f>'SVB-Coring-รายสัปดาห์'!F8</f>
        <v>4</v>
      </c>
      <c r="G7" s="698">
        <f>'SVB-Coring-รายสัปดาห์'!G8</f>
        <v>6</v>
      </c>
      <c r="H7" s="698">
        <f>'SVB-Coring-รายสัปดาห์'!H8</f>
        <v>2</v>
      </c>
      <c r="I7" s="698">
        <f>'SVB-Coring-รายสัปดาห์'!I8</f>
        <v>0</v>
      </c>
      <c r="J7" s="698">
        <f>'SVB-Coring-รายสัปดาห์'!J8</f>
        <v>2</v>
      </c>
      <c r="K7" s="698">
        <f>'SVB-Coring-รายสัปดาห์'!K8</f>
        <v>6</v>
      </c>
      <c r="L7" s="698">
        <f>'SVB-Coring-รายสัปดาห์'!L8</f>
        <v>5</v>
      </c>
      <c r="M7" s="698">
        <f>'SVB-Coring-รายสัปดาห์'!M8</f>
        <v>0</v>
      </c>
      <c r="N7" s="698">
        <f>'SVB-Coring-รายสัปดาห์'!N8</f>
        <v>0</v>
      </c>
      <c r="O7" s="698"/>
      <c r="P7" s="698"/>
      <c r="Q7" s="698"/>
      <c r="R7" s="698"/>
      <c r="S7" s="698"/>
      <c r="T7" s="698"/>
      <c r="U7" s="698"/>
      <c r="V7" s="698"/>
      <c r="W7" s="698"/>
      <c r="X7" s="698"/>
      <c r="Y7" s="698"/>
      <c r="Z7" s="698"/>
      <c r="AA7" s="698"/>
      <c r="AB7" s="698"/>
      <c r="AC7" s="698"/>
      <c r="AD7" s="698"/>
      <c r="AE7" s="698"/>
      <c r="AF7" s="698"/>
      <c r="AG7" s="698"/>
      <c r="AH7" s="698"/>
      <c r="AI7" s="698"/>
      <c r="AJ7" s="698"/>
      <c r="AK7" s="698"/>
      <c r="AL7" s="698"/>
      <c r="AM7" s="698"/>
    </row>
    <row r="8" spans="1:41" ht="16.2" customHeight="1">
      <c r="A8" s="676" t="s">
        <v>1352</v>
      </c>
      <c r="B8" s="698">
        <f>'SVB-Coring-รายสัปดาห์'!B11</f>
        <v>2</v>
      </c>
      <c r="C8" s="698">
        <f>'SVB-Coring-รายสัปดาห์'!C11</f>
        <v>4</v>
      </c>
      <c r="D8" s="698">
        <f>'SVB-Coring-รายสัปดาห์'!D11</f>
        <v>11</v>
      </c>
      <c r="E8" s="698">
        <f>'SVB-Coring-รายสัปดาห์'!E11</f>
        <v>14</v>
      </c>
      <c r="F8" s="698">
        <f>'SVB-Coring-รายสัปดาห์'!F11</f>
        <v>18</v>
      </c>
      <c r="G8" s="698">
        <f>'SVB-Coring-รายสัปดาห์'!G11</f>
        <v>24</v>
      </c>
      <c r="H8" s="698">
        <f>'SVB-Coring-รายสัปดาห์'!H11</f>
        <v>26</v>
      </c>
      <c r="I8" s="698">
        <f>'SVB-Coring-รายสัปดาห์'!I11</f>
        <v>26</v>
      </c>
      <c r="J8" s="698">
        <f>'SVB-Coring-รายสัปดาห์'!J11</f>
        <v>28</v>
      </c>
      <c r="K8" s="698">
        <f>'SVB-Coring-รายสัปดาห์'!K11</f>
        <v>34</v>
      </c>
      <c r="L8" s="698">
        <f>'SVB-Coring-รายสัปดาห์'!L11</f>
        <v>39</v>
      </c>
      <c r="M8" s="698">
        <f>'SVB-Coring-รายสัปดาห์'!M11</f>
        <v>39</v>
      </c>
      <c r="N8" s="698">
        <f>'SVB-Coring-รายสัปดาห์'!N11</f>
        <v>39</v>
      </c>
      <c r="O8" s="698"/>
      <c r="P8" s="698"/>
      <c r="Q8" s="698"/>
      <c r="R8" s="698"/>
      <c r="S8" s="698"/>
      <c r="T8" s="698"/>
      <c r="U8" s="698"/>
      <c r="V8" s="698"/>
      <c r="W8" s="698"/>
      <c r="X8" s="698"/>
      <c r="Y8" s="698"/>
      <c r="Z8" s="698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</row>
    <row r="9" spans="1:41" ht="16.2" customHeight="1">
      <c r="A9" s="690" t="s">
        <v>1350</v>
      </c>
      <c r="B9" s="699">
        <f>'SVB-Coring-รายสัปดาห์'!B9</f>
        <v>1</v>
      </c>
      <c r="C9" s="699">
        <f>'SVB-Coring-รายสัปดาห์'!C9</f>
        <v>1</v>
      </c>
      <c r="D9" s="699">
        <f>'SVB-Coring-รายสัปดาห์'!D9</f>
        <v>1</v>
      </c>
      <c r="E9" s="699">
        <f>'SVB-Coring-รายสัปดาห์'!E9</f>
        <v>1</v>
      </c>
      <c r="F9" s="699">
        <f>'SVB-Coring-รายสัปดาห์'!F9</f>
        <v>1</v>
      </c>
      <c r="G9" s="699">
        <f>'SVB-Coring-รายสัปดาห์'!G9</f>
        <v>1</v>
      </c>
      <c r="H9" s="699">
        <f>'SVB-Coring-รายสัปดาห์'!H9</f>
        <v>1</v>
      </c>
      <c r="I9" s="699">
        <f>'SVB-Coring-รายสัปดาห์'!I9</f>
        <v>0</v>
      </c>
      <c r="J9" s="699">
        <f>'SVB-Coring-รายสัปดาห์'!J9</f>
        <v>1</v>
      </c>
      <c r="K9" s="699">
        <f>'SVB-Coring-รายสัปดาห์'!K9</f>
        <v>1</v>
      </c>
      <c r="L9" s="699">
        <f>'SVB-Coring-รายสัปดาห์'!L9</f>
        <v>1</v>
      </c>
      <c r="M9" s="699">
        <f>'SVB-Coring-รายสัปดาห์'!M9</f>
        <v>0</v>
      </c>
      <c r="N9" s="699">
        <f>'SVB-Coring-รายสัปดาห์'!N9</f>
        <v>0</v>
      </c>
      <c r="O9" s="699">
        <f>'SVB-Coring-รายสัปดาห์'!O9</f>
        <v>0</v>
      </c>
      <c r="P9" s="699">
        <f>'SVB-Coring-รายสัปดาห์'!P9</f>
        <v>0</v>
      </c>
      <c r="Q9" s="699">
        <f>'SVB-Coring-รายสัปดาห์'!Q9</f>
        <v>0</v>
      </c>
      <c r="R9" s="699">
        <f>'SVB-Coring-รายสัปดาห์'!R9</f>
        <v>0</v>
      </c>
      <c r="S9" s="699">
        <f>'SVB-Coring-รายสัปดาห์'!S9</f>
        <v>0</v>
      </c>
      <c r="T9" s="699">
        <f>'SVB-Coring-รายสัปดาห์'!T9</f>
        <v>0</v>
      </c>
      <c r="U9" s="699">
        <f>'SVB-Coring-รายสัปดาห์'!U9</f>
        <v>0</v>
      </c>
      <c r="V9" s="699">
        <f>'SVB-Coring-รายสัปดาห์'!V9</f>
        <v>0</v>
      </c>
      <c r="W9" s="699">
        <f>'SVB-Coring-รายสัปดาห์'!W9</f>
        <v>0</v>
      </c>
      <c r="X9" s="699">
        <f>'SVB-Coring-รายสัปดาห์'!X9</f>
        <v>0</v>
      </c>
      <c r="Y9" s="699">
        <f>'SVB-Coring-รายสัปดาห์'!Y9</f>
        <v>0</v>
      </c>
      <c r="Z9" s="699">
        <f>'SVB-Coring-รายสัปดาห์'!Z9</f>
        <v>0</v>
      </c>
      <c r="AA9" s="699">
        <f>'SVB-Coring-รายสัปดาห์'!AA9</f>
        <v>0</v>
      </c>
      <c r="AB9" s="699">
        <f>'SVB-Coring-รายสัปดาห์'!AB9</f>
        <v>0</v>
      </c>
      <c r="AC9" s="699">
        <f>'SVB-Coring-รายสัปดาห์'!AC9</f>
        <v>0</v>
      </c>
      <c r="AD9" s="699">
        <f>'SVB-Coring-รายสัปดาห์'!AD9</f>
        <v>0</v>
      </c>
      <c r="AE9" s="699">
        <f>'SVB-Coring-รายสัปดาห์'!AE9</f>
        <v>0</v>
      </c>
      <c r="AF9" s="699">
        <f>'SVB-Coring-รายสัปดาห์'!AF9</f>
        <v>0</v>
      </c>
      <c r="AG9" s="699">
        <f>'SVB-Coring-รายสัปดาห์'!AG9</f>
        <v>0</v>
      </c>
      <c r="AH9" s="699">
        <f>'SVB-Coring-รายสัปดาห์'!AH9</f>
        <v>0</v>
      </c>
      <c r="AI9" s="699">
        <f>'SVB-Coring-รายสัปดาห์'!AI9</f>
        <v>0</v>
      </c>
      <c r="AJ9" s="699">
        <f>'SVB-Coring-รายสัปดาห์'!AJ9</f>
        <v>0</v>
      </c>
      <c r="AK9" s="699">
        <f>'SVB-Coring-รายสัปดาห์'!AK9</f>
        <v>0</v>
      </c>
      <c r="AL9" s="699">
        <f>'SVB-Coring-รายสัปดาห์'!AL9</f>
        <v>0</v>
      </c>
      <c r="AM9" s="699">
        <f>'SVB-Coring-รายสัปดาห์'!AM9</f>
        <v>0</v>
      </c>
    </row>
    <row r="10" spans="1:41" ht="16.2" customHeight="1">
      <c r="A10" s="681" t="s">
        <v>1366</v>
      </c>
      <c r="B10" s="700">
        <f>'SVB-Coring-รายสัปดาห์'!B12</f>
        <v>5.128205128205128E-2</v>
      </c>
      <c r="C10" s="700">
        <f>'SVB-Coring-รายสัปดาห์'!C12</f>
        <v>0.10256410256410256</v>
      </c>
      <c r="D10" s="700">
        <f>'SVB-Coring-รายสัปดาห์'!D12</f>
        <v>0.28205128205128205</v>
      </c>
      <c r="E10" s="700">
        <f>'SVB-Coring-รายสัปดาห์'!E12</f>
        <v>0.35897435897435898</v>
      </c>
      <c r="F10" s="700">
        <f>'SVB-Coring-รายสัปดาห์'!F12</f>
        <v>0.46153846153846156</v>
      </c>
      <c r="G10" s="700">
        <f>'SVB-Coring-รายสัปดาห์'!G12</f>
        <v>0.61538461538461542</v>
      </c>
      <c r="H10" s="700">
        <f>'SVB-Coring-รายสัปดาห์'!H12</f>
        <v>0.66666666666666663</v>
      </c>
      <c r="I10" s="700">
        <f>'SVB-Coring-รายสัปดาห์'!I12</f>
        <v>0.66666666666666663</v>
      </c>
      <c r="J10" s="700">
        <f>'SVB-Coring-รายสัปดาห์'!J12</f>
        <v>0.71794871794871795</v>
      </c>
      <c r="K10" s="700">
        <f>'SVB-Coring-รายสัปดาห์'!K12</f>
        <v>0.87179487179487181</v>
      </c>
      <c r="L10" s="700">
        <f>'SVB-Coring-รายสัปดาห์'!L12</f>
        <v>1</v>
      </c>
      <c r="M10" s="700">
        <f>'SVB-Coring-รายสัปดาห์'!M12</f>
        <v>1</v>
      </c>
      <c r="N10" s="700">
        <f>'SVB-Coring-รายสัปดาห์'!N12</f>
        <v>1</v>
      </c>
      <c r="O10" s="700">
        <f>'SVB-Coring-รายสัปดาห์'!O12</f>
        <v>1</v>
      </c>
      <c r="P10" s="700">
        <f>'SVB-Coring-รายสัปดาห์'!P12</f>
        <v>1</v>
      </c>
      <c r="Q10" s="700">
        <f>'SVB-Coring-รายสัปดาห์'!Q12</f>
        <v>1</v>
      </c>
      <c r="R10" s="700">
        <f>'SVB-Coring-รายสัปดาห์'!R12</f>
        <v>1</v>
      </c>
      <c r="S10" s="700">
        <f>'SVB-Coring-รายสัปดาห์'!S12</f>
        <v>1</v>
      </c>
      <c r="T10" s="700">
        <f>'SVB-Coring-รายสัปดาห์'!T12</f>
        <v>1</v>
      </c>
      <c r="U10" s="700">
        <f>'SVB-Coring-รายสัปดาห์'!U12</f>
        <v>1</v>
      </c>
      <c r="V10" s="700">
        <f>'SVB-Coring-รายสัปดาห์'!V12</f>
        <v>1</v>
      </c>
      <c r="W10" s="700">
        <f>'SVB-Coring-รายสัปดาห์'!W12</f>
        <v>1</v>
      </c>
      <c r="X10" s="700">
        <f>'SVB-Coring-รายสัปดาห์'!X12</f>
        <v>1</v>
      </c>
      <c r="Y10" s="700">
        <f>'SVB-Coring-รายสัปดาห์'!Y12</f>
        <v>1</v>
      </c>
      <c r="Z10" s="700">
        <f>'SVB-Coring-รายสัปดาห์'!Z12</f>
        <v>1</v>
      </c>
      <c r="AA10" s="700">
        <f>'SVB-Coring-รายสัปดาห์'!AA12</f>
        <v>1</v>
      </c>
      <c r="AB10" s="700">
        <f>'SVB-Coring-รายสัปดาห์'!AB12</f>
        <v>1</v>
      </c>
      <c r="AC10" s="700">
        <f>'SVB-Coring-รายสัปดาห์'!AC12</f>
        <v>1</v>
      </c>
      <c r="AD10" s="700">
        <f>'SVB-Coring-รายสัปดาห์'!AD12</f>
        <v>1</v>
      </c>
      <c r="AE10" s="700">
        <f>'SVB-Coring-รายสัปดาห์'!AE12</f>
        <v>1</v>
      </c>
      <c r="AF10" s="700">
        <f>'SVB-Coring-รายสัปดาห์'!AF12</f>
        <v>1</v>
      </c>
      <c r="AG10" s="700">
        <f>'SVB-Coring-รายสัปดาห์'!AG12</f>
        <v>1</v>
      </c>
      <c r="AH10" s="700">
        <f>'SVB-Coring-รายสัปดาห์'!AH12</f>
        <v>1</v>
      </c>
      <c r="AI10" s="700">
        <f>'SVB-Coring-รายสัปดาห์'!AI12</f>
        <v>1</v>
      </c>
      <c r="AJ10" s="700">
        <f>'SVB-Coring-รายสัปดาห์'!AJ12</f>
        <v>1</v>
      </c>
      <c r="AK10" s="700">
        <f>'SVB-Coring-รายสัปดาห์'!AK12</f>
        <v>1</v>
      </c>
      <c r="AL10" s="700">
        <f>'SVB-Coring-รายสัปดาห์'!AL12</f>
        <v>1</v>
      </c>
      <c r="AM10" s="700">
        <f>'SVB-Coring-รายสัปดาห์'!AM12</f>
        <v>1</v>
      </c>
    </row>
    <row r="44" spans="1:41" ht="22.2" customHeight="1">
      <c r="A44" s="1009" t="s">
        <v>1354</v>
      </c>
      <c r="B44" s="1000"/>
      <c r="C44" s="1000"/>
      <c r="D44" s="1000"/>
      <c r="E44" s="1000"/>
      <c r="F44" s="1000"/>
      <c r="G44" s="1000"/>
      <c r="H44" s="1000"/>
      <c r="I44" s="1000"/>
      <c r="J44" s="1000"/>
      <c r="K44" s="1000"/>
      <c r="L44" s="1000"/>
      <c r="M44" s="1000"/>
      <c r="N44" s="1000"/>
      <c r="O44" s="1000"/>
      <c r="P44" s="1000"/>
      <c r="Q44" s="1000"/>
      <c r="R44" s="1000"/>
      <c r="S44" s="1000"/>
      <c r="T44" s="1000"/>
      <c r="U44" s="1000"/>
      <c r="V44" s="1000"/>
      <c r="W44" s="1000"/>
      <c r="X44" s="1000"/>
      <c r="Y44" s="1000"/>
      <c r="Z44" s="1000"/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1000"/>
      <c r="AO44" s="1001"/>
    </row>
    <row r="45" spans="1:41" ht="36">
      <c r="A45" s="695"/>
      <c r="B45" s="672" t="str">
        <f>'SVB-Coring-รายสัปดาห์'!B4</f>
        <v>W.1
(8/11-14/11)</v>
      </c>
      <c r="C45" s="672" t="str">
        <f>'SVB-Coring-รายสัปดาห์'!C4</f>
        <v>W.2
(15/11-21/11)</v>
      </c>
      <c r="D45" s="672" t="str">
        <f>'SVB-Coring-รายสัปดาห์'!D4</f>
        <v>W.3
(22/11-28/11)</v>
      </c>
      <c r="E45" s="672" t="str">
        <f>'SVB-Coring-รายสัปดาห์'!E4</f>
        <v>W.4
(29/11-5/12)</v>
      </c>
      <c r="F45" s="672" t="str">
        <f>'SVB-Coring-รายสัปดาห์'!F4</f>
        <v>W.5
(6/12-12/12)</v>
      </c>
      <c r="G45" s="672" t="str">
        <f>'SVB-Coring-รายสัปดาห์'!G4</f>
        <v>W.6
(13/12-19/12)</v>
      </c>
      <c r="H45" s="672" t="str">
        <f>'SVB-Coring-รายสัปดาห์'!H4</f>
        <v>W.7
(20/12-26/12)</v>
      </c>
      <c r="I45" s="672" t="str">
        <f>'SVB-Coring-รายสัปดาห์'!I4</f>
        <v>W.8
(27/12-2/1)</v>
      </c>
      <c r="J45" s="672" t="str">
        <f>'SVB-Coring-รายสัปดาห์'!J4</f>
        <v>W.9
(3/1-9/1)</v>
      </c>
      <c r="K45" s="672" t="str">
        <f>'SVB-Coring-รายสัปดาห์'!K4</f>
        <v>W.10
(10/1-16/1)</v>
      </c>
      <c r="L45" s="672" t="str">
        <f>'SVB-Coring-รายสัปดาห์'!L4</f>
        <v>W.11
(17/1-23/1)</v>
      </c>
      <c r="M45" s="672" t="str">
        <f>'SVB-Coring-รายสัปดาห์'!M4</f>
        <v>W.12
(24/1-30/1)</v>
      </c>
      <c r="N45" s="672" t="str">
        <f>'SVB-Coring-รายสัปดาห์'!N4</f>
        <v>W.13
(31/1-6/2)</v>
      </c>
      <c r="O45" s="672" t="str">
        <f>'SVB-Coring-รายสัปดาห์'!O4</f>
        <v>W.14
(7/2-13/2)</v>
      </c>
      <c r="P45" s="672" t="str">
        <f>'SVB-Coring-รายสัปดาห์'!P4</f>
        <v>W.15
(14/2-20/2)</v>
      </c>
      <c r="Q45" s="672" t="str">
        <f>'SVB-Coring-รายสัปดาห์'!Q4</f>
        <v>W.16
(21/2-27/2)</v>
      </c>
      <c r="R45" s="672" t="str">
        <f>'SVB-Coring-รายสัปดาห์'!R4</f>
        <v>W.17
(28/2-6/3)</v>
      </c>
      <c r="S45" s="672" t="str">
        <f>'SVB-Coring-รายสัปดาห์'!S4</f>
        <v>W.18
(7/3-13/3)</v>
      </c>
      <c r="T45" s="672" t="str">
        <f>'SVB-Coring-รายสัปดาห์'!T4</f>
        <v>W.19
(14/3-20/3)</v>
      </c>
      <c r="U45" s="672" t="str">
        <f>'SVB-Coring-รายสัปดาห์'!U4</f>
        <v>W.20
(21/3-27/3)</v>
      </c>
      <c r="V45" s="672" t="str">
        <f>'SVB-Coring-รายสัปดาห์'!V4</f>
        <v>W.21
(28/3-3/4)</v>
      </c>
      <c r="W45" s="672" t="str">
        <f>'SVB-Coring-รายสัปดาห์'!W4</f>
        <v>W.22
(4/4-10/4)</v>
      </c>
      <c r="X45" s="672" t="str">
        <f>'SVB-Coring-รายสัปดาห์'!X4</f>
        <v>W.23
(11/4-17/4)</v>
      </c>
      <c r="Y45" s="672" t="str">
        <f>'SVB-Coring-รายสัปดาห์'!Y4</f>
        <v>W.24
(18/4-24/4)</v>
      </c>
      <c r="Z45" s="672" t="str">
        <f>'SVB-Coring-รายสัปดาห์'!Z4</f>
        <v>W.25
(25/4-1/5)</v>
      </c>
      <c r="AA45" s="672" t="str">
        <f>'SVB-Coring-รายสัปดาห์'!AA4</f>
        <v>W.26
(2/5-8/5)</v>
      </c>
      <c r="AB45" s="672" t="str">
        <f>'SVB-Coring-รายสัปดาห์'!AB4</f>
        <v>W.27
(9/5-15/5)</v>
      </c>
      <c r="AC45" s="672" t="str">
        <f>'SVB-Coring-รายสัปดาห์'!AC4</f>
        <v>W.28
(16/5-22/5)</v>
      </c>
      <c r="AD45" s="672" t="str">
        <f>'SVB-Coring-รายสัปดาห์'!AD4</f>
        <v>W.29
(23/5-29/5)</v>
      </c>
      <c r="AE45" s="672" t="str">
        <f>'SVB-Coring-รายสัปดาห์'!AE4</f>
        <v>W.30
(30/5-5/6)</v>
      </c>
      <c r="AF45" s="672" t="str">
        <f>'SVB-Coring-รายสัปดาห์'!AF4</f>
        <v>W.31
(6/6-12/6)</v>
      </c>
      <c r="AG45" s="672" t="str">
        <f>'SVB-Coring-รายสัปดาห์'!AG4</f>
        <v>W.32
(13/6-19/6)</v>
      </c>
      <c r="AH45" s="672" t="str">
        <f>'SVB-Coring-รายสัปดาห์'!AH4</f>
        <v>W.33
(20/6-26/6)</v>
      </c>
      <c r="AI45" s="672" t="str">
        <f>'SVB-Coring-รายสัปดาห์'!AI4</f>
        <v>W.34
(27/6-3/7)</v>
      </c>
      <c r="AJ45" s="672" t="str">
        <f>'SVB-Coring-รายสัปดาห์'!AJ4</f>
        <v>W.35
(4/7-10/7)</v>
      </c>
      <c r="AK45" s="672" t="str">
        <f>'SVB-Coring-รายสัปดาห์'!AK4</f>
        <v>W.36
(11/7-17/7)</v>
      </c>
      <c r="AL45" s="672" t="str">
        <f>'SVB-Coring-รายสัปดาห์'!AL4</f>
        <v>W.37
(18/7-24/7)</v>
      </c>
      <c r="AM45" s="672" t="str">
        <f>'SVB-Coring-รายสัปดาห์'!AM4</f>
        <v>W.38
(25/7-31/7)</v>
      </c>
    </row>
    <row r="46" spans="1:41" ht="16.2" customHeight="1">
      <c r="A46" s="696" t="s">
        <v>1364</v>
      </c>
      <c r="B46" s="697">
        <f>'SVB-Coring-รายสัปดาห์'!B15</f>
        <v>0</v>
      </c>
      <c r="C46" s="697">
        <f>'SVB-Coring-รายสัปดาห์'!C15</f>
        <v>0</v>
      </c>
      <c r="D46" s="697">
        <f>'SVB-Coring-รายสัปดาห์'!D15</f>
        <v>0</v>
      </c>
      <c r="E46" s="697">
        <f>'SVB-Coring-รายสัปดาห์'!E15</f>
        <v>0</v>
      </c>
      <c r="F46" s="697">
        <f>'SVB-Coring-รายสัปดาห์'!F15</f>
        <v>0</v>
      </c>
      <c r="G46" s="697">
        <f>'SVB-Coring-รายสัปดาห์'!G15</f>
        <v>0</v>
      </c>
      <c r="H46" s="697">
        <f>'SVB-Coring-รายสัปดาห์'!H15</f>
        <v>0</v>
      </c>
      <c r="I46" s="697">
        <f>'SVB-Coring-รายสัปดาห์'!I15</f>
        <v>0</v>
      </c>
      <c r="J46" s="697">
        <f>'SVB-Coring-รายสัปดาห์'!J15</f>
        <v>0</v>
      </c>
      <c r="K46" s="697">
        <f>'SVB-Coring-รายสัปดาห์'!K15</f>
        <v>0</v>
      </c>
      <c r="L46" s="697">
        <f>'SVB-Coring-รายสัปดาห์'!L15</f>
        <v>1</v>
      </c>
      <c r="M46" s="697">
        <f>'SVB-Coring-รายสัปดาห์'!M15</f>
        <v>0</v>
      </c>
      <c r="N46" s="697">
        <f>'SVB-Coring-รายสัปดาห์'!N15</f>
        <v>0</v>
      </c>
      <c r="O46" s="697">
        <f>'SVB-Coring-รายสัปดาห์'!O15</f>
        <v>1</v>
      </c>
      <c r="P46" s="697">
        <f>'SVB-Coring-รายสัปดาห์'!P15</f>
        <v>2</v>
      </c>
      <c r="Q46" s="697">
        <f>'SVB-Coring-รายสัปดาห์'!Q15</f>
        <v>1</v>
      </c>
      <c r="R46" s="697">
        <f>'SVB-Coring-รายสัปดาห์'!R15</f>
        <v>1</v>
      </c>
      <c r="S46" s="697">
        <f>'SVB-Coring-รายสัปดาห์'!S15</f>
        <v>1</v>
      </c>
      <c r="T46" s="697">
        <f>'SVB-Coring-รายสัปดาห์'!T15</f>
        <v>2</v>
      </c>
      <c r="U46" s="697">
        <f>'SVB-Coring-รายสัปดาห์'!U15</f>
        <v>2</v>
      </c>
      <c r="V46" s="697">
        <f>'SVB-Coring-รายสัปดาห์'!V15</f>
        <v>2</v>
      </c>
      <c r="W46" s="697">
        <f>'SVB-Coring-รายสัปดาห์'!W15</f>
        <v>2</v>
      </c>
      <c r="X46" s="697">
        <f>'SVB-Coring-รายสัปดาห์'!X15</f>
        <v>0</v>
      </c>
      <c r="Y46" s="697">
        <f>'SVB-Coring-รายสัปดาห์'!Y15</f>
        <v>2</v>
      </c>
      <c r="Z46" s="697">
        <f>'SVB-Coring-รายสัปดาห์'!Z15</f>
        <v>2</v>
      </c>
      <c r="AA46" s="697">
        <f>'SVB-Coring-รายสัปดาห์'!AA15</f>
        <v>2</v>
      </c>
      <c r="AB46" s="697">
        <f>'SVB-Coring-รายสัปดาห์'!AB15</f>
        <v>2</v>
      </c>
      <c r="AC46" s="697">
        <f>'SVB-Coring-รายสัปดาห์'!AC15</f>
        <v>2</v>
      </c>
      <c r="AD46" s="697">
        <f>'SVB-Coring-รายสัปดาห์'!AD15</f>
        <v>2</v>
      </c>
      <c r="AE46" s="697">
        <f>'SVB-Coring-รายสัปดาห์'!AE15</f>
        <v>2</v>
      </c>
      <c r="AF46" s="697">
        <f>'SVB-Coring-รายสัปดาห์'!AF15</f>
        <v>2</v>
      </c>
      <c r="AG46" s="697">
        <f>'SVB-Coring-รายสัปดาห์'!AG15</f>
        <v>2</v>
      </c>
      <c r="AH46" s="697">
        <f>'SVB-Coring-รายสัปดาห์'!AH15</f>
        <v>2</v>
      </c>
      <c r="AI46" s="697">
        <f>'SVB-Coring-รายสัปดาห์'!AI15</f>
        <v>2</v>
      </c>
      <c r="AJ46" s="697">
        <f>'SVB-Coring-รายสัปดาห์'!AJ15</f>
        <v>2</v>
      </c>
      <c r="AK46" s="697">
        <f>'SVB-Coring-รายสัปดาห์'!AK15</f>
        <v>0</v>
      </c>
      <c r="AL46" s="697">
        <f>'SVB-Coring-รายสัปดาห์'!AL15</f>
        <v>0</v>
      </c>
      <c r="AM46" s="697">
        <f>'SVB-Coring-รายสัปดาห์'!AM15</f>
        <v>0</v>
      </c>
    </row>
    <row r="47" spans="1:41" ht="16.2" customHeight="1">
      <c r="A47" s="676" t="s">
        <v>1365</v>
      </c>
      <c r="B47" s="698">
        <f>'SVB-Coring-รายสัปดาห์'!B16</f>
        <v>0</v>
      </c>
      <c r="C47" s="698">
        <f>'SVB-Coring-รายสัปดาห์'!C16</f>
        <v>0</v>
      </c>
      <c r="D47" s="698">
        <f>'SVB-Coring-รายสัปดาห์'!D16</f>
        <v>0</v>
      </c>
      <c r="E47" s="698">
        <f>'SVB-Coring-รายสัปดาห์'!E16</f>
        <v>0</v>
      </c>
      <c r="F47" s="698">
        <f>'SVB-Coring-รายสัปดาห์'!F16</f>
        <v>0</v>
      </c>
      <c r="G47" s="698">
        <f>'SVB-Coring-รายสัปดาห์'!G16</f>
        <v>0</v>
      </c>
      <c r="H47" s="698">
        <f>'SVB-Coring-รายสัปดาห์'!H16</f>
        <v>0</v>
      </c>
      <c r="I47" s="698">
        <f>'SVB-Coring-รายสัปดาห์'!I16</f>
        <v>0</v>
      </c>
      <c r="J47" s="698">
        <f>'SVB-Coring-รายสัปดาห์'!J16</f>
        <v>0</v>
      </c>
      <c r="K47" s="698">
        <f>'SVB-Coring-รายสัปดาห์'!K16</f>
        <v>0</v>
      </c>
      <c r="L47" s="698">
        <f>'SVB-Coring-รายสัปดาห์'!L16</f>
        <v>1</v>
      </c>
      <c r="M47" s="698">
        <f>'SVB-Coring-รายสัปดาห์'!M16</f>
        <v>0</v>
      </c>
      <c r="N47" s="698">
        <f>'SVB-Coring-รายสัปดาห์'!N16</f>
        <v>0</v>
      </c>
      <c r="O47" s="698">
        <f>'SVB-Coring-รายสัปดาห์'!O16</f>
        <v>1</v>
      </c>
      <c r="P47" s="698">
        <f>'SVB-Coring-รายสัปดาห์'!P16</f>
        <v>2</v>
      </c>
      <c r="Q47" s="698">
        <f>'SVB-Coring-รายสัปดาห์'!Q16</f>
        <v>1</v>
      </c>
      <c r="R47" s="698">
        <f>'SVB-Coring-รายสัปดาห์'!R16</f>
        <v>1</v>
      </c>
      <c r="S47" s="698">
        <f>'SVB-Coring-รายสัปดาห์'!S16</f>
        <v>1</v>
      </c>
      <c r="T47" s="698">
        <f>'SVB-Coring-รายสัปดาห์'!T16</f>
        <v>0</v>
      </c>
      <c r="U47" s="698"/>
      <c r="V47" s="698"/>
      <c r="W47" s="698"/>
      <c r="X47" s="698"/>
      <c r="Y47" s="698"/>
      <c r="Z47" s="698"/>
      <c r="AA47" s="698"/>
      <c r="AB47" s="698"/>
      <c r="AC47" s="698"/>
      <c r="AD47" s="698"/>
      <c r="AE47" s="698"/>
      <c r="AF47" s="698"/>
      <c r="AG47" s="698"/>
      <c r="AH47" s="698"/>
      <c r="AI47" s="698"/>
      <c r="AJ47" s="698"/>
      <c r="AK47" s="698"/>
      <c r="AL47" s="698"/>
      <c r="AM47" s="698"/>
    </row>
    <row r="48" spans="1:41" ht="16.2" customHeight="1">
      <c r="A48" s="676" t="s">
        <v>1352</v>
      </c>
      <c r="B48" s="698">
        <f>'SVB-Coring-รายสัปดาห์'!B19</f>
        <v>0</v>
      </c>
      <c r="C48" s="698">
        <f>'SVB-Coring-รายสัปดาห์'!C19</f>
        <v>0</v>
      </c>
      <c r="D48" s="698">
        <f>'SVB-Coring-รายสัปดาห์'!D19</f>
        <v>0</v>
      </c>
      <c r="E48" s="698">
        <f>'SVB-Coring-รายสัปดาห์'!E19</f>
        <v>0</v>
      </c>
      <c r="F48" s="698">
        <f>'SVB-Coring-รายสัปดาห์'!F19</f>
        <v>0</v>
      </c>
      <c r="G48" s="698">
        <f>'SVB-Coring-รายสัปดาห์'!G19</f>
        <v>0</v>
      </c>
      <c r="H48" s="698">
        <f>'SVB-Coring-รายสัปดาห์'!H19</f>
        <v>0</v>
      </c>
      <c r="I48" s="698">
        <f>'SVB-Coring-รายสัปดาห์'!I19</f>
        <v>0</v>
      </c>
      <c r="J48" s="698">
        <f>'SVB-Coring-รายสัปดาห์'!J19</f>
        <v>0</v>
      </c>
      <c r="K48" s="698">
        <f>'SVB-Coring-รายสัปดาห์'!K19</f>
        <v>0</v>
      </c>
      <c r="L48" s="698">
        <f>'SVB-Coring-รายสัปดาห์'!L19</f>
        <v>1</v>
      </c>
      <c r="M48" s="698">
        <f>'SVB-Coring-รายสัปดาห์'!M19</f>
        <v>1</v>
      </c>
      <c r="N48" s="698">
        <f>'SVB-Coring-รายสัปดาห์'!N19</f>
        <v>1</v>
      </c>
      <c r="O48" s="698">
        <f>'SVB-Coring-รายสัปดาห์'!O19</f>
        <v>2</v>
      </c>
      <c r="P48" s="698">
        <f>'SVB-Coring-รายสัปดาห์'!P19</f>
        <v>4</v>
      </c>
      <c r="Q48" s="698">
        <f>'SVB-Coring-รายสัปดาห์'!Q19</f>
        <v>5</v>
      </c>
      <c r="R48" s="698">
        <f>'SVB-Coring-รายสัปดาห์'!R19</f>
        <v>6</v>
      </c>
      <c r="S48" s="698">
        <f>'SVB-Coring-รายสัปดาห์'!S19</f>
        <v>7</v>
      </c>
      <c r="T48" s="698">
        <f>'SVB-Coring-รายสัปดาห์'!T19</f>
        <v>7</v>
      </c>
      <c r="U48" s="698"/>
      <c r="V48" s="698"/>
      <c r="W48" s="698"/>
      <c r="X48" s="698"/>
      <c r="Y48" s="698"/>
      <c r="Z48" s="698"/>
      <c r="AA48" s="698"/>
      <c r="AB48" s="698"/>
      <c r="AC48" s="698"/>
      <c r="AD48" s="698"/>
      <c r="AE48" s="698"/>
      <c r="AF48" s="698"/>
      <c r="AG48" s="698"/>
      <c r="AH48" s="698"/>
      <c r="AI48" s="698"/>
      <c r="AJ48" s="698"/>
      <c r="AK48" s="698"/>
      <c r="AL48" s="698"/>
      <c r="AM48" s="698"/>
    </row>
    <row r="49" spans="1:39" ht="16.2" customHeight="1">
      <c r="A49" s="690" t="s">
        <v>1350</v>
      </c>
      <c r="B49" s="699">
        <f>'SVB-Coring-รายสัปดาห์'!B17</f>
        <v>0</v>
      </c>
      <c r="C49" s="699">
        <f>'SVB-Coring-รายสัปดาห์'!C17</f>
        <v>0</v>
      </c>
      <c r="D49" s="699">
        <f>'SVB-Coring-รายสัปดาห์'!D17</f>
        <v>0</v>
      </c>
      <c r="E49" s="699">
        <f>'SVB-Coring-รายสัปดาห์'!E17</f>
        <v>0</v>
      </c>
      <c r="F49" s="699">
        <f>'SVB-Coring-รายสัปดาห์'!F17</f>
        <v>0</v>
      </c>
      <c r="G49" s="699">
        <f>'SVB-Coring-รายสัปดาห์'!G17</f>
        <v>0</v>
      </c>
      <c r="H49" s="699">
        <f>'SVB-Coring-รายสัปดาห์'!H17</f>
        <v>0</v>
      </c>
      <c r="I49" s="699">
        <f>'SVB-Coring-รายสัปดาห์'!I17</f>
        <v>0</v>
      </c>
      <c r="J49" s="699">
        <f>'SVB-Coring-รายสัปดาห์'!J17</f>
        <v>0</v>
      </c>
      <c r="K49" s="699">
        <f>'SVB-Coring-รายสัปดาห์'!K17</f>
        <v>0</v>
      </c>
      <c r="L49" s="699">
        <f>'SVB-Coring-รายสัปดาห์'!L17</f>
        <v>1</v>
      </c>
      <c r="M49" s="699">
        <f>'SVB-Coring-รายสัปดาห์'!M17</f>
        <v>0</v>
      </c>
      <c r="N49" s="699">
        <f>'SVB-Coring-รายสัปดาห์'!N17</f>
        <v>0</v>
      </c>
      <c r="O49" s="699">
        <f>'SVB-Coring-รายสัปดาห์'!O17</f>
        <v>1</v>
      </c>
      <c r="P49" s="699">
        <f>'SVB-Coring-รายสัปดาห์'!P17</f>
        <v>1</v>
      </c>
      <c r="Q49" s="699">
        <f>'SVB-Coring-รายสัปดาห์'!Q17</f>
        <v>1</v>
      </c>
      <c r="R49" s="699">
        <f>'SVB-Coring-รายสัปดาห์'!R17</f>
        <v>1</v>
      </c>
      <c r="S49" s="699">
        <f>'SVB-Coring-รายสัปดาห์'!S17</f>
        <v>1</v>
      </c>
      <c r="T49" s="699">
        <f>'SVB-Coring-รายสัปดาห์'!T17</f>
        <v>0</v>
      </c>
      <c r="U49" s="699">
        <f>'SVB-Coring-รายสัปดาห์'!U17</f>
        <v>0.5</v>
      </c>
      <c r="V49" s="699">
        <f>'SVB-Coring-รายสัปดาห์'!V17</f>
        <v>0</v>
      </c>
      <c r="W49" s="699">
        <f>'SVB-Coring-รายสัปดาห์'!W17</f>
        <v>0</v>
      </c>
      <c r="X49" s="699">
        <f>'SVB-Coring-รายสัปดาห์'!X17</f>
        <v>0</v>
      </c>
      <c r="Y49" s="699">
        <f>'SVB-Coring-รายสัปดาห์'!Y17</f>
        <v>0</v>
      </c>
      <c r="Z49" s="699">
        <f>'SVB-Coring-รายสัปดาห์'!Z17</f>
        <v>0</v>
      </c>
      <c r="AA49" s="699">
        <f>'SVB-Coring-รายสัปดาห์'!AA17</f>
        <v>0</v>
      </c>
      <c r="AB49" s="699">
        <f>'SVB-Coring-รายสัปดาห์'!AB17</f>
        <v>0</v>
      </c>
      <c r="AC49" s="699">
        <f>'SVB-Coring-รายสัปดาห์'!AC17</f>
        <v>0</v>
      </c>
      <c r="AD49" s="699">
        <f>'SVB-Coring-รายสัปดาห์'!AD17</f>
        <v>0</v>
      </c>
      <c r="AE49" s="699">
        <f>'SVB-Coring-รายสัปดาห์'!AE17</f>
        <v>0</v>
      </c>
      <c r="AF49" s="699">
        <f>'SVB-Coring-รายสัปดาห์'!AF17</f>
        <v>0</v>
      </c>
      <c r="AG49" s="699">
        <f>'SVB-Coring-รายสัปดาห์'!AG17</f>
        <v>0</v>
      </c>
      <c r="AH49" s="699">
        <f>'SVB-Coring-รายสัปดาห์'!AH17</f>
        <v>0</v>
      </c>
      <c r="AI49" s="699">
        <f>'SVB-Coring-รายสัปดาห์'!AI17</f>
        <v>0</v>
      </c>
      <c r="AJ49" s="699">
        <f>'SVB-Coring-รายสัปดาห์'!AJ17</f>
        <v>0</v>
      </c>
      <c r="AK49" s="699">
        <f>'SVB-Coring-รายสัปดาห์'!AK17</f>
        <v>0</v>
      </c>
      <c r="AL49" s="699">
        <f>'SVB-Coring-รายสัปดาห์'!AL17</f>
        <v>0</v>
      </c>
      <c r="AM49" s="699">
        <f>'SVB-Coring-รายสัปดาห์'!AM17</f>
        <v>0</v>
      </c>
    </row>
    <row r="50" spans="1:39" ht="16.2" customHeight="1">
      <c r="A50" s="681" t="s">
        <v>1366</v>
      </c>
      <c r="B50" s="700">
        <f>'SVB-Coring-รายสัปดาห์'!B20</f>
        <v>0</v>
      </c>
      <c r="C50" s="700">
        <f>'SVB-Coring-รายสัปดาห์'!C20</f>
        <v>0</v>
      </c>
      <c r="D50" s="700">
        <f>'SVB-Coring-รายสัปดาห์'!D20</f>
        <v>0</v>
      </c>
      <c r="E50" s="700">
        <f>'SVB-Coring-รายสัปดาห์'!E20</f>
        <v>0</v>
      </c>
      <c r="F50" s="700">
        <f>'SVB-Coring-รายสัปดาห์'!F20</f>
        <v>0</v>
      </c>
      <c r="G50" s="700">
        <f>'SVB-Coring-รายสัปดาห์'!G20</f>
        <v>0</v>
      </c>
      <c r="H50" s="700">
        <f>'SVB-Coring-รายสัปดาห์'!H20</f>
        <v>0</v>
      </c>
      <c r="I50" s="700">
        <f>'SVB-Coring-รายสัปดาห์'!I20</f>
        <v>0</v>
      </c>
      <c r="J50" s="700">
        <f>'SVB-Coring-รายสัปดาห์'!J20</f>
        <v>0</v>
      </c>
      <c r="K50" s="700">
        <f>'SVB-Coring-รายสัปดาห์'!K20</f>
        <v>0</v>
      </c>
      <c r="L50" s="700">
        <f>'SVB-Coring-รายสัปดาห์'!L20</f>
        <v>2.564102564102564E-2</v>
      </c>
      <c r="M50" s="700">
        <f>'SVB-Coring-รายสัปดาห์'!M20</f>
        <v>2.564102564102564E-2</v>
      </c>
      <c r="N50" s="700">
        <f>'SVB-Coring-รายสัปดาห์'!N20</f>
        <v>2.564102564102564E-2</v>
      </c>
      <c r="O50" s="700">
        <f>'SVB-Coring-รายสัปดาห์'!O20</f>
        <v>5.128205128205128E-2</v>
      </c>
      <c r="P50" s="700">
        <f>'SVB-Coring-รายสัปดาห์'!P20</f>
        <v>0.10256410256410256</v>
      </c>
      <c r="Q50" s="700">
        <f>'SVB-Coring-รายสัปดาห์'!Q20</f>
        <v>0.12820512820512819</v>
      </c>
      <c r="R50" s="700">
        <f>'SVB-Coring-รายสัปดาห์'!R20</f>
        <v>0.15384615384615385</v>
      </c>
      <c r="S50" s="700">
        <f>'SVB-Coring-รายสัปดาห์'!S20</f>
        <v>0.17948717948717949</v>
      </c>
      <c r="T50" s="700">
        <f>'SVB-Coring-รายสัปดาห์'!T20</f>
        <v>0.17948717948717949</v>
      </c>
      <c r="U50" s="700">
        <f>'SVB-Coring-รายสัปดาห์'!U20</f>
        <v>0.20512820512820512</v>
      </c>
      <c r="V50" s="700">
        <f>'SVB-Coring-รายสัปดาห์'!V20</f>
        <v>0.20512820512820512</v>
      </c>
      <c r="W50" s="700">
        <f>'SVB-Coring-รายสัปดาห์'!W20</f>
        <v>0.20512820512820512</v>
      </c>
      <c r="X50" s="700">
        <f>'SVB-Coring-รายสัปดาห์'!X20</f>
        <v>0.20512820512820512</v>
      </c>
      <c r="Y50" s="700">
        <f>'SVB-Coring-รายสัปดาห์'!Y20</f>
        <v>0.20512820512820512</v>
      </c>
      <c r="Z50" s="700">
        <f>'SVB-Coring-รายสัปดาห์'!Z20</f>
        <v>0.20512820512820512</v>
      </c>
      <c r="AA50" s="700">
        <f>'SVB-Coring-รายสัปดาห์'!AA20</f>
        <v>0.20512820512820512</v>
      </c>
      <c r="AB50" s="700">
        <f>'SVB-Coring-รายสัปดาห์'!AB20</f>
        <v>0.20512820512820512</v>
      </c>
      <c r="AC50" s="700">
        <f>'SVB-Coring-รายสัปดาห์'!AC20</f>
        <v>0.20512820512820512</v>
      </c>
      <c r="AD50" s="700">
        <f>'SVB-Coring-รายสัปดาห์'!AD20</f>
        <v>0.20512820512820512</v>
      </c>
      <c r="AE50" s="700">
        <f>'SVB-Coring-รายสัปดาห์'!AE20</f>
        <v>0.20512820512820512</v>
      </c>
      <c r="AF50" s="700">
        <f>'SVB-Coring-รายสัปดาห์'!AF20</f>
        <v>0.20512820512820512</v>
      </c>
      <c r="AG50" s="700">
        <f>'SVB-Coring-รายสัปดาห์'!AG20</f>
        <v>0.20512820512820512</v>
      </c>
      <c r="AH50" s="700">
        <f>'SVB-Coring-รายสัปดาห์'!AH20</f>
        <v>0.20512820512820512</v>
      </c>
      <c r="AI50" s="700">
        <f>'SVB-Coring-รายสัปดาห์'!AI20</f>
        <v>0.20512820512820512</v>
      </c>
      <c r="AJ50" s="700">
        <f>'SVB-Coring-รายสัปดาห์'!AJ20</f>
        <v>0.20512820512820512</v>
      </c>
      <c r="AK50" s="700">
        <f>'SVB-Coring-รายสัปดาห์'!AK20</f>
        <v>0.20512820512820512</v>
      </c>
      <c r="AL50" s="700">
        <f>'SVB-Coring-รายสัปดาห์'!AL20</f>
        <v>0.20512820512820512</v>
      </c>
      <c r="AM50" s="700">
        <f>'SVB-Coring-รายสัปดาห์'!AM20</f>
        <v>0.20512820512820512</v>
      </c>
    </row>
    <row r="80" spans="1:41" ht="22.2" customHeight="1">
      <c r="A80" s="1010" t="s">
        <v>1367</v>
      </c>
      <c r="B80" s="1011"/>
      <c r="C80" s="1011"/>
      <c r="D80" s="1011"/>
      <c r="E80" s="1011"/>
      <c r="F80" s="1011"/>
      <c r="G80" s="1011"/>
      <c r="H80" s="1011"/>
      <c r="I80" s="1011"/>
      <c r="J80" s="1011"/>
      <c r="K80" s="1011"/>
      <c r="L80" s="1011"/>
      <c r="M80" s="1011"/>
      <c r="N80" s="1011"/>
      <c r="O80" s="1011"/>
      <c r="P80" s="1011"/>
      <c r="Q80" s="1011"/>
      <c r="R80" s="1011"/>
      <c r="S80" s="1011"/>
      <c r="T80" s="1011"/>
      <c r="U80" s="1011"/>
      <c r="V80" s="1011"/>
      <c r="W80" s="1011"/>
      <c r="X80" s="1011"/>
      <c r="Y80" s="1011"/>
      <c r="Z80" s="1011"/>
      <c r="AA80" s="1011"/>
      <c r="AB80" s="1011"/>
      <c r="AC80" s="1011"/>
      <c r="AD80" s="1011"/>
      <c r="AE80" s="1011"/>
      <c r="AF80" s="1011"/>
      <c r="AG80" s="1011"/>
      <c r="AH80" s="1011"/>
      <c r="AI80" s="1011"/>
      <c r="AJ80" s="1011"/>
      <c r="AK80" s="1011"/>
      <c r="AL80" s="1011"/>
      <c r="AM80" s="1011"/>
      <c r="AN80" s="1011"/>
      <c r="AO80" s="1011"/>
    </row>
    <row r="81" spans="1:39" ht="36">
      <c r="A81" s="695"/>
      <c r="B81" s="672" t="str">
        <f>'SVB-Coring-รายสัปดาห์'!B4</f>
        <v>W.1
(8/11-14/11)</v>
      </c>
      <c r="C81" s="672" t="str">
        <f>'SVB-Coring-รายสัปดาห์'!C4</f>
        <v>W.2
(15/11-21/11)</v>
      </c>
      <c r="D81" s="672" t="str">
        <f>'SVB-Coring-รายสัปดาห์'!D4</f>
        <v>W.3
(22/11-28/11)</v>
      </c>
      <c r="E81" s="672" t="str">
        <f>'SVB-Coring-รายสัปดาห์'!E4</f>
        <v>W.4
(29/11-5/12)</v>
      </c>
      <c r="F81" s="672" t="str">
        <f>'SVB-Coring-รายสัปดาห์'!F4</f>
        <v>W.5
(6/12-12/12)</v>
      </c>
      <c r="G81" s="672" t="str">
        <f>'SVB-Coring-รายสัปดาห์'!G4</f>
        <v>W.6
(13/12-19/12)</v>
      </c>
      <c r="H81" s="672" t="str">
        <f>'SVB-Coring-รายสัปดาห์'!H4</f>
        <v>W.7
(20/12-26/12)</v>
      </c>
      <c r="I81" s="672" t="str">
        <f>'SVB-Coring-รายสัปดาห์'!I4</f>
        <v>W.8
(27/12-2/1)</v>
      </c>
      <c r="J81" s="672" t="str">
        <f>'SVB-Coring-รายสัปดาห์'!J4</f>
        <v>W.9
(3/1-9/1)</v>
      </c>
      <c r="K81" s="672" t="str">
        <f>'SVB-Coring-รายสัปดาห์'!K4</f>
        <v>W.10
(10/1-16/1)</v>
      </c>
      <c r="L81" s="672" t="str">
        <f>'SVB-Coring-รายสัปดาห์'!L4</f>
        <v>W.11
(17/1-23/1)</v>
      </c>
      <c r="M81" s="672" t="str">
        <f>'SVB-Coring-รายสัปดาห์'!M4</f>
        <v>W.12
(24/1-30/1)</v>
      </c>
      <c r="N81" s="672" t="str">
        <f>'SVB-Coring-รายสัปดาห์'!N4</f>
        <v>W.13
(31/1-6/2)</v>
      </c>
      <c r="O81" s="672" t="str">
        <f>'SVB-Coring-รายสัปดาห์'!O4</f>
        <v>W.14
(7/2-13/2)</v>
      </c>
      <c r="P81" s="672" t="str">
        <f>'SVB-Coring-รายสัปดาห์'!P4</f>
        <v>W.15
(14/2-20/2)</v>
      </c>
      <c r="Q81" s="672" t="str">
        <f>'SVB-Coring-รายสัปดาห์'!Q4</f>
        <v>W.16
(21/2-27/2)</v>
      </c>
      <c r="R81" s="672" t="str">
        <f>'SVB-Coring-รายสัปดาห์'!R4</f>
        <v>W.17
(28/2-6/3)</v>
      </c>
      <c r="S81" s="672" t="str">
        <f>'SVB-Coring-รายสัปดาห์'!S4</f>
        <v>W.18
(7/3-13/3)</v>
      </c>
      <c r="T81" s="672" t="str">
        <f>'SVB-Coring-รายสัปดาห์'!T4</f>
        <v>W.19
(14/3-20/3)</v>
      </c>
      <c r="U81" s="672" t="str">
        <f>'SVB-Coring-รายสัปดาห์'!U4</f>
        <v>W.20
(21/3-27/3)</v>
      </c>
      <c r="V81" s="672" t="str">
        <f>'SVB-Coring-รายสัปดาห์'!V4</f>
        <v>W.21
(28/3-3/4)</v>
      </c>
      <c r="W81" s="672" t="str">
        <f>'SVB-Coring-รายสัปดาห์'!W4</f>
        <v>W.22
(4/4-10/4)</v>
      </c>
      <c r="X81" s="672" t="str">
        <f>'SVB-Coring-รายสัปดาห์'!X4</f>
        <v>W.23
(11/4-17/4)</v>
      </c>
      <c r="Y81" s="672" t="str">
        <f>'SVB-Coring-รายสัปดาห์'!Y4</f>
        <v>W.24
(18/4-24/4)</v>
      </c>
      <c r="Z81" s="672" t="str">
        <f>'SVB-Coring-รายสัปดาห์'!Z4</f>
        <v>W.25
(25/4-1/5)</v>
      </c>
      <c r="AA81" s="672" t="str">
        <f>'SVB-Coring-รายสัปดาห์'!AA4</f>
        <v>W.26
(2/5-8/5)</v>
      </c>
      <c r="AB81" s="672" t="str">
        <f>'SVB-Coring-รายสัปดาห์'!AB4</f>
        <v>W.27
(9/5-15/5)</v>
      </c>
      <c r="AC81" s="672" t="str">
        <f>'SVB-Coring-รายสัปดาห์'!AC4</f>
        <v>W.28
(16/5-22/5)</v>
      </c>
      <c r="AD81" s="672" t="str">
        <f>'SVB-Coring-รายสัปดาห์'!AD4</f>
        <v>W.29
(23/5-29/5)</v>
      </c>
      <c r="AE81" s="672" t="str">
        <f>'SVB-Coring-รายสัปดาห์'!AE4</f>
        <v>W.30
(30/5-5/6)</v>
      </c>
      <c r="AF81" s="672" t="str">
        <f>'SVB-Coring-รายสัปดาห์'!AF4</f>
        <v>W.31
(6/6-12/6)</v>
      </c>
      <c r="AG81" s="672" t="str">
        <f>'SVB-Coring-รายสัปดาห์'!AG4</f>
        <v>W.32
(13/6-19/6)</v>
      </c>
      <c r="AH81" s="672" t="str">
        <f>'SVB-Coring-รายสัปดาห์'!AH4</f>
        <v>W.33
(20/6-26/6)</v>
      </c>
      <c r="AI81" s="672" t="str">
        <f>'SVB-Coring-รายสัปดาห์'!AI4</f>
        <v>W.34
(27/6-3/7)</v>
      </c>
      <c r="AJ81" s="672" t="str">
        <f>'SVB-Coring-รายสัปดาห์'!AJ4</f>
        <v>W.35
(4/7-10/7)</v>
      </c>
      <c r="AK81" s="672" t="str">
        <f>'SVB-Coring-รายสัปดาห์'!AK4</f>
        <v>W.36
(11/7-17/7)</v>
      </c>
      <c r="AL81" s="672" t="str">
        <f>'SVB-Coring-รายสัปดาห์'!AL4</f>
        <v>W.37
(18/7-24/7)</v>
      </c>
      <c r="AM81" s="672" t="str">
        <f>'SVB-Coring-รายสัปดาห์'!AM4</f>
        <v>W.38
(25/7-31/7)</v>
      </c>
    </row>
    <row r="82" spans="1:39" ht="16.2" customHeight="1">
      <c r="A82" s="687" t="s">
        <v>1368</v>
      </c>
      <c r="B82" s="701">
        <f>'SVB-Coring-รายสัปดาห์'!B26</f>
        <v>2.564102564102564E-2</v>
      </c>
      <c r="C82" s="701">
        <f>'SVB-Coring-รายสัปดาห์'!C26</f>
        <v>5.128205128205128E-2</v>
      </c>
      <c r="D82" s="701">
        <f>'SVB-Coring-รายสัปดาห์'!D26</f>
        <v>0.14102564102564102</v>
      </c>
      <c r="E82" s="701">
        <f>'SVB-Coring-รายสัปดาห์'!E26</f>
        <v>0.17948717948717949</v>
      </c>
      <c r="F82" s="701">
        <f>'SVB-Coring-รายสัปดาห์'!F26</f>
        <v>0.23076923076923078</v>
      </c>
      <c r="G82" s="701">
        <f>'SVB-Coring-รายสัปดาห์'!G26</f>
        <v>0.30769230769230771</v>
      </c>
      <c r="H82" s="701">
        <f>'SVB-Coring-รายสัปดาห์'!H26</f>
        <v>0.33333333333333331</v>
      </c>
      <c r="I82" s="701">
        <f>'SVB-Coring-รายสัปดาห์'!I26</f>
        <v>0.33333333333333331</v>
      </c>
      <c r="J82" s="701">
        <f>'SVB-Coring-รายสัปดาห์'!J26</f>
        <v>0.35897435897435898</v>
      </c>
      <c r="K82" s="701">
        <f>'SVB-Coring-รายสัปดาห์'!K26</f>
        <v>0.4358974358974359</v>
      </c>
      <c r="L82" s="701">
        <f>'SVB-Coring-รายสัปดาห์'!L26</f>
        <v>0.51282051282051277</v>
      </c>
      <c r="M82" s="701">
        <f>'SVB-Coring-รายสัปดาห์'!M26</f>
        <v>0.51282051282051277</v>
      </c>
      <c r="N82" s="701">
        <f>'SVB-Coring-รายสัปดาห์'!N26</f>
        <v>0.51282051282051277</v>
      </c>
      <c r="O82" s="701">
        <f>'SVB-Coring-รายสัปดาห์'!O26</f>
        <v>0.52564102564102566</v>
      </c>
      <c r="P82" s="701">
        <f>'SVB-Coring-รายสัปดาห์'!P26</f>
        <v>0.55128205128205132</v>
      </c>
      <c r="Q82" s="701">
        <f>'SVB-Coring-รายสัปดาห์'!Q26</f>
        <v>0.5641025641025641</v>
      </c>
      <c r="R82" s="701">
        <f>'SVB-Coring-รายสัปดาห์'!R26</f>
        <v>0.57692307692307687</v>
      </c>
      <c r="S82" s="701">
        <f>'SVB-Coring-รายสัปดาห์'!S26</f>
        <v>0.58974358974358976</v>
      </c>
      <c r="T82" s="701">
        <f>'SVB-Coring-รายสัปดาห์'!T26</f>
        <v>0.61538461538461542</v>
      </c>
      <c r="U82" s="701">
        <f>'SVB-Coring-รายสัปดาห์'!U26</f>
        <v>0.64102564102564108</v>
      </c>
      <c r="V82" s="701">
        <f>'SVB-Coring-รายสัปดาห์'!V26</f>
        <v>0.66666666666666663</v>
      </c>
      <c r="W82" s="701">
        <f>'SVB-Coring-รายสัปดาห์'!W26</f>
        <v>0.69230769230769229</v>
      </c>
      <c r="X82" s="701">
        <f>'SVB-Coring-รายสัปดาห์'!X26</f>
        <v>0.69230769230769229</v>
      </c>
      <c r="Y82" s="701">
        <f>'SVB-Coring-รายสัปดาห์'!Y26</f>
        <v>0.71794871794871795</v>
      </c>
      <c r="Z82" s="701">
        <f>'SVB-Coring-รายสัปดาห์'!Z26</f>
        <v>0.74358974358974361</v>
      </c>
      <c r="AA82" s="701">
        <f>'SVB-Coring-รายสัปดาห์'!AA26</f>
        <v>0.76923076923076927</v>
      </c>
      <c r="AB82" s="701">
        <f>'SVB-Coring-รายสัปดาห์'!AB26</f>
        <v>0.79487179487179482</v>
      </c>
      <c r="AC82" s="701">
        <f>'SVB-Coring-รายสัปดาห์'!AC26</f>
        <v>0.82051282051282048</v>
      </c>
      <c r="AD82" s="701">
        <f>'SVB-Coring-รายสัปดาห์'!AD26</f>
        <v>0.84615384615384615</v>
      </c>
      <c r="AE82" s="701">
        <f>'SVB-Coring-รายสัปดาห์'!AE26</f>
        <v>0.87179487179487181</v>
      </c>
      <c r="AF82" s="701">
        <f>'SVB-Coring-รายสัปดาห์'!AF26</f>
        <v>0.89743589743589747</v>
      </c>
      <c r="AG82" s="701">
        <f>'SVB-Coring-รายสัปดาห์'!AG26</f>
        <v>0.92307692307692313</v>
      </c>
      <c r="AH82" s="701">
        <f>'SVB-Coring-รายสัปดาห์'!AH26</f>
        <v>0.94871794871794868</v>
      </c>
      <c r="AI82" s="701">
        <f>'SVB-Coring-รายสัปดาห์'!AI26</f>
        <v>0.97435897435897434</v>
      </c>
      <c r="AJ82" s="701">
        <f>'SVB-Coring-รายสัปดาห์'!AJ26</f>
        <v>1</v>
      </c>
      <c r="AK82" s="701">
        <f>'SVB-Coring-รายสัปดาห์'!AK26</f>
        <v>1</v>
      </c>
      <c r="AL82" s="701">
        <f>'SVB-Coring-รายสัปดาห์'!AL26</f>
        <v>1</v>
      </c>
      <c r="AM82" s="701">
        <f>'SVB-Coring-รายสัปดาห์'!AM26</f>
        <v>1</v>
      </c>
    </row>
    <row r="83" spans="1:39" ht="16.2" customHeight="1">
      <c r="A83" s="702" t="s">
        <v>335</v>
      </c>
      <c r="B83" s="703">
        <f>'SVB-Coring-รายสัปดาห์'!B27</f>
        <v>2.564102564102564E-2</v>
      </c>
      <c r="C83" s="703">
        <f>'SVB-Coring-รายสัปดาห์'!C27</f>
        <v>5.128205128205128E-2</v>
      </c>
      <c r="D83" s="703">
        <f>'SVB-Coring-รายสัปดาห์'!D27</f>
        <v>0.14102564102564102</v>
      </c>
      <c r="E83" s="703">
        <f>'SVB-Coring-รายสัปดาห์'!E27</f>
        <v>0.17948717948717949</v>
      </c>
      <c r="F83" s="703">
        <f>'SVB-Coring-รายสัปดาห์'!F27</f>
        <v>0.23076923076923078</v>
      </c>
      <c r="G83" s="703">
        <f>'SVB-Coring-รายสัปดาห์'!G27</f>
        <v>0.30769230769230771</v>
      </c>
      <c r="H83" s="703">
        <f>'SVB-Coring-รายสัปดาห์'!H27</f>
        <v>0.33333333333333331</v>
      </c>
      <c r="I83" s="703">
        <f>'SVB-Coring-รายสัปดาห์'!I27</f>
        <v>0.33333333333333331</v>
      </c>
      <c r="J83" s="703">
        <f>'SVB-Coring-รายสัปดาห์'!J27</f>
        <v>0.35897435897435898</v>
      </c>
      <c r="K83" s="703">
        <f>'SVB-Coring-รายสัปดาห์'!K27</f>
        <v>0.4358974358974359</v>
      </c>
      <c r="L83" s="703">
        <f>'SVB-Coring-รายสัปดาห์'!L27</f>
        <v>0.51282051282051277</v>
      </c>
      <c r="M83" s="703">
        <f>'SVB-Coring-รายสัปดาห์'!M27</f>
        <v>0.51282051282051277</v>
      </c>
      <c r="N83" s="703">
        <f>'SVB-Coring-รายสัปดาห์'!N27</f>
        <v>0.51282051282051277</v>
      </c>
      <c r="O83" s="703">
        <f>'SVB-Coring-รายสัปดาห์'!O27</f>
        <v>0.52564102564102566</v>
      </c>
      <c r="P83" s="703">
        <f>'SVB-Coring-รายสัปดาห์'!P27</f>
        <v>0.55128205128205132</v>
      </c>
      <c r="Q83" s="703">
        <f>'SVB-Coring-รายสัปดาห์'!Q27</f>
        <v>0.5641025641025641</v>
      </c>
      <c r="R83" s="703">
        <f>'SVB-Coring-รายสัปดาห์'!R27</f>
        <v>0.57692307692307687</v>
      </c>
      <c r="S83" s="703">
        <f>'SVB-Coring-รายสัปดาห์'!S27</f>
        <v>0.58974358974358976</v>
      </c>
      <c r="T83" s="703">
        <f>'SVB-Coring-รายสัปดาห์'!T27</f>
        <v>0.58974358974358976</v>
      </c>
      <c r="U83" s="703"/>
      <c r="V83" s="703"/>
      <c r="W83" s="703"/>
      <c r="X83" s="703"/>
      <c r="Y83" s="703"/>
      <c r="Z83" s="703"/>
      <c r="AA83" s="703"/>
      <c r="AB83" s="703"/>
      <c r="AC83" s="703"/>
      <c r="AD83" s="703"/>
      <c r="AE83" s="703"/>
      <c r="AF83" s="703"/>
      <c r="AG83" s="703"/>
      <c r="AH83" s="703"/>
      <c r="AI83" s="703"/>
      <c r="AJ83" s="703"/>
      <c r="AK83" s="703"/>
      <c r="AL83" s="703"/>
      <c r="AM83" s="703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2" activePane="bottomLeft" state="frozen"/>
      <selection pane="bottomLeft" activeCell="K53" sqref="K53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19.332031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1369</v>
      </c>
      <c r="D1" s="157" t="s">
        <v>18</v>
      </c>
      <c r="E1" s="157" t="s">
        <v>19</v>
      </c>
      <c r="F1" s="156" t="s">
        <v>148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1370</v>
      </c>
      <c r="B2" s="407" t="s">
        <v>1371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21" t="s">
        <v>1372</v>
      </c>
      <c r="B3" s="1017" t="s">
        <v>1373</v>
      </c>
      <c r="C3" s="230" t="s">
        <v>339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22"/>
      <c r="B4" s="1018"/>
      <c r="C4" s="232"/>
      <c r="D4" s="234" t="s">
        <v>1374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22"/>
      <c r="B5" s="1018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22"/>
      <c r="B6" s="1018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22"/>
      <c r="B7" s="1018"/>
      <c r="C7" s="232"/>
      <c r="D7" s="234" t="s">
        <v>1375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22"/>
      <c r="B8" s="1018"/>
      <c r="C8" s="232"/>
      <c r="D8" s="234" t="s">
        <v>1376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22"/>
      <c r="B9" s="1018"/>
      <c r="C9" s="232"/>
      <c r="D9" s="234" t="s">
        <v>1377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22"/>
      <c r="B10" s="1018"/>
      <c r="C10" s="232"/>
      <c r="D10" s="234" t="s">
        <v>1378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22"/>
      <c r="B11" s="1018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22"/>
      <c r="B12" s="1018"/>
      <c r="C12" s="232"/>
      <c r="D12" s="234" t="s">
        <v>1379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22"/>
      <c r="B13" s="1018"/>
      <c r="C13" s="232"/>
      <c r="D13" s="234" t="s">
        <v>1380</v>
      </c>
      <c r="E13" s="234"/>
      <c r="F13" s="176">
        <v>1</v>
      </c>
      <c r="G13" s="161">
        <v>1</v>
      </c>
      <c r="H13" s="499">
        <v>1</v>
      </c>
      <c r="I13" s="499">
        <v>0</v>
      </c>
      <c r="J13" s="247">
        <f t="shared" si="0"/>
        <v>0.67</v>
      </c>
      <c r="K13" s="8"/>
    </row>
    <row r="14" spans="1:11" ht="18" customHeight="1">
      <c r="A14" s="1022"/>
      <c r="B14" s="1019" t="s">
        <v>1381</v>
      </c>
      <c r="C14" s="1012" t="s">
        <v>1382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22"/>
      <c r="B15" s="1020"/>
      <c r="C15" s="1013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22"/>
      <c r="B16" s="1020"/>
      <c r="C16" s="1014"/>
      <c r="D16" s="23" t="s">
        <v>1380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22"/>
      <c r="B17" s="251" t="s">
        <v>1383</v>
      </c>
      <c r="C17" s="1015" t="s">
        <v>1384</v>
      </c>
      <c r="D17" s="231" t="s">
        <v>38</v>
      </c>
      <c r="E17" s="238"/>
      <c r="F17" s="175">
        <v>1</v>
      </c>
      <c r="G17" s="162">
        <v>0</v>
      </c>
      <c r="H17" s="751">
        <v>0</v>
      </c>
      <c r="I17" s="751">
        <v>0</v>
      </c>
      <c r="J17" s="248">
        <f t="shared" si="0"/>
        <v>0</v>
      </c>
      <c r="K17" s="8"/>
    </row>
    <row r="18" spans="1:11" ht="18" customHeight="1">
      <c r="A18" s="1022"/>
      <c r="B18" s="255"/>
      <c r="C18" s="1016"/>
      <c r="D18" s="250" t="s">
        <v>1380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22"/>
      <c r="B19" s="251" t="s">
        <v>1385</v>
      </c>
      <c r="C19" s="263" t="s">
        <v>1386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22"/>
      <c r="B20" s="255" t="s">
        <v>1387</v>
      </c>
      <c r="C20" s="264" t="s">
        <v>1388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22"/>
      <c r="B21" s="255" t="s">
        <v>1389</v>
      </c>
      <c r="C21" s="264" t="s">
        <v>1390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22"/>
      <c r="B22" s="255" t="s">
        <v>1391</v>
      </c>
      <c r="C22" s="264" t="s">
        <v>1392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22"/>
      <c r="B23" s="255" t="s">
        <v>1393</v>
      </c>
      <c r="C23" s="264" t="s">
        <v>1394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22"/>
      <c r="B24" s="255" t="s">
        <v>1395</v>
      </c>
      <c r="C24" s="264" t="s">
        <v>1396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22"/>
      <c r="B25" s="255" t="s">
        <v>1397</v>
      </c>
      <c r="C25" s="264" t="s">
        <v>1398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22"/>
      <c r="B26" s="255" t="s">
        <v>1399</v>
      </c>
      <c r="C26" s="264" t="s">
        <v>1400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22"/>
      <c r="B27" s="255" t="s">
        <v>1401</v>
      </c>
      <c r="C27" s="264" t="s">
        <v>1402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22"/>
      <c r="B28" s="255" t="s">
        <v>1403</v>
      </c>
      <c r="C28" s="264" t="s">
        <v>1404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22"/>
      <c r="B29" s="255" t="s">
        <v>1405</v>
      </c>
      <c r="C29" s="264" t="s">
        <v>1406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22"/>
      <c r="B30" s="255" t="s">
        <v>1407</v>
      </c>
      <c r="C30" s="264" t="s">
        <v>1408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22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22"/>
      <c r="B32" s="255" t="s">
        <v>1409</v>
      </c>
      <c r="C32" s="264" t="s">
        <v>339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22"/>
      <c r="B33" s="255" t="s">
        <v>1410</v>
      </c>
      <c r="C33" s="264" t="s">
        <v>339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22"/>
      <c r="B34" s="255" t="s">
        <v>1411</v>
      </c>
      <c r="C34" s="264" t="s">
        <v>339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22"/>
      <c r="B35" s="255" t="s">
        <v>1412</v>
      </c>
      <c r="C35" s="264" t="s">
        <v>339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22"/>
      <c r="B36" s="255" t="s">
        <v>1413</v>
      </c>
      <c r="C36" s="264" t="s">
        <v>339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22"/>
      <c r="B37" s="408" t="s">
        <v>1414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23"/>
      <c r="B38" s="408" t="s">
        <v>1415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65" t="s">
        <v>1416</v>
      </c>
      <c r="B39" s="251" t="s">
        <v>1417</v>
      </c>
      <c r="C39" s="264" t="s">
        <v>339</v>
      </c>
      <c r="D39" s="238" t="s">
        <v>1379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27" t="s">
        <v>1418</v>
      </c>
      <c r="B40" s="251" t="s">
        <v>1419</v>
      </c>
      <c r="C40" s="263" t="s">
        <v>339</v>
      </c>
      <c r="D40" s="238" t="s">
        <v>1379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28"/>
      <c r="B41" s="262" t="s">
        <v>1420</v>
      </c>
      <c r="C41" s="263" t="s">
        <v>339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27" t="s">
        <v>1421</v>
      </c>
      <c r="B42" s="261" t="s">
        <v>1422</v>
      </c>
      <c r="C42" s="253" t="s">
        <v>339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28"/>
      <c r="B43" s="266" t="s">
        <v>1423</v>
      </c>
      <c r="C43" s="264" t="s">
        <v>339</v>
      </c>
      <c r="D43" s="23" t="s">
        <v>1379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28"/>
      <c r="B44" s="267" t="s">
        <v>1424</v>
      </c>
      <c r="C44" s="264" t="s">
        <v>339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28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28"/>
      <c r="B46" s="255" t="s">
        <v>1425</v>
      </c>
      <c r="C46" s="264" t="s">
        <v>339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28"/>
      <c r="B47" s="267" t="s">
        <v>1426</v>
      </c>
      <c r="C47" s="264" t="s">
        <v>339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28"/>
      <c r="B48" s="266" t="s">
        <v>1427</v>
      </c>
      <c r="C48" s="264" t="s">
        <v>339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9" t="s">
        <v>1428</v>
      </c>
      <c r="B49" s="333" t="s">
        <v>1429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129</v>
      </c>
      <c r="B50" s="252" t="s">
        <v>1430</v>
      </c>
      <c r="C50" s="334" t="s">
        <v>339</v>
      </c>
      <c r="D50" s="250" t="s">
        <v>1379</v>
      </c>
      <c r="E50" s="24"/>
      <c r="F50" s="751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25" t="s">
        <v>1431</v>
      </c>
      <c r="B51" s="269" t="s">
        <v>1432</v>
      </c>
      <c r="C51" s="232" t="s">
        <v>339</v>
      </c>
      <c r="D51" s="163" t="s">
        <v>76</v>
      </c>
      <c r="E51" s="22"/>
      <c r="F51" s="499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25"/>
      <c r="B52" s="255" t="s">
        <v>1433</v>
      </c>
      <c r="C52" s="232" t="s">
        <v>339</v>
      </c>
      <c r="D52" s="163" t="s">
        <v>38</v>
      </c>
      <c r="E52" s="23"/>
      <c r="F52" s="750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25"/>
      <c r="B53" s="255" t="s">
        <v>1434</v>
      </c>
      <c r="C53" s="232" t="s">
        <v>1435</v>
      </c>
      <c r="D53" s="163" t="s">
        <v>38</v>
      </c>
      <c r="E53" s="23"/>
      <c r="F53" s="750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25"/>
      <c r="B54" s="255" t="s">
        <v>1436</v>
      </c>
      <c r="C54" s="232" t="s">
        <v>1437</v>
      </c>
      <c r="D54" s="163" t="s">
        <v>38</v>
      </c>
      <c r="E54" s="23"/>
      <c r="F54" s="750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25"/>
      <c r="B55" s="255"/>
      <c r="C55" s="232"/>
      <c r="D55" s="163" t="s">
        <v>42</v>
      </c>
      <c r="E55" s="23"/>
      <c r="F55" s="750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25"/>
      <c r="B56" s="255" t="s">
        <v>1438</v>
      </c>
      <c r="C56" s="232" t="s">
        <v>1439</v>
      </c>
      <c r="D56" s="163" t="s">
        <v>38</v>
      </c>
      <c r="E56" s="23"/>
      <c r="F56" s="750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25"/>
      <c r="B57" s="255" t="s">
        <v>1440</v>
      </c>
      <c r="C57" s="232" t="s">
        <v>1441</v>
      </c>
      <c r="D57" s="163" t="s">
        <v>38</v>
      </c>
      <c r="E57" s="23"/>
      <c r="F57" s="750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25"/>
      <c r="B58" s="255"/>
      <c r="C58" s="232"/>
      <c r="D58" s="163" t="s">
        <v>42</v>
      </c>
      <c r="E58" s="23"/>
      <c r="F58" s="750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25"/>
      <c r="B59" s="255" t="s">
        <v>1442</v>
      </c>
      <c r="C59" s="232" t="s">
        <v>1443</v>
      </c>
      <c r="D59" s="163" t="s">
        <v>38</v>
      </c>
      <c r="E59" s="23"/>
      <c r="F59" s="750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25"/>
      <c r="B60" s="255" t="s">
        <v>1444</v>
      </c>
      <c r="C60" s="232" t="s">
        <v>1445</v>
      </c>
      <c r="D60" s="163" t="s">
        <v>38</v>
      </c>
      <c r="E60" s="23"/>
      <c r="F60" s="750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25"/>
      <c r="B61" s="255" t="s">
        <v>1446</v>
      </c>
      <c r="C61" s="232" t="s">
        <v>1447</v>
      </c>
      <c r="D61" s="163" t="s">
        <v>38</v>
      </c>
      <c r="E61" s="23"/>
      <c r="F61" s="750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26"/>
      <c r="B62" s="255" t="s">
        <v>1448</v>
      </c>
      <c r="C62" s="232" t="s">
        <v>1449</v>
      </c>
      <c r="D62" s="163" t="s">
        <v>38</v>
      </c>
      <c r="E62" s="24"/>
      <c r="F62" s="751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24" t="s">
        <v>1450</v>
      </c>
      <c r="B63" s="251" t="s">
        <v>1451</v>
      </c>
      <c r="C63" s="230" t="s">
        <v>339</v>
      </c>
      <c r="D63" s="159" t="s">
        <v>38</v>
      </c>
      <c r="E63" s="22"/>
      <c r="F63" s="499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25"/>
      <c r="B64" s="255"/>
      <c r="C64" s="232"/>
      <c r="D64" s="163" t="s">
        <v>42</v>
      </c>
      <c r="E64" s="23"/>
      <c r="F64" s="750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25"/>
      <c r="B65" s="255" t="s">
        <v>1452</v>
      </c>
      <c r="C65" s="232" t="s">
        <v>339</v>
      </c>
      <c r="D65" s="163" t="s">
        <v>38</v>
      </c>
      <c r="E65" s="23"/>
      <c r="F65" s="750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26"/>
      <c r="B66" s="252"/>
      <c r="C66" s="232"/>
      <c r="D66" s="163" t="s">
        <v>42</v>
      </c>
      <c r="E66" s="23"/>
      <c r="F66" s="751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1453</v>
      </c>
      <c r="B67" s="30" t="s">
        <v>1454</v>
      </c>
      <c r="C67" s="270" t="s">
        <v>339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24" t="s">
        <v>1455</v>
      </c>
      <c r="B68" s="28" t="s">
        <v>1417</v>
      </c>
      <c r="C68" s="271" t="s">
        <v>339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26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29" t="s">
        <v>1456</v>
      </c>
      <c r="B70" s="28" t="s">
        <v>1419</v>
      </c>
      <c r="C70" s="271" t="s">
        <v>339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30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29" t="s">
        <v>1457</v>
      </c>
      <c r="B72" s="28" t="s">
        <v>1419</v>
      </c>
      <c r="C72" s="271" t="s">
        <v>339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30"/>
      <c r="B73" s="30"/>
      <c r="C73" s="272"/>
      <c r="D73" s="24" t="s">
        <v>1458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1459</v>
      </c>
      <c r="B74" s="31" t="s">
        <v>1417</v>
      </c>
      <c r="C74" s="273" t="s">
        <v>339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1460</v>
      </c>
      <c r="B75" s="31" t="s">
        <v>114</v>
      </c>
      <c r="C75" s="273" t="s">
        <v>339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62" t="s">
        <v>1461</v>
      </c>
      <c r="B76" s="288" t="s">
        <v>1462</v>
      </c>
      <c r="C76" s="271" t="s">
        <v>339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64" t="s">
        <v>1463</v>
      </c>
      <c r="B77" s="289" t="s">
        <v>69</v>
      </c>
      <c r="C77" s="263" t="s">
        <v>339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1464</v>
      </c>
      <c r="B78" s="158" t="s">
        <v>1465</v>
      </c>
      <c r="C78" s="263" t="s">
        <v>339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1466</v>
      </c>
      <c r="B80" s="30" t="s">
        <v>1467</v>
      </c>
      <c r="C80" s="272" t="s">
        <v>339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29" t="s">
        <v>1468</v>
      </c>
      <c r="B81" s="28" t="s">
        <v>1419</v>
      </c>
      <c r="C81" s="271" t="s">
        <v>339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30"/>
      <c r="B82" s="30"/>
      <c r="C82" s="272"/>
      <c r="D82" s="24" t="s">
        <v>1458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24" t="s">
        <v>1469</v>
      </c>
      <c r="B83" s="28" t="s">
        <v>1470</v>
      </c>
      <c r="C83" s="271" t="s">
        <v>339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25"/>
      <c r="B84" s="29" t="s">
        <v>1471</v>
      </c>
      <c r="C84" s="264" t="s">
        <v>339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25"/>
      <c r="B85" s="29" t="s">
        <v>1472</v>
      </c>
      <c r="C85" s="264" t="s">
        <v>339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25"/>
      <c r="B86" s="29" t="s">
        <v>1473</v>
      </c>
      <c r="C86" s="264" t="s">
        <v>339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25"/>
      <c r="B87" s="29" t="s">
        <v>1474</v>
      </c>
      <c r="C87" s="264" t="s">
        <v>339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25"/>
      <c r="B88" s="29" t="s">
        <v>1475</v>
      </c>
      <c r="C88" s="264" t="s">
        <v>339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25"/>
      <c r="B89" s="29" t="s">
        <v>1476</v>
      </c>
      <c r="C89" s="264" t="s">
        <v>339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25"/>
      <c r="B90" s="29" t="s">
        <v>1477</v>
      </c>
      <c r="C90" s="264" t="s">
        <v>339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26"/>
      <c r="B91" s="30" t="s">
        <v>1478</v>
      </c>
      <c r="C91" s="272" t="s">
        <v>339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24" t="s">
        <v>1479</v>
      </c>
      <c r="B92" s="28" t="s">
        <v>1480</v>
      </c>
      <c r="C92" s="271" t="s">
        <v>339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25"/>
      <c r="B93" s="29" t="s">
        <v>1481</v>
      </c>
      <c r="C93" s="264" t="s">
        <v>339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26"/>
      <c r="B94" s="30" t="s">
        <v>1482</v>
      </c>
      <c r="C94" s="272" t="s">
        <v>339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1483</v>
      </c>
      <c r="B95" s="27" t="s">
        <v>339</v>
      </c>
      <c r="C95" s="274" t="s">
        <v>339</v>
      </c>
      <c r="D95" s="331" t="s">
        <v>1484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1485</v>
      </c>
      <c r="E96" s="12"/>
      <c r="F96" s="13" t="s">
        <v>1486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1487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G9" sqref="G9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30" t="s">
        <v>17</v>
      </c>
      <c r="C1" s="754" t="s">
        <v>16</v>
      </c>
      <c r="D1" s="743" t="s">
        <v>148</v>
      </c>
      <c r="E1" s="743" t="s">
        <v>149</v>
      </c>
      <c r="F1" s="743" t="s">
        <v>150</v>
      </c>
      <c r="G1" s="743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33" t="s">
        <v>1421</v>
      </c>
      <c r="B2" s="1031">
        <v>1</v>
      </c>
      <c r="C2" s="79" t="s">
        <v>186</v>
      </c>
      <c r="D2" s="8">
        <v>1</v>
      </c>
      <c r="E2" s="8">
        <v>1</v>
      </c>
      <c r="F2" s="767">
        <v>0</v>
      </c>
      <c r="G2" s="767" t="s">
        <v>154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5"/>
    </row>
    <row r="3" spans="1:12">
      <c r="A3" s="1033"/>
      <c r="B3" s="1031"/>
      <c r="C3" s="79" t="s">
        <v>241</v>
      </c>
      <c r="D3" s="8">
        <v>1</v>
      </c>
      <c r="E3" s="8">
        <v>1</v>
      </c>
      <c r="F3" s="767">
        <v>0</v>
      </c>
      <c r="G3" s="767" t="s">
        <v>154</v>
      </c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33"/>
      <c r="B4" s="1031"/>
      <c r="C4" s="79" t="s">
        <v>239</v>
      </c>
      <c r="D4" s="8">
        <v>1</v>
      </c>
      <c r="E4" s="8">
        <v>1</v>
      </c>
      <c r="F4" s="767">
        <v>0</v>
      </c>
      <c r="G4" s="767" t="s">
        <v>154</v>
      </c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33"/>
      <c r="B5" s="1031"/>
      <c r="C5" s="79" t="s">
        <v>1488</v>
      </c>
      <c r="D5" s="8">
        <v>1</v>
      </c>
      <c r="E5" s="8">
        <v>1</v>
      </c>
      <c r="F5" s="767">
        <v>0</v>
      </c>
      <c r="G5" s="767" t="s">
        <v>154</v>
      </c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33"/>
      <c r="B6" s="1031"/>
      <c r="C6" s="79" t="s">
        <v>1489</v>
      </c>
      <c r="D6" s="8">
        <v>1</v>
      </c>
      <c r="E6" s="8">
        <v>1</v>
      </c>
      <c r="F6" s="767">
        <v>0</v>
      </c>
      <c r="G6" s="767" t="s">
        <v>154</v>
      </c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33"/>
      <c r="B7" s="1031"/>
      <c r="C7" s="73" t="s">
        <v>128</v>
      </c>
      <c r="D7" s="8">
        <v>1</v>
      </c>
      <c r="E7" s="8">
        <v>0</v>
      </c>
      <c r="F7" s="767">
        <v>1</v>
      </c>
      <c r="G7" s="767" t="s">
        <v>154</v>
      </c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33"/>
      <c r="B8" s="1031"/>
      <c r="C8" s="73" t="s">
        <v>1490</v>
      </c>
      <c r="D8" s="8">
        <v>1</v>
      </c>
      <c r="E8" s="8">
        <v>0</v>
      </c>
      <c r="F8" s="767">
        <v>1</v>
      </c>
      <c r="G8" s="767" t="s">
        <v>154</v>
      </c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33"/>
      <c r="B9" s="1031">
        <v>2</v>
      </c>
      <c r="C9" s="73" t="s">
        <v>1491</v>
      </c>
      <c r="D9" s="8">
        <v>1</v>
      </c>
      <c r="E9" s="8">
        <v>0</v>
      </c>
      <c r="F9" s="767">
        <v>1</v>
      </c>
      <c r="G9" s="767" t="s">
        <v>154</v>
      </c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33"/>
      <c r="B10" s="1031"/>
      <c r="C10" s="79" t="s">
        <v>241</v>
      </c>
      <c r="D10" s="8">
        <v>1</v>
      </c>
      <c r="E10" s="8">
        <v>1</v>
      </c>
      <c r="F10" s="767">
        <v>0</v>
      </c>
      <c r="G10" s="767" t="s">
        <v>154</v>
      </c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33"/>
      <c r="B11" s="1031"/>
      <c r="C11" s="79" t="s">
        <v>1492</v>
      </c>
      <c r="D11" s="8">
        <v>2</v>
      </c>
      <c r="E11" s="8">
        <v>2</v>
      </c>
      <c r="F11" s="767">
        <v>0</v>
      </c>
      <c r="G11" s="767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33"/>
      <c r="B12" s="1031"/>
      <c r="C12" s="79" t="s">
        <v>1493</v>
      </c>
      <c r="D12" s="8">
        <v>1</v>
      </c>
      <c r="E12" s="8">
        <v>1</v>
      </c>
      <c r="F12" s="767">
        <v>0</v>
      </c>
      <c r="G12" s="767" t="s">
        <v>154</v>
      </c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33"/>
      <c r="B13" s="1031"/>
      <c r="C13" s="73" t="s">
        <v>1494</v>
      </c>
      <c r="D13" s="8">
        <v>1</v>
      </c>
      <c r="E13" s="8">
        <v>0</v>
      </c>
      <c r="F13" s="767">
        <v>1</v>
      </c>
      <c r="G13" s="767" t="s">
        <v>154</v>
      </c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33"/>
      <c r="B14" s="1031"/>
      <c r="C14" s="73" t="s">
        <v>1495</v>
      </c>
      <c r="D14" s="8">
        <v>1</v>
      </c>
      <c r="E14" s="8">
        <v>0</v>
      </c>
      <c r="F14" s="767">
        <v>1</v>
      </c>
      <c r="G14" s="767" t="s">
        <v>154</v>
      </c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33"/>
      <c r="B15" s="1031">
        <v>3</v>
      </c>
      <c r="C15" s="79" t="s">
        <v>1496</v>
      </c>
      <c r="D15" s="8">
        <v>1</v>
      </c>
      <c r="E15" s="8">
        <v>1</v>
      </c>
      <c r="F15" s="767">
        <v>0</v>
      </c>
      <c r="G15" s="767" t="s">
        <v>154</v>
      </c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33"/>
      <c r="B16" s="1031"/>
      <c r="C16" s="79" t="s">
        <v>128</v>
      </c>
      <c r="D16" s="8">
        <v>1</v>
      </c>
      <c r="E16" s="8">
        <v>1</v>
      </c>
      <c r="F16" s="767">
        <v>0</v>
      </c>
      <c r="G16" s="767" t="s">
        <v>154</v>
      </c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33"/>
      <c r="B17" s="1031"/>
      <c r="C17" s="79" t="s">
        <v>241</v>
      </c>
      <c r="D17" s="8">
        <v>1</v>
      </c>
      <c r="E17" s="8">
        <v>1</v>
      </c>
      <c r="F17" s="767">
        <v>0</v>
      </c>
      <c r="G17" s="767" t="s">
        <v>154</v>
      </c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33"/>
      <c r="B18" s="1031"/>
      <c r="C18" s="73" t="s">
        <v>1497</v>
      </c>
      <c r="D18" s="8">
        <v>1</v>
      </c>
      <c r="E18" s="8">
        <v>0</v>
      </c>
      <c r="F18" s="767">
        <v>1</v>
      </c>
      <c r="G18" s="767" t="s">
        <v>154</v>
      </c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33"/>
      <c r="B19" s="1031"/>
      <c r="C19" s="73" t="s">
        <v>1498</v>
      </c>
      <c r="D19" s="8">
        <v>1</v>
      </c>
      <c r="E19" s="8">
        <v>0</v>
      </c>
      <c r="F19" s="767">
        <v>1</v>
      </c>
      <c r="G19" s="767" t="s">
        <v>154</v>
      </c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33"/>
      <c r="B20" s="1031">
        <v>4</v>
      </c>
      <c r="C20" s="79" t="s">
        <v>1499</v>
      </c>
      <c r="D20" s="8">
        <v>1</v>
      </c>
      <c r="E20" s="8">
        <v>1</v>
      </c>
      <c r="F20" s="767">
        <v>0</v>
      </c>
      <c r="G20" s="767" t="s">
        <v>154</v>
      </c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33"/>
      <c r="B21" s="1031"/>
      <c r="C21" s="79" t="s">
        <v>1500</v>
      </c>
      <c r="D21" s="8">
        <v>1</v>
      </c>
      <c r="E21" s="8">
        <v>1</v>
      </c>
      <c r="F21" s="767">
        <v>0</v>
      </c>
      <c r="G21" s="767" t="s">
        <v>154</v>
      </c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33"/>
      <c r="B22" s="1031"/>
      <c r="C22" s="79" t="s">
        <v>180</v>
      </c>
      <c r="D22" s="8">
        <v>1</v>
      </c>
      <c r="E22" s="8">
        <v>1</v>
      </c>
      <c r="F22" s="767">
        <v>0</v>
      </c>
      <c r="G22" s="767" t="s">
        <v>154</v>
      </c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33"/>
      <c r="B23" s="1031"/>
      <c r="C23" s="73" t="s">
        <v>1501</v>
      </c>
      <c r="D23" s="8">
        <v>1</v>
      </c>
      <c r="E23" s="8">
        <v>0</v>
      </c>
      <c r="F23" s="767">
        <v>1</v>
      </c>
      <c r="G23" s="767" t="s">
        <v>154</v>
      </c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33"/>
      <c r="B24" s="1031"/>
      <c r="C24" s="73" t="s">
        <v>1502</v>
      </c>
      <c r="D24" s="8">
        <v>2</v>
      </c>
      <c r="E24" s="8">
        <v>0</v>
      </c>
      <c r="F24" s="767">
        <v>2</v>
      </c>
      <c r="G24" s="767" t="s">
        <v>154</v>
      </c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33"/>
      <c r="B25" s="1031"/>
      <c r="C25" s="73" t="s">
        <v>1503</v>
      </c>
      <c r="D25" s="8">
        <v>1</v>
      </c>
      <c r="E25" s="8">
        <v>0</v>
      </c>
      <c r="F25" s="767">
        <v>1</v>
      </c>
      <c r="G25" s="767" t="s">
        <v>154</v>
      </c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33"/>
      <c r="B26" s="1031">
        <v>5</v>
      </c>
      <c r="C26" s="79" t="s">
        <v>128</v>
      </c>
      <c r="D26" s="8">
        <v>2</v>
      </c>
      <c r="E26" s="8">
        <v>1</v>
      </c>
      <c r="F26" s="767">
        <v>1</v>
      </c>
      <c r="G26" s="767" t="s">
        <v>154</v>
      </c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33"/>
      <c r="B27" s="1031"/>
      <c r="C27" s="79" t="s">
        <v>1504</v>
      </c>
      <c r="D27" s="8">
        <v>1</v>
      </c>
      <c r="E27" s="8">
        <v>1</v>
      </c>
      <c r="F27" s="767">
        <v>0</v>
      </c>
      <c r="G27" s="767" t="s">
        <v>154</v>
      </c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33"/>
      <c r="B28" s="1031"/>
      <c r="C28" s="79" t="s">
        <v>1505</v>
      </c>
      <c r="D28" s="8">
        <v>1</v>
      </c>
      <c r="E28" s="8">
        <v>1</v>
      </c>
      <c r="F28" s="767">
        <v>0</v>
      </c>
      <c r="G28" s="767" t="s">
        <v>154</v>
      </c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32" t="s">
        <v>1431</v>
      </c>
      <c r="B29" s="1031">
        <v>1</v>
      </c>
      <c r="C29" s="79" t="s">
        <v>1506</v>
      </c>
      <c r="D29" s="8">
        <v>1</v>
      </c>
      <c r="E29" s="8">
        <v>1</v>
      </c>
      <c r="F29" s="767">
        <v>0</v>
      </c>
      <c r="G29" s="767" t="s">
        <v>154</v>
      </c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32"/>
      <c r="B30" s="1031"/>
      <c r="C30" s="79" t="s">
        <v>241</v>
      </c>
      <c r="D30" s="8">
        <v>1</v>
      </c>
      <c r="E30" s="8">
        <v>1</v>
      </c>
      <c r="F30" s="767">
        <v>0</v>
      </c>
      <c r="G30" s="767" t="s">
        <v>154</v>
      </c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32"/>
      <c r="B31" s="1031">
        <v>2</v>
      </c>
      <c r="C31" s="79" t="s">
        <v>1507</v>
      </c>
      <c r="D31" s="8">
        <v>1</v>
      </c>
      <c r="E31" s="8">
        <v>1</v>
      </c>
      <c r="F31" s="767">
        <v>0</v>
      </c>
      <c r="G31" s="767" t="s">
        <v>154</v>
      </c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32"/>
      <c r="B32" s="1031"/>
      <c r="C32" s="79" t="s">
        <v>1508</v>
      </c>
      <c r="D32" s="8">
        <v>1</v>
      </c>
      <c r="E32" s="8">
        <v>1</v>
      </c>
      <c r="F32" s="767">
        <v>0</v>
      </c>
      <c r="G32" s="767" t="s">
        <v>154</v>
      </c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32"/>
      <c r="B33" s="766"/>
      <c r="C33" s="79" t="s">
        <v>1509</v>
      </c>
      <c r="D33" s="8">
        <v>1</v>
      </c>
      <c r="E33" s="8">
        <v>1</v>
      </c>
      <c r="F33" s="767">
        <v>0</v>
      </c>
      <c r="G33" s="767" t="s">
        <v>154</v>
      </c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32"/>
      <c r="B34" s="766">
        <v>3</v>
      </c>
      <c r="C34" s="79" t="s">
        <v>1510</v>
      </c>
      <c r="D34" s="8">
        <v>1</v>
      </c>
      <c r="E34" s="8">
        <v>1</v>
      </c>
      <c r="F34" s="767">
        <v>0</v>
      </c>
      <c r="G34" s="767" t="s">
        <v>154</v>
      </c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32"/>
      <c r="B35" s="80"/>
      <c r="C35" s="79" t="s">
        <v>1511</v>
      </c>
      <c r="D35" s="8">
        <v>1</v>
      </c>
      <c r="E35" s="8">
        <v>1</v>
      </c>
      <c r="F35" s="767">
        <v>0</v>
      </c>
      <c r="G35" s="767" t="s">
        <v>154</v>
      </c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1032" t="s">
        <v>1512</v>
      </c>
      <c r="B36" s="766"/>
      <c r="C36" s="73" t="s">
        <v>1513</v>
      </c>
      <c r="D36" s="8">
        <v>1</v>
      </c>
      <c r="E36" s="8">
        <v>1</v>
      </c>
      <c r="F36" s="767">
        <v>0</v>
      </c>
      <c r="G36" s="767" t="s">
        <v>154</v>
      </c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1032"/>
      <c r="B37" s="766">
        <v>1</v>
      </c>
      <c r="C37" s="73" t="s">
        <v>128</v>
      </c>
      <c r="D37" s="8">
        <v>2</v>
      </c>
      <c r="E37" s="8">
        <v>1</v>
      </c>
      <c r="F37" s="767">
        <v>1</v>
      </c>
      <c r="G37" s="767" t="s">
        <v>154</v>
      </c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1032"/>
      <c r="B38" s="1031">
        <v>2</v>
      </c>
      <c r="C38" s="73" t="s">
        <v>1514</v>
      </c>
      <c r="D38" s="8">
        <v>1</v>
      </c>
      <c r="E38" s="8">
        <v>1</v>
      </c>
      <c r="F38" s="767">
        <v>0</v>
      </c>
      <c r="G38" s="767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32"/>
      <c r="B39" s="1031"/>
      <c r="C39" s="73" t="s">
        <v>128</v>
      </c>
      <c r="D39" s="8">
        <v>2</v>
      </c>
      <c r="E39" s="8">
        <v>1</v>
      </c>
      <c r="F39" s="767">
        <v>1</v>
      </c>
      <c r="G39" s="767" t="s">
        <v>154</v>
      </c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32"/>
      <c r="B40" s="1031"/>
      <c r="C40" s="73" t="s">
        <v>1515</v>
      </c>
      <c r="D40" s="8">
        <v>1</v>
      </c>
      <c r="E40" s="8">
        <v>0</v>
      </c>
      <c r="F40" s="767">
        <v>1</v>
      </c>
      <c r="G40" s="767" t="s">
        <v>154</v>
      </c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32" t="s">
        <v>1516</v>
      </c>
      <c r="B41" s="1031">
        <v>1</v>
      </c>
      <c r="C41" s="79" t="s">
        <v>1517</v>
      </c>
      <c r="D41" s="8">
        <v>1</v>
      </c>
      <c r="E41" s="8">
        <v>1</v>
      </c>
      <c r="F41" s="767">
        <v>0</v>
      </c>
      <c r="G41" s="767" t="s">
        <v>154</v>
      </c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32"/>
      <c r="B42" s="1031"/>
      <c r="C42" s="79" t="s">
        <v>1518</v>
      </c>
      <c r="D42" s="8">
        <v>1</v>
      </c>
      <c r="E42" s="8">
        <v>1</v>
      </c>
      <c r="F42" s="767">
        <v>0</v>
      </c>
      <c r="G42" s="767" t="s">
        <v>154</v>
      </c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32"/>
      <c r="B43" s="1031"/>
      <c r="C43" s="79" t="s">
        <v>1519</v>
      </c>
      <c r="D43" s="8">
        <v>1</v>
      </c>
      <c r="E43" s="8">
        <v>1</v>
      </c>
      <c r="F43" s="767">
        <v>0</v>
      </c>
      <c r="G43" s="767" t="s">
        <v>154</v>
      </c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1032"/>
      <c r="B44" s="1031">
        <v>2</v>
      </c>
      <c r="C44" s="79" t="s">
        <v>241</v>
      </c>
      <c r="D44" s="8">
        <v>2</v>
      </c>
      <c r="E44" s="8">
        <v>2</v>
      </c>
      <c r="F44" s="767">
        <v>0</v>
      </c>
      <c r="G44" s="767" t="s">
        <v>154</v>
      </c>
      <c r="H44" s="8">
        <v>0</v>
      </c>
      <c r="I44" s="8">
        <v>0</v>
      </c>
      <c r="J44" s="8">
        <v>0</v>
      </c>
      <c r="K44" s="7">
        <f t="shared" si="0"/>
        <v>0</v>
      </c>
      <c r="L44" s="385"/>
    </row>
    <row r="45" spans="1:12">
      <c r="A45" s="1032"/>
      <c r="B45" s="1031"/>
      <c r="C45" s="79" t="s">
        <v>128</v>
      </c>
      <c r="D45" s="8">
        <v>1</v>
      </c>
      <c r="E45" s="8">
        <v>1</v>
      </c>
      <c r="F45" s="767">
        <v>0</v>
      </c>
      <c r="G45" s="767" t="s">
        <v>154</v>
      </c>
      <c r="H45" s="8">
        <v>0</v>
      </c>
      <c r="I45" s="8">
        <v>0</v>
      </c>
      <c r="J45" s="8">
        <v>0</v>
      </c>
      <c r="K45" s="7">
        <f t="shared" si="0"/>
        <v>0</v>
      </c>
      <c r="L45" s="385"/>
    </row>
    <row r="46" spans="1:12">
      <c r="A46" s="388"/>
      <c r="B46" s="389"/>
      <c r="C46" s="390" t="s">
        <v>254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8"/>
      <c r="B47" s="389"/>
      <c r="C47" s="75" t="s">
        <v>255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A2:A28"/>
    <mergeCell ref="B2:B8"/>
    <mergeCell ref="B9:B14"/>
    <mergeCell ref="B15:B19"/>
    <mergeCell ref="B20:B25"/>
    <mergeCell ref="B26:B28"/>
    <mergeCell ref="B31:B32"/>
    <mergeCell ref="A36:A40"/>
    <mergeCell ref="B38:B40"/>
    <mergeCell ref="A41:A45"/>
    <mergeCell ref="B41:B43"/>
    <mergeCell ref="B44:B45"/>
    <mergeCell ref="A29:A3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256</v>
      </c>
      <c r="B1" s="138" t="s">
        <v>15</v>
      </c>
      <c r="C1" s="116" t="s">
        <v>17</v>
      </c>
      <c r="D1" s="116" t="s">
        <v>257</v>
      </c>
      <c r="E1" s="113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115" t="s">
        <v>8</v>
      </c>
      <c r="B2" s="139" t="s">
        <v>1370</v>
      </c>
      <c r="C2" s="178">
        <v>1</v>
      </c>
      <c r="D2" s="143" t="s">
        <v>1371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15" t="s">
        <v>8</v>
      </c>
      <c r="B3" s="140" t="s">
        <v>1372</v>
      </c>
      <c r="C3" s="179">
        <v>2</v>
      </c>
      <c r="D3" s="143" t="s">
        <v>1373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154</v>
      </c>
    </row>
    <row r="4" spans="1:15" s="92" customFormat="1">
      <c r="A4" s="115" t="s">
        <v>8</v>
      </c>
      <c r="B4" s="140" t="s">
        <v>1372</v>
      </c>
      <c r="C4" s="179">
        <v>1</v>
      </c>
      <c r="D4" s="114" t="s">
        <v>1381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15" t="s">
        <v>8</v>
      </c>
      <c r="B5" s="140" t="s">
        <v>1372</v>
      </c>
      <c r="C5" s="179">
        <v>1</v>
      </c>
      <c r="D5" s="114" t="s">
        <v>1383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154</v>
      </c>
    </row>
    <row r="6" spans="1:15" s="92" customFormat="1">
      <c r="A6" s="115" t="s">
        <v>8</v>
      </c>
      <c r="B6" s="140" t="s">
        <v>1372</v>
      </c>
      <c r="C6" s="179">
        <v>1</v>
      </c>
      <c r="D6" s="114" t="s">
        <v>1385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 ht="30" customHeight="1">
      <c r="A7" s="115" t="s">
        <v>8</v>
      </c>
      <c r="B7" s="140" t="s">
        <v>1372</v>
      </c>
      <c r="C7" s="179">
        <v>2</v>
      </c>
      <c r="D7" s="114" t="s">
        <v>1520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154</v>
      </c>
    </row>
    <row r="8" spans="1:15" s="92" customFormat="1">
      <c r="A8" s="115" t="s">
        <v>8</v>
      </c>
      <c r="B8" s="140" t="s">
        <v>1372</v>
      </c>
      <c r="C8" s="179">
        <v>2</v>
      </c>
      <c r="D8" s="143" t="s">
        <v>1521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115" t="s">
        <v>8</v>
      </c>
      <c r="B9" s="140" t="s">
        <v>1372</v>
      </c>
      <c r="C9" s="179">
        <v>2</v>
      </c>
      <c r="D9" s="114" t="s">
        <v>1391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15" t="s">
        <v>8</v>
      </c>
      <c r="B10" s="140" t="s">
        <v>1372</v>
      </c>
      <c r="C10" s="179">
        <v>3</v>
      </c>
      <c r="D10" s="114" t="s">
        <v>1393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15" t="s">
        <v>8</v>
      </c>
      <c r="B11" s="140" t="s">
        <v>1372</v>
      </c>
      <c r="C11" s="179">
        <v>3</v>
      </c>
      <c r="D11" s="114" t="s">
        <v>1395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15" t="s">
        <v>8</v>
      </c>
      <c r="B12" s="140" t="s">
        <v>1372</v>
      </c>
      <c r="C12" s="179">
        <v>1</v>
      </c>
      <c r="D12" s="114" t="s">
        <v>1397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154</v>
      </c>
    </row>
    <row r="13" spans="1:15" s="92" customFormat="1">
      <c r="A13" s="115" t="s">
        <v>8</v>
      </c>
      <c r="B13" s="140" t="s">
        <v>1372</v>
      </c>
      <c r="C13" s="179">
        <v>2</v>
      </c>
      <c r="D13" s="114" t="s">
        <v>1399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15" t="s">
        <v>8</v>
      </c>
      <c r="B14" s="140" t="s">
        <v>1372</v>
      </c>
      <c r="C14" s="179">
        <v>2</v>
      </c>
      <c r="D14" s="114" t="s">
        <v>1401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15" t="s">
        <v>8</v>
      </c>
      <c r="B15" s="140" t="s">
        <v>1372</v>
      </c>
      <c r="C15" s="179">
        <v>4</v>
      </c>
      <c r="D15" s="114" t="s">
        <v>1405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15" t="s">
        <v>8</v>
      </c>
      <c r="B16" s="140" t="s">
        <v>1372</v>
      </c>
      <c r="C16" s="179">
        <v>4</v>
      </c>
      <c r="D16" s="114" t="s">
        <v>1407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115" t="s">
        <v>8</v>
      </c>
      <c r="B17" s="140" t="s">
        <v>1372</v>
      </c>
      <c r="C17" s="179">
        <v>3</v>
      </c>
      <c r="D17" s="114" t="s">
        <v>1410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115" t="s">
        <v>8</v>
      </c>
      <c r="B18" s="140" t="s">
        <v>1372</v>
      </c>
      <c r="C18" s="179">
        <v>3</v>
      </c>
      <c r="D18" s="114" t="s">
        <v>1411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115" t="s">
        <v>8</v>
      </c>
      <c r="B19" s="140" t="s">
        <v>1372</v>
      </c>
      <c r="C19" s="179">
        <v>3</v>
      </c>
      <c r="D19" s="114" t="s">
        <v>1412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115" t="s">
        <v>8</v>
      </c>
      <c r="B20" s="140" t="s">
        <v>1372</v>
      </c>
      <c r="C20" s="179">
        <v>3</v>
      </c>
      <c r="D20" s="114" t="s">
        <v>1413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 ht="36">
      <c r="A21" s="115" t="s">
        <v>8</v>
      </c>
      <c r="B21" s="140" t="s">
        <v>1372</v>
      </c>
      <c r="C21" s="145">
        <v>3</v>
      </c>
      <c r="D21" s="165" t="s">
        <v>1414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115" t="s">
        <v>8</v>
      </c>
      <c r="B22" s="139" t="s">
        <v>1416</v>
      </c>
      <c r="C22" s="178">
        <v>2</v>
      </c>
      <c r="D22" s="114" t="s">
        <v>1417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115" t="s">
        <v>8</v>
      </c>
      <c r="B23" s="139" t="s">
        <v>1418</v>
      </c>
      <c r="C23" s="178">
        <v>1</v>
      </c>
      <c r="D23" s="114" t="s">
        <v>1419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115" t="s">
        <v>8</v>
      </c>
      <c r="B24" s="139" t="s">
        <v>1418</v>
      </c>
      <c r="C24" s="178">
        <v>1</v>
      </c>
      <c r="D24" s="143" t="s">
        <v>1420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154</v>
      </c>
    </row>
    <row r="25" spans="1:15" s="92" customFormat="1">
      <c r="A25" s="115" t="s">
        <v>8</v>
      </c>
      <c r="B25" s="139" t="s">
        <v>1421</v>
      </c>
      <c r="C25" s="178">
        <v>2</v>
      </c>
      <c r="D25" s="143" t="s">
        <v>1422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115" t="s">
        <v>8</v>
      </c>
      <c r="B26" s="139" t="s">
        <v>1421</v>
      </c>
      <c r="C26" s="178">
        <v>1</v>
      </c>
      <c r="D26" s="143" t="s">
        <v>1423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154</v>
      </c>
    </row>
    <row r="27" spans="1:15" s="92" customFormat="1">
      <c r="A27" s="115" t="s">
        <v>8</v>
      </c>
      <c r="B27" s="139" t="s">
        <v>1421</v>
      </c>
      <c r="C27" s="178">
        <v>5</v>
      </c>
      <c r="D27" s="143" t="s">
        <v>1424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115" t="s">
        <v>8</v>
      </c>
      <c r="B28" s="139" t="s">
        <v>1421</v>
      </c>
      <c r="C28" s="178">
        <v>5</v>
      </c>
      <c r="D28" s="143" t="s">
        <v>1522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115" t="s">
        <v>8</v>
      </c>
      <c r="B29" s="139" t="s">
        <v>1421</v>
      </c>
      <c r="C29" s="178">
        <v>3</v>
      </c>
      <c r="D29" s="143" t="s">
        <v>1427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115" t="s">
        <v>8</v>
      </c>
      <c r="B30" s="165" t="s">
        <v>1523</v>
      </c>
      <c r="C30" s="144">
        <v>1</v>
      </c>
      <c r="D30" s="143" t="s">
        <v>1429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115" t="s">
        <v>8</v>
      </c>
      <c r="B31" s="139" t="s">
        <v>129</v>
      </c>
      <c r="C31" s="178">
        <v>2</v>
      </c>
      <c r="D31" s="114" t="s">
        <v>1430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115" t="s">
        <v>8</v>
      </c>
      <c r="B32" s="139" t="s">
        <v>1431</v>
      </c>
      <c r="C32" s="178">
        <v>2</v>
      </c>
      <c r="D32" s="142" t="s">
        <v>1524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5" s="92" customFormat="1">
      <c r="A33" s="115" t="s">
        <v>8</v>
      </c>
      <c r="B33" s="139" t="s">
        <v>1431</v>
      </c>
      <c r="C33" s="178">
        <v>3</v>
      </c>
      <c r="D33" s="114" t="s">
        <v>1433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154</v>
      </c>
    </row>
    <row r="34" spans="1:15" s="92" customFormat="1">
      <c r="A34" s="115" t="s">
        <v>8</v>
      </c>
      <c r="B34" s="139" t="s">
        <v>1431</v>
      </c>
      <c r="C34" s="178">
        <v>1</v>
      </c>
      <c r="D34" s="114" t="s">
        <v>1434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154</v>
      </c>
    </row>
    <row r="35" spans="1:15" s="92" customFormat="1">
      <c r="A35" s="115" t="s">
        <v>8</v>
      </c>
      <c r="B35" s="139" t="s">
        <v>1431</v>
      </c>
      <c r="C35" s="178">
        <v>1</v>
      </c>
      <c r="D35" s="114" t="s">
        <v>1436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154</v>
      </c>
    </row>
    <row r="36" spans="1:15" s="92" customFormat="1">
      <c r="A36" s="115" t="s">
        <v>8</v>
      </c>
      <c r="B36" s="139" t="s">
        <v>1431</v>
      </c>
      <c r="C36" s="178">
        <v>1</v>
      </c>
      <c r="D36" s="114" t="s">
        <v>1438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154</v>
      </c>
    </row>
    <row r="37" spans="1:15" s="92" customFormat="1">
      <c r="A37" s="115" t="s">
        <v>8</v>
      </c>
      <c r="B37" s="139" t="s">
        <v>1431</v>
      </c>
      <c r="C37" s="178">
        <v>2</v>
      </c>
      <c r="D37" s="114" t="s">
        <v>1440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154</v>
      </c>
    </row>
    <row r="38" spans="1:15" s="92" customFormat="1">
      <c r="A38" s="115" t="s">
        <v>8</v>
      </c>
      <c r="B38" s="139" t="s">
        <v>1431</v>
      </c>
      <c r="C38" s="178">
        <v>2</v>
      </c>
      <c r="D38" s="114" t="s">
        <v>1442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154</v>
      </c>
    </row>
    <row r="39" spans="1:15" s="92" customFormat="1">
      <c r="A39" s="115" t="s">
        <v>8</v>
      </c>
      <c r="B39" s="139" t="s">
        <v>1431</v>
      </c>
      <c r="C39" s="178">
        <v>2</v>
      </c>
      <c r="D39" s="114" t="s">
        <v>1444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154</v>
      </c>
    </row>
    <row r="40" spans="1:15" s="92" customFormat="1">
      <c r="A40" s="115" t="s">
        <v>8</v>
      </c>
      <c r="B40" s="139" t="s">
        <v>1431</v>
      </c>
      <c r="C40" s="178">
        <v>3</v>
      </c>
      <c r="D40" s="114" t="s">
        <v>1446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154</v>
      </c>
    </row>
    <row r="41" spans="1:15" s="92" customFormat="1">
      <c r="A41" s="115" t="s">
        <v>8</v>
      </c>
      <c r="B41" s="139" t="s">
        <v>1450</v>
      </c>
      <c r="C41" s="178">
        <v>2</v>
      </c>
      <c r="D41" s="114" t="s">
        <v>1451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154</v>
      </c>
    </row>
    <row r="42" spans="1:15" s="92" customFormat="1">
      <c r="A42" s="115" t="s">
        <v>8</v>
      </c>
      <c r="B42" s="139" t="s">
        <v>1450</v>
      </c>
      <c r="C42" s="178">
        <v>2</v>
      </c>
      <c r="D42" s="114" t="s">
        <v>1452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154</v>
      </c>
    </row>
    <row r="43" spans="1:15" s="92" customFormat="1">
      <c r="A43" s="115" t="s">
        <v>8</v>
      </c>
      <c r="B43" s="139" t="s">
        <v>1455</v>
      </c>
      <c r="C43" s="178">
        <v>2</v>
      </c>
      <c r="D43" s="114" t="s">
        <v>1417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154</v>
      </c>
    </row>
    <row r="44" spans="1:15" s="92" customFormat="1">
      <c r="A44" s="115" t="s">
        <v>8</v>
      </c>
      <c r="B44" s="141" t="s">
        <v>1456</v>
      </c>
      <c r="C44" s="178">
        <v>1</v>
      </c>
      <c r="D44" s="114" t="s">
        <v>1419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154</v>
      </c>
    </row>
    <row r="45" spans="1:15" s="92" customFormat="1" ht="54">
      <c r="A45" s="115" t="s">
        <v>8</v>
      </c>
      <c r="B45" s="165" t="s">
        <v>1525</v>
      </c>
      <c r="C45" s="278">
        <v>1</v>
      </c>
      <c r="D45" s="277" t="s">
        <v>1419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154</v>
      </c>
    </row>
    <row r="46" spans="1:15" s="92" customFormat="1">
      <c r="A46" s="115" t="s">
        <v>8</v>
      </c>
      <c r="B46" s="141" t="s">
        <v>1460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154</v>
      </c>
    </row>
    <row r="47" spans="1:15" s="92" customFormat="1">
      <c r="A47" s="115" t="s">
        <v>8</v>
      </c>
      <c r="B47" s="141" t="s">
        <v>1466</v>
      </c>
      <c r="C47" s="178">
        <v>1</v>
      </c>
      <c r="D47" s="114" t="s">
        <v>1467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154</v>
      </c>
    </row>
    <row r="48" spans="1:15" s="92" customFormat="1" ht="36">
      <c r="A48" s="115" t="s">
        <v>8</v>
      </c>
      <c r="B48" s="139" t="s">
        <v>1526</v>
      </c>
      <c r="C48" s="178">
        <v>1</v>
      </c>
      <c r="D48" s="114" t="s">
        <v>1419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154</v>
      </c>
    </row>
    <row r="49" spans="1:16" s="92" customFormat="1">
      <c r="A49" s="115" t="s">
        <v>8</v>
      </c>
      <c r="B49" s="139" t="s">
        <v>1469</v>
      </c>
      <c r="C49" s="178" t="s">
        <v>269</v>
      </c>
      <c r="D49" s="143" t="s">
        <v>1527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154</v>
      </c>
    </row>
    <row r="50" spans="1:16" s="92" customFormat="1">
      <c r="A50" s="115" t="s">
        <v>8</v>
      </c>
      <c r="B50" s="139" t="s">
        <v>1469</v>
      </c>
      <c r="C50" s="178">
        <v>2</v>
      </c>
      <c r="D50" s="114" t="s">
        <v>1471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154</v>
      </c>
    </row>
    <row r="51" spans="1:16" s="92" customFormat="1">
      <c r="A51" s="115" t="s">
        <v>8</v>
      </c>
      <c r="B51" s="139" t="s">
        <v>1469</v>
      </c>
      <c r="C51" s="178">
        <v>2</v>
      </c>
      <c r="D51" s="114" t="s">
        <v>1472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154</v>
      </c>
    </row>
    <row r="52" spans="1:16" s="92" customFormat="1">
      <c r="A52" s="115" t="s">
        <v>8</v>
      </c>
      <c r="B52" s="139" t="s">
        <v>1469</v>
      </c>
      <c r="C52" s="178">
        <v>3</v>
      </c>
      <c r="D52" s="114" t="s">
        <v>1473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154</v>
      </c>
    </row>
    <row r="53" spans="1:16" s="92" customFormat="1">
      <c r="A53" s="115" t="s">
        <v>8</v>
      </c>
      <c r="B53" s="139" t="s">
        <v>1469</v>
      </c>
      <c r="C53" s="178">
        <v>3</v>
      </c>
      <c r="D53" s="114" t="s">
        <v>1474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154</v>
      </c>
    </row>
    <row r="54" spans="1:16" s="92" customFormat="1">
      <c r="A54" s="115" t="s">
        <v>8</v>
      </c>
      <c r="B54" s="139" t="s">
        <v>1469</v>
      </c>
      <c r="C54" s="178">
        <v>4</v>
      </c>
      <c r="D54" s="114" t="s">
        <v>1475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154</v>
      </c>
    </row>
    <row r="55" spans="1:16" s="92" customFormat="1">
      <c r="A55" s="115" t="s">
        <v>8</v>
      </c>
      <c r="B55" s="139" t="s">
        <v>1469</v>
      </c>
      <c r="C55" s="178">
        <v>4</v>
      </c>
      <c r="D55" s="114" t="s">
        <v>1476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154</v>
      </c>
    </row>
    <row r="56" spans="1:16" s="92" customFormat="1">
      <c r="A56" s="115" t="s">
        <v>8</v>
      </c>
      <c r="B56" s="139" t="s">
        <v>1469</v>
      </c>
      <c r="C56" s="178">
        <v>5</v>
      </c>
      <c r="D56" s="114" t="s">
        <v>1477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154</v>
      </c>
    </row>
    <row r="57" spans="1:16" s="92" customFormat="1">
      <c r="A57" s="115" t="s">
        <v>8</v>
      </c>
      <c r="B57" s="139" t="s">
        <v>1469</v>
      </c>
      <c r="C57" s="178">
        <v>5</v>
      </c>
      <c r="D57" s="114" t="s">
        <v>1478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154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288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54" t="s">
        <v>15</v>
      </c>
      <c r="B1" s="754" t="s">
        <v>16</v>
      </c>
      <c r="C1" s="743" t="s">
        <v>1369</v>
      </c>
      <c r="D1" s="36" t="s">
        <v>18</v>
      </c>
      <c r="E1" s="743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1528</v>
      </c>
      <c r="B2" s="31" t="s">
        <v>1529</v>
      </c>
      <c r="C2" s="20" t="s">
        <v>1530</v>
      </c>
      <c r="D2" s="49" t="s">
        <v>38</v>
      </c>
      <c r="E2" s="8">
        <v>1</v>
      </c>
      <c r="F2" s="751">
        <v>0</v>
      </c>
      <c r="G2" s="751">
        <v>0</v>
      </c>
      <c r="H2" s="751">
        <v>0</v>
      </c>
      <c r="I2" s="7">
        <f t="shared" ref="I2:I34" si="0">ROUNDUP(((F2+G2+H2)/3)/E2*100%,2)</f>
        <v>0</v>
      </c>
      <c r="J2" s="8"/>
    </row>
    <row r="3" spans="1:10" ht="18">
      <c r="A3" s="51" t="s">
        <v>1531</v>
      </c>
      <c r="B3" s="31" t="s">
        <v>1532</v>
      </c>
      <c r="C3" s="20" t="s">
        <v>339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1533</v>
      </c>
      <c r="B4" s="31" t="s">
        <v>1534</v>
      </c>
      <c r="C4" s="20" t="s">
        <v>1534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1535</v>
      </c>
      <c r="B5" s="31" t="s">
        <v>1536</v>
      </c>
      <c r="C5" s="20" t="s">
        <v>339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1537</v>
      </c>
      <c r="B6" s="31" t="s">
        <v>1538</v>
      </c>
      <c r="C6" s="20" t="s">
        <v>339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1539</v>
      </c>
      <c r="B7" s="31" t="s">
        <v>1540</v>
      </c>
      <c r="C7" s="20" t="s">
        <v>1540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34" t="s">
        <v>1541</v>
      </c>
      <c r="B8" s="40" t="s">
        <v>1542</v>
      </c>
      <c r="C8" s="17" t="s">
        <v>339</v>
      </c>
      <c r="D8" s="41" t="s">
        <v>38</v>
      </c>
      <c r="E8" s="499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35"/>
      <c r="B9" s="38"/>
      <c r="C9" s="19"/>
      <c r="D9" s="39" t="s">
        <v>42</v>
      </c>
      <c r="E9" s="751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34" t="s">
        <v>1543</v>
      </c>
      <c r="B10" s="40" t="s">
        <v>1544</v>
      </c>
      <c r="C10" s="17" t="s">
        <v>339</v>
      </c>
      <c r="D10" s="41" t="s">
        <v>42</v>
      </c>
      <c r="E10" s="499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35"/>
      <c r="B11" s="38" t="s">
        <v>1545</v>
      </c>
      <c r="C11" s="19" t="s">
        <v>339</v>
      </c>
      <c r="D11" s="39" t="s">
        <v>42</v>
      </c>
      <c r="E11" s="751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1546</v>
      </c>
      <c r="B12" s="31" t="s">
        <v>1547</v>
      </c>
      <c r="C12" s="20" t="s">
        <v>339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1548</v>
      </c>
      <c r="B13" s="31" t="s">
        <v>1529</v>
      </c>
      <c r="C13" s="20" t="s">
        <v>339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1549</v>
      </c>
      <c r="B14" s="31" t="s">
        <v>1550</v>
      </c>
      <c r="C14" s="20" t="s">
        <v>339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1551</v>
      </c>
      <c r="B15" s="31" t="s">
        <v>1534</v>
      </c>
      <c r="C15" s="20" t="s">
        <v>1534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1552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1553</v>
      </c>
      <c r="B17" s="31" t="s">
        <v>1554</v>
      </c>
      <c r="C17" s="20" t="s">
        <v>339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1555</v>
      </c>
      <c r="B18" s="31" t="s">
        <v>1556</v>
      </c>
      <c r="C18" s="20" t="s">
        <v>339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34" t="s">
        <v>1431</v>
      </c>
      <c r="B19" s="40" t="s">
        <v>1557</v>
      </c>
      <c r="C19" s="17" t="s">
        <v>1558</v>
      </c>
      <c r="D19" s="41" t="s">
        <v>38</v>
      </c>
      <c r="E19" s="499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36"/>
      <c r="B20" s="37"/>
      <c r="C20" s="18"/>
      <c r="D20" s="32" t="s">
        <v>42</v>
      </c>
      <c r="E20" s="750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36"/>
      <c r="B21" s="37"/>
      <c r="C21" s="18"/>
      <c r="D21" s="32" t="s">
        <v>1374</v>
      </c>
      <c r="E21" s="750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36"/>
      <c r="B22" s="37"/>
      <c r="C22" s="18"/>
      <c r="D22" s="32" t="s">
        <v>52</v>
      </c>
      <c r="E22" s="750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36"/>
      <c r="B23" s="37"/>
      <c r="C23" s="18"/>
      <c r="D23" s="32" t="s">
        <v>58</v>
      </c>
      <c r="E23" s="750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36"/>
      <c r="B24" s="37"/>
      <c r="C24" s="18"/>
      <c r="D24" s="32" t="s">
        <v>1375</v>
      </c>
      <c r="E24" s="750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36"/>
      <c r="B25" s="37"/>
      <c r="C25" s="18"/>
      <c r="D25" s="32" t="s">
        <v>1376</v>
      </c>
      <c r="E25" s="750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36"/>
      <c r="B26" s="37"/>
      <c r="C26" s="18"/>
      <c r="D26" s="32" t="s">
        <v>62</v>
      </c>
      <c r="E26" s="750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36"/>
      <c r="B27" s="37"/>
      <c r="C27" s="18"/>
      <c r="D27" s="32" t="s">
        <v>1377</v>
      </c>
      <c r="E27" s="750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36"/>
      <c r="B28" s="37" t="s">
        <v>1559</v>
      </c>
      <c r="C28" s="18" t="s">
        <v>339</v>
      </c>
      <c r="D28" s="32" t="s">
        <v>38</v>
      </c>
      <c r="E28" s="750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36"/>
      <c r="B29" s="37"/>
      <c r="C29" s="18"/>
      <c r="D29" s="32" t="s">
        <v>42</v>
      </c>
      <c r="E29" s="750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36"/>
      <c r="B30" s="37" t="s">
        <v>1560</v>
      </c>
      <c r="C30" s="18" t="s">
        <v>1561</v>
      </c>
      <c r="D30" s="32" t="s">
        <v>38</v>
      </c>
      <c r="E30" s="750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36"/>
      <c r="B31" s="37" t="s">
        <v>1562</v>
      </c>
      <c r="C31" s="18" t="s">
        <v>1563</v>
      </c>
      <c r="D31" s="32" t="s">
        <v>38</v>
      </c>
      <c r="E31" s="750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36"/>
      <c r="B32" s="37"/>
      <c r="C32" s="18"/>
      <c r="D32" s="32" t="s">
        <v>42</v>
      </c>
      <c r="E32" s="750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36"/>
      <c r="B33" s="37" t="s">
        <v>1564</v>
      </c>
      <c r="C33" s="18" t="s">
        <v>1565</v>
      </c>
      <c r="D33" s="32" t="s">
        <v>38</v>
      </c>
      <c r="E33" s="750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36"/>
      <c r="B34" s="37" t="s">
        <v>1566</v>
      </c>
      <c r="C34" s="18" t="s">
        <v>1567</v>
      </c>
      <c r="D34" s="32" t="s">
        <v>38</v>
      </c>
      <c r="E34" s="750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36"/>
      <c r="B35" s="37" t="s">
        <v>1568</v>
      </c>
      <c r="C35" s="18" t="s">
        <v>1569</v>
      </c>
      <c r="D35" s="32" t="s">
        <v>38</v>
      </c>
      <c r="E35" s="750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36"/>
      <c r="B36" s="37"/>
      <c r="C36" s="18"/>
      <c r="D36" s="32" t="s">
        <v>42</v>
      </c>
      <c r="E36" s="750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36"/>
      <c r="B37" s="37" t="s">
        <v>1570</v>
      </c>
      <c r="C37" s="18" t="s">
        <v>1571</v>
      </c>
      <c r="D37" s="32" t="s">
        <v>42</v>
      </c>
      <c r="E37" s="750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36"/>
      <c r="B38" s="37" t="s">
        <v>1572</v>
      </c>
      <c r="C38" s="18" t="s">
        <v>1573</v>
      </c>
      <c r="D38" s="32" t="s">
        <v>42</v>
      </c>
      <c r="E38" s="750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36"/>
      <c r="B39" s="37" t="s">
        <v>1574</v>
      </c>
      <c r="C39" s="18" t="s">
        <v>1575</v>
      </c>
      <c r="D39" s="32" t="s">
        <v>42</v>
      </c>
      <c r="E39" s="750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36"/>
      <c r="B40" s="37" t="s">
        <v>1576</v>
      </c>
      <c r="C40" s="18" t="s">
        <v>1577</v>
      </c>
      <c r="D40" s="32" t="s">
        <v>42</v>
      </c>
      <c r="E40" s="750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35"/>
      <c r="B41" s="38" t="s">
        <v>1578</v>
      </c>
      <c r="C41" s="19" t="s">
        <v>339</v>
      </c>
      <c r="D41" s="39" t="s">
        <v>42</v>
      </c>
      <c r="E41" s="751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34" t="s">
        <v>1579</v>
      </c>
      <c r="B42" s="40" t="s">
        <v>1580</v>
      </c>
      <c r="C42" s="17" t="s">
        <v>1540</v>
      </c>
      <c r="D42" s="41" t="s">
        <v>38</v>
      </c>
      <c r="E42" s="499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36"/>
      <c r="B43" s="37"/>
      <c r="C43" s="18"/>
      <c r="D43" s="32" t="s">
        <v>42</v>
      </c>
      <c r="E43" s="750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35"/>
      <c r="B44" s="38" t="s">
        <v>1581</v>
      </c>
      <c r="C44" s="19" t="s">
        <v>1582</v>
      </c>
      <c r="D44" s="39" t="s">
        <v>38</v>
      </c>
      <c r="E44" s="751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34" t="s">
        <v>1372</v>
      </c>
      <c r="B45" s="40" t="s">
        <v>1559</v>
      </c>
      <c r="C45" s="17" t="s">
        <v>339</v>
      </c>
      <c r="D45" s="41" t="s">
        <v>38</v>
      </c>
      <c r="E45" s="499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36"/>
      <c r="B46" s="37" t="s">
        <v>1583</v>
      </c>
      <c r="C46" s="18" t="s">
        <v>1584</v>
      </c>
      <c r="D46" s="32" t="s">
        <v>38</v>
      </c>
      <c r="E46" s="750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35"/>
      <c r="B47" s="38"/>
      <c r="C47" s="19"/>
      <c r="D47" s="39" t="s">
        <v>42</v>
      </c>
      <c r="E47" s="751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1585</v>
      </c>
      <c r="B48" s="31" t="s">
        <v>1586</v>
      </c>
      <c r="C48" s="20" t="s">
        <v>1587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1588</v>
      </c>
      <c r="B49" s="31" t="s">
        <v>339</v>
      </c>
      <c r="C49" s="20" t="s">
        <v>339</v>
      </c>
      <c r="D49" s="49" t="s">
        <v>1484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1485</v>
      </c>
      <c r="E50" s="13" t="s">
        <v>1486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1487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30" t="s">
        <v>17</v>
      </c>
      <c r="C1" s="754" t="s">
        <v>16</v>
      </c>
      <c r="D1" s="743" t="s">
        <v>148</v>
      </c>
      <c r="E1" s="743" t="s">
        <v>149</v>
      </c>
      <c r="F1" s="743" t="s">
        <v>150</v>
      </c>
      <c r="G1" s="743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31" t="s">
        <v>1528</v>
      </c>
      <c r="B2" s="1037">
        <v>1</v>
      </c>
      <c r="C2" s="73" t="s">
        <v>1589</v>
      </c>
      <c r="D2" s="767">
        <v>1</v>
      </c>
      <c r="E2" s="767">
        <v>1</v>
      </c>
      <c r="F2" s="767">
        <v>0</v>
      </c>
      <c r="G2" s="767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931"/>
      <c r="B3" s="1037"/>
      <c r="C3" s="73" t="s">
        <v>1590</v>
      </c>
      <c r="D3" s="767">
        <v>1</v>
      </c>
      <c r="E3" s="767">
        <v>1</v>
      </c>
      <c r="F3" s="767">
        <v>0</v>
      </c>
      <c r="G3" s="767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31"/>
      <c r="B4" s="1037"/>
      <c r="C4" s="73" t="s">
        <v>1591</v>
      </c>
      <c r="D4" s="767">
        <v>1</v>
      </c>
      <c r="E4" s="767">
        <v>1</v>
      </c>
      <c r="F4" s="767">
        <v>0</v>
      </c>
      <c r="G4" s="767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31"/>
      <c r="B5" s="1037"/>
      <c r="C5" s="73" t="s">
        <v>1592</v>
      </c>
      <c r="D5" s="767">
        <v>1</v>
      </c>
      <c r="E5" s="767">
        <v>1</v>
      </c>
      <c r="F5" s="767">
        <v>0</v>
      </c>
      <c r="G5" s="767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31"/>
      <c r="B6" s="1037"/>
      <c r="C6" s="73" t="s">
        <v>1593</v>
      </c>
      <c r="D6" s="767">
        <v>1</v>
      </c>
      <c r="E6" s="767">
        <v>1</v>
      </c>
      <c r="F6" s="767">
        <v>0</v>
      </c>
      <c r="G6" s="767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748" t="s">
        <v>1594</v>
      </c>
      <c r="B7" s="767">
        <v>1</v>
      </c>
      <c r="C7" s="73" t="s">
        <v>1595</v>
      </c>
      <c r="D7" s="767">
        <v>1</v>
      </c>
      <c r="E7" s="767">
        <v>1</v>
      </c>
      <c r="F7" s="767">
        <v>0</v>
      </c>
      <c r="G7" s="767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31" t="s">
        <v>1596</v>
      </c>
      <c r="B8" s="1037">
        <v>1</v>
      </c>
      <c r="C8" s="73" t="s">
        <v>1597</v>
      </c>
      <c r="D8" s="767">
        <v>1</v>
      </c>
      <c r="E8" s="767">
        <v>1</v>
      </c>
      <c r="F8" s="767">
        <v>0</v>
      </c>
      <c r="G8" s="767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31"/>
      <c r="B9" s="1037"/>
      <c r="C9" s="73" t="s">
        <v>1598</v>
      </c>
      <c r="D9" s="767">
        <v>1</v>
      </c>
      <c r="E9" s="767">
        <v>1</v>
      </c>
      <c r="F9" s="767">
        <v>0</v>
      </c>
      <c r="G9" s="767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31" t="s">
        <v>1533</v>
      </c>
      <c r="B10" s="1037">
        <v>1</v>
      </c>
      <c r="C10" s="73" t="s">
        <v>1599</v>
      </c>
      <c r="D10" s="767">
        <v>1</v>
      </c>
      <c r="E10" s="767">
        <v>1</v>
      </c>
      <c r="F10" s="767">
        <v>0</v>
      </c>
      <c r="G10" s="767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31"/>
      <c r="B11" s="1037"/>
      <c r="C11" s="81" t="s">
        <v>1600</v>
      </c>
      <c r="D11" s="767">
        <v>1</v>
      </c>
      <c r="E11" s="767">
        <v>1</v>
      </c>
      <c r="F11" s="767">
        <v>0</v>
      </c>
      <c r="G11" s="767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31"/>
      <c r="B12" s="1037"/>
      <c r="C12" s="81" t="s">
        <v>1601</v>
      </c>
      <c r="D12" s="767">
        <v>1</v>
      </c>
      <c r="E12" s="767">
        <v>1</v>
      </c>
      <c r="F12" s="767">
        <v>0</v>
      </c>
      <c r="G12" s="767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31"/>
      <c r="B13" s="1037"/>
      <c r="C13" s="81" t="s">
        <v>1602</v>
      </c>
      <c r="D13" s="767">
        <v>1</v>
      </c>
      <c r="E13" s="767">
        <v>1</v>
      </c>
      <c r="F13" s="767">
        <v>0</v>
      </c>
      <c r="G13" s="767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31" t="s">
        <v>1431</v>
      </c>
      <c r="B14" s="1037">
        <v>1</v>
      </c>
      <c r="C14" s="81" t="s">
        <v>1603</v>
      </c>
      <c r="D14" s="767">
        <v>1</v>
      </c>
      <c r="E14" s="767">
        <v>1</v>
      </c>
      <c r="F14" s="767">
        <v>0</v>
      </c>
      <c r="G14" s="767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31"/>
      <c r="B15" s="1037"/>
      <c r="C15" s="81" t="s">
        <v>1604</v>
      </c>
      <c r="D15" s="767">
        <v>1</v>
      </c>
      <c r="E15" s="767">
        <v>1</v>
      </c>
      <c r="F15" s="767">
        <v>0</v>
      </c>
      <c r="G15" s="767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31"/>
      <c r="B16" s="1037"/>
      <c r="C16" s="81" t="s">
        <v>1605</v>
      </c>
      <c r="D16" s="767">
        <v>1</v>
      </c>
      <c r="E16" s="767">
        <v>1</v>
      </c>
      <c r="F16" s="767">
        <v>0</v>
      </c>
      <c r="G16" s="767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931"/>
      <c r="B17" s="1037">
        <v>2</v>
      </c>
      <c r="C17" s="81" t="s">
        <v>1606</v>
      </c>
      <c r="D17" s="767">
        <v>1</v>
      </c>
      <c r="E17" s="767">
        <v>1</v>
      </c>
      <c r="F17" s="767">
        <v>0</v>
      </c>
      <c r="G17" s="767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31"/>
      <c r="B18" s="1037"/>
      <c r="C18" s="73" t="s">
        <v>1558</v>
      </c>
      <c r="D18" s="767">
        <v>1</v>
      </c>
      <c r="E18" s="767">
        <v>1</v>
      </c>
      <c r="F18" s="767">
        <v>0</v>
      </c>
      <c r="G18" s="767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31"/>
      <c r="B19" s="1037"/>
      <c r="C19" s="81" t="s">
        <v>1607</v>
      </c>
      <c r="D19" s="767">
        <v>1</v>
      </c>
      <c r="E19" s="767">
        <v>1</v>
      </c>
      <c r="F19" s="767">
        <v>0</v>
      </c>
      <c r="G19" s="767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31"/>
      <c r="B20" s="1037"/>
      <c r="C20" s="81" t="s">
        <v>1608</v>
      </c>
      <c r="D20" s="767">
        <v>1</v>
      </c>
      <c r="E20" s="767">
        <v>1</v>
      </c>
      <c r="F20" s="767">
        <v>0</v>
      </c>
      <c r="G20" s="767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31"/>
      <c r="B21" s="1037">
        <v>3</v>
      </c>
      <c r="C21" s="73" t="s">
        <v>1609</v>
      </c>
      <c r="D21" s="767">
        <v>1</v>
      </c>
      <c r="E21" s="767">
        <v>1</v>
      </c>
      <c r="F21" s="767">
        <v>0</v>
      </c>
      <c r="G21" s="767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931"/>
      <c r="B22" s="1037"/>
      <c r="C22" s="73" t="s">
        <v>1610</v>
      </c>
      <c r="D22" s="767">
        <v>1</v>
      </c>
      <c r="E22" s="767">
        <v>1</v>
      </c>
      <c r="F22" s="767">
        <v>0</v>
      </c>
      <c r="G22" s="767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748" t="s">
        <v>1372</v>
      </c>
      <c r="B23" s="767">
        <v>1</v>
      </c>
      <c r="C23" s="73" t="s">
        <v>1611</v>
      </c>
      <c r="D23" s="767">
        <v>1</v>
      </c>
      <c r="E23" s="767">
        <v>1</v>
      </c>
      <c r="F23" s="767">
        <v>0</v>
      </c>
      <c r="G23" s="767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931" t="s">
        <v>1612</v>
      </c>
      <c r="B24" s="1037">
        <v>1</v>
      </c>
      <c r="C24" s="73" t="s">
        <v>1613</v>
      </c>
      <c r="D24" s="767">
        <v>1</v>
      </c>
      <c r="E24" s="767">
        <v>1</v>
      </c>
      <c r="F24" s="767">
        <v>0</v>
      </c>
      <c r="G24" s="767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931"/>
      <c r="B25" s="1037"/>
      <c r="C25" s="73" t="s">
        <v>1614</v>
      </c>
      <c r="D25" s="767">
        <v>1</v>
      </c>
      <c r="E25" s="767">
        <v>1</v>
      </c>
      <c r="F25" s="767">
        <v>0</v>
      </c>
      <c r="G25" s="767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931"/>
      <c r="B26" s="1037"/>
      <c r="C26" s="73" t="s">
        <v>1615</v>
      </c>
      <c r="D26" s="767">
        <v>2</v>
      </c>
      <c r="E26" s="767">
        <v>2</v>
      </c>
      <c r="F26" s="767">
        <v>0</v>
      </c>
      <c r="G26" s="767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931"/>
      <c r="B27" s="1037"/>
      <c r="C27" s="73" t="s">
        <v>1616</v>
      </c>
      <c r="D27" s="767">
        <v>3</v>
      </c>
      <c r="E27" s="767">
        <v>3</v>
      </c>
      <c r="F27" s="767">
        <v>0</v>
      </c>
      <c r="G27" s="767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931"/>
      <c r="B28" s="1037"/>
      <c r="C28" s="73" t="s">
        <v>1617</v>
      </c>
      <c r="D28" s="767">
        <v>1</v>
      </c>
      <c r="E28" s="767">
        <v>1</v>
      </c>
      <c r="F28" s="767">
        <v>0</v>
      </c>
      <c r="G28" s="767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931"/>
      <c r="B29" s="1037"/>
      <c r="C29" s="73" t="s">
        <v>1618</v>
      </c>
      <c r="D29" s="767">
        <v>1</v>
      </c>
      <c r="E29" s="767">
        <v>1</v>
      </c>
      <c r="F29" s="767">
        <v>0</v>
      </c>
      <c r="G29" s="767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931"/>
      <c r="B30" s="1037">
        <v>2</v>
      </c>
      <c r="C30" s="73" t="s">
        <v>1619</v>
      </c>
      <c r="D30" s="767">
        <v>2</v>
      </c>
      <c r="E30" s="767">
        <v>2</v>
      </c>
      <c r="F30" s="767">
        <v>0</v>
      </c>
      <c r="G30" s="767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931"/>
      <c r="B31" s="1037"/>
      <c r="C31" s="73" t="s">
        <v>1620</v>
      </c>
      <c r="D31" s="767">
        <v>1</v>
      </c>
      <c r="E31" s="767">
        <v>1</v>
      </c>
      <c r="F31" s="767">
        <v>0</v>
      </c>
      <c r="G31" s="767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748" t="s">
        <v>1621</v>
      </c>
      <c r="B32" s="767">
        <v>1</v>
      </c>
      <c r="C32" s="73" t="s">
        <v>1622</v>
      </c>
      <c r="D32" s="767">
        <v>1</v>
      </c>
      <c r="E32" s="767">
        <v>1</v>
      </c>
      <c r="F32" s="767">
        <v>0</v>
      </c>
      <c r="G32" s="767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931" t="s">
        <v>1421</v>
      </c>
      <c r="B33" s="1037">
        <v>1</v>
      </c>
      <c r="C33" s="73" t="s">
        <v>1623</v>
      </c>
      <c r="D33" s="767">
        <v>1</v>
      </c>
      <c r="E33" s="767">
        <v>1</v>
      </c>
      <c r="F33" s="767">
        <v>0</v>
      </c>
      <c r="G33" s="767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931"/>
      <c r="B34" s="1037"/>
      <c r="C34" s="73" t="s">
        <v>1624</v>
      </c>
      <c r="D34" s="767">
        <v>2</v>
      </c>
      <c r="E34" s="767">
        <v>2</v>
      </c>
      <c r="F34" s="767">
        <v>0</v>
      </c>
      <c r="G34" s="767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931"/>
      <c r="B35" s="1037"/>
      <c r="C35" s="73" t="s">
        <v>241</v>
      </c>
      <c r="D35" s="767">
        <v>1</v>
      </c>
      <c r="E35" s="767">
        <v>1</v>
      </c>
      <c r="F35" s="767">
        <v>0</v>
      </c>
      <c r="G35" s="767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931"/>
      <c r="B36" s="1037">
        <v>2</v>
      </c>
      <c r="C36" s="73" t="s">
        <v>1582</v>
      </c>
      <c r="D36" s="767">
        <v>3</v>
      </c>
      <c r="E36" s="767">
        <v>3</v>
      </c>
      <c r="F36" s="767">
        <v>0</v>
      </c>
      <c r="G36" s="767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931"/>
      <c r="B37" s="1037"/>
      <c r="C37" s="73" t="s">
        <v>1625</v>
      </c>
      <c r="D37" s="767">
        <v>1</v>
      </c>
      <c r="E37" s="767">
        <v>1</v>
      </c>
      <c r="F37" s="767">
        <v>0</v>
      </c>
      <c r="G37" s="767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931"/>
      <c r="B38" s="1037"/>
      <c r="C38" s="73" t="s">
        <v>1626</v>
      </c>
      <c r="D38" s="767">
        <v>1</v>
      </c>
      <c r="E38" s="767">
        <v>1</v>
      </c>
      <c r="F38" s="767">
        <v>0</v>
      </c>
      <c r="G38" s="767"/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931"/>
      <c r="B39" s="1037"/>
      <c r="C39" s="73" t="s">
        <v>241</v>
      </c>
      <c r="D39" s="767">
        <v>1</v>
      </c>
      <c r="E39" s="767">
        <v>1</v>
      </c>
      <c r="F39" s="767">
        <v>0</v>
      </c>
      <c r="G39" s="767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931"/>
      <c r="B40" s="1037">
        <v>3</v>
      </c>
      <c r="C40" s="73" t="s">
        <v>1627</v>
      </c>
      <c r="D40" s="767">
        <v>1</v>
      </c>
      <c r="E40" s="767">
        <v>1</v>
      </c>
      <c r="F40" s="767">
        <v>0</v>
      </c>
      <c r="G40" s="767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931"/>
      <c r="B41" s="1037"/>
      <c r="C41" s="73" t="s">
        <v>1628</v>
      </c>
      <c r="D41" s="767">
        <v>1</v>
      </c>
      <c r="E41" s="767">
        <v>1</v>
      </c>
      <c r="F41" s="767">
        <v>0</v>
      </c>
      <c r="G41" s="767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931"/>
      <c r="B42" s="1037"/>
      <c r="C42" s="73" t="s">
        <v>1629</v>
      </c>
      <c r="D42" s="767">
        <v>2</v>
      </c>
      <c r="E42" s="767">
        <v>2</v>
      </c>
      <c r="F42" s="767">
        <v>0</v>
      </c>
      <c r="G42" s="767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931"/>
      <c r="B43" s="1037"/>
      <c r="C43" s="73" t="s">
        <v>241</v>
      </c>
      <c r="D43" s="767">
        <v>1</v>
      </c>
      <c r="E43" s="767">
        <v>1</v>
      </c>
      <c r="F43" s="767">
        <v>0</v>
      </c>
      <c r="G43" s="767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254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8"/>
      <c r="B45" s="389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6" s="92" customFormat="1">
      <c r="A2" s="87" t="s">
        <v>9</v>
      </c>
      <c r="B2" s="88" t="s">
        <v>1533</v>
      </c>
      <c r="C2" s="89">
        <v>1</v>
      </c>
      <c r="D2" s="89" t="s">
        <v>1534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67" t="s">
        <v>154</v>
      </c>
    </row>
    <row r="3" spans="1:16" s="92" customFormat="1">
      <c r="A3" s="87" t="s">
        <v>9</v>
      </c>
      <c r="B3" s="88" t="s">
        <v>1431</v>
      </c>
      <c r="C3" s="89">
        <v>1</v>
      </c>
      <c r="D3" s="89" t="s">
        <v>1569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67" t="s">
        <v>154</v>
      </c>
    </row>
    <row r="4" spans="1:16" s="92" customFormat="1">
      <c r="A4" s="87" t="s">
        <v>9</v>
      </c>
      <c r="B4" s="88" t="s">
        <v>1421</v>
      </c>
      <c r="C4" s="89">
        <v>1</v>
      </c>
      <c r="D4" s="89" t="s">
        <v>1540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67" t="s">
        <v>154</v>
      </c>
    </row>
    <row r="5" spans="1:16" s="92" customFormat="1">
      <c r="A5" s="87" t="s">
        <v>9</v>
      </c>
      <c r="B5" s="88" t="s">
        <v>1421</v>
      </c>
      <c r="C5" s="89">
        <v>1</v>
      </c>
      <c r="D5" s="89" t="s">
        <v>1540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67" t="s">
        <v>154</v>
      </c>
    </row>
    <row r="6" spans="1:16" s="92" customFormat="1">
      <c r="A6" s="87" t="s">
        <v>9</v>
      </c>
      <c r="B6" s="88" t="s">
        <v>1431</v>
      </c>
      <c r="C6" s="89">
        <v>1</v>
      </c>
      <c r="D6" s="89" t="s">
        <v>1630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67" t="s">
        <v>154</v>
      </c>
    </row>
    <row r="7" spans="1:16" s="92" customFormat="1">
      <c r="A7" s="87" t="s">
        <v>9</v>
      </c>
      <c r="B7" s="88" t="s">
        <v>1531</v>
      </c>
      <c r="C7" s="89">
        <v>3</v>
      </c>
      <c r="D7" s="89" t="s">
        <v>1532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67" t="s">
        <v>154</v>
      </c>
    </row>
    <row r="8" spans="1:16" s="92" customFormat="1">
      <c r="A8" s="87" t="s">
        <v>9</v>
      </c>
      <c r="B8" s="88" t="s">
        <v>1431</v>
      </c>
      <c r="C8" s="89">
        <v>1</v>
      </c>
      <c r="D8" s="89" t="s">
        <v>1631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67" t="s">
        <v>154</v>
      </c>
    </row>
    <row r="9" spans="1:16" s="92" customFormat="1">
      <c r="A9" s="87" t="s">
        <v>9</v>
      </c>
      <c r="B9" s="88" t="s">
        <v>1632</v>
      </c>
      <c r="C9" s="89">
        <v>1</v>
      </c>
      <c r="D9" s="89" t="s">
        <v>1529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67" t="s">
        <v>154</v>
      </c>
    </row>
    <row r="10" spans="1:16" s="92" customFormat="1">
      <c r="A10" s="87" t="s">
        <v>9</v>
      </c>
      <c r="B10" s="88" t="s">
        <v>1431</v>
      </c>
      <c r="C10" s="89">
        <v>2</v>
      </c>
      <c r="D10" s="89" t="s">
        <v>1558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67" t="s">
        <v>154</v>
      </c>
    </row>
    <row r="11" spans="1:16" s="92" customFormat="1">
      <c r="A11" s="87" t="s">
        <v>9</v>
      </c>
      <c r="B11" s="88" t="s">
        <v>1431</v>
      </c>
      <c r="C11" s="89">
        <v>2</v>
      </c>
      <c r="D11" s="89" t="s">
        <v>1558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67" t="s">
        <v>154</v>
      </c>
    </row>
    <row r="12" spans="1:16" s="92" customFormat="1">
      <c r="B12" s="92">
        <f>COUNTIF(Table22[สถานที่],"*")</f>
        <v>10</v>
      </c>
      <c r="E12" s="93" t="s">
        <v>288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54" t="s">
        <v>15</v>
      </c>
      <c r="B1" s="754" t="s">
        <v>16</v>
      </c>
      <c r="C1" s="743" t="s">
        <v>1369</v>
      </c>
      <c r="D1" s="42" t="s">
        <v>18</v>
      </c>
      <c r="E1" s="743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1533</v>
      </c>
      <c r="B2" s="251" t="s">
        <v>233</v>
      </c>
      <c r="C2" s="290" t="s">
        <v>339</v>
      </c>
      <c r="D2" s="159" t="s">
        <v>42</v>
      </c>
      <c r="E2" s="9">
        <v>2</v>
      </c>
      <c r="F2" s="751">
        <v>0</v>
      </c>
      <c r="G2" s="751">
        <v>0</v>
      </c>
      <c r="H2" s="751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1633</v>
      </c>
      <c r="B3" s="760" t="s">
        <v>125</v>
      </c>
      <c r="C3" s="316" t="s">
        <v>339</v>
      </c>
      <c r="D3" s="317" t="s">
        <v>38</v>
      </c>
      <c r="E3" s="9">
        <v>1</v>
      </c>
      <c r="F3" s="751">
        <v>0</v>
      </c>
      <c r="G3" s="751">
        <v>0</v>
      </c>
      <c r="H3" s="751">
        <v>0</v>
      </c>
      <c r="I3" s="8">
        <f t="shared" si="0"/>
        <v>0</v>
      </c>
      <c r="J3" s="153"/>
    </row>
    <row r="4" spans="1:10" ht="18">
      <c r="A4" s="268" t="s">
        <v>1634</v>
      </c>
      <c r="B4" s="256" t="s">
        <v>125</v>
      </c>
      <c r="C4" s="302" t="s">
        <v>339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1635</v>
      </c>
      <c r="B5" s="255" t="s">
        <v>1636</v>
      </c>
      <c r="C5" s="18" t="s">
        <v>339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63" t="s">
        <v>1637</v>
      </c>
      <c r="B6" s="295" t="s">
        <v>1638</v>
      </c>
      <c r="C6" s="18" t="s">
        <v>339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1639</v>
      </c>
      <c r="B7" s="266" t="s">
        <v>1640</v>
      </c>
      <c r="C7" s="18" t="s">
        <v>339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1641</v>
      </c>
      <c r="B8" s="255" t="s">
        <v>1642</v>
      </c>
      <c r="C8" s="18" t="s">
        <v>339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63" t="s">
        <v>1643</v>
      </c>
      <c r="B9" s="296" t="s">
        <v>1644</v>
      </c>
      <c r="C9" s="23" t="s">
        <v>339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1645</v>
      </c>
      <c r="B10" s="255" t="s">
        <v>1646</v>
      </c>
      <c r="C10" s="18" t="s">
        <v>339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1645</v>
      </c>
      <c r="B11" s="291" t="s">
        <v>1647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1374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1375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1376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1377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1378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1648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1645</v>
      </c>
      <c r="B21" s="291" t="s">
        <v>1649</v>
      </c>
      <c r="C21" s="18" t="s">
        <v>1650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1645</v>
      </c>
      <c r="B22" s="410" t="s">
        <v>1651</v>
      </c>
      <c r="C22" s="18" t="s">
        <v>339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1645</v>
      </c>
      <c r="B23" s="291" t="s">
        <v>1652</v>
      </c>
      <c r="C23" s="18" t="s">
        <v>339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1645</v>
      </c>
      <c r="B24" s="291" t="s">
        <v>1653</v>
      </c>
      <c r="C24" s="18" t="s">
        <v>339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1645</v>
      </c>
      <c r="B25" s="291" t="s">
        <v>1654</v>
      </c>
      <c r="C25" s="18" t="s">
        <v>339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1645</v>
      </c>
      <c r="B26" s="291" t="s">
        <v>1655</v>
      </c>
      <c r="C26" s="18" t="s">
        <v>339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1645</v>
      </c>
      <c r="B27" s="291" t="s">
        <v>1656</v>
      </c>
      <c r="C27" s="18" t="s">
        <v>339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1645</v>
      </c>
      <c r="B28" s="291" t="s">
        <v>1657</v>
      </c>
      <c r="C28" s="18" t="s">
        <v>339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1645</v>
      </c>
      <c r="B29" s="291" t="s">
        <v>1658</v>
      </c>
      <c r="C29" s="18" t="s">
        <v>339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1659</v>
      </c>
      <c r="B30" s="266" t="s">
        <v>1660</v>
      </c>
      <c r="C30" s="18" t="s">
        <v>339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1645</v>
      </c>
      <c r="B31" s="291" t="s">
        <v>1661</v>
      </c>
      <c r="C31" s="18" t="s">
        <v>339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1" t="s">
        <v>1645</v>
      </c>
      <c r="B32" s="297" t="s">
        <v>1662</v>
      </c>
      <c r="C32" s="18" t="s">
        <v>339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1" t="s">
        <v>1645</v>
      </c>
      <c r="B33" s="298" t="s">
        <v>1663</v>
      </c>
      <c r="C33" s="293" t="s">
        <v>339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2" t="s">
        <v>1664</v>
      </c>
      <c r="B34" s="30" t="s">
        <v>1665</v>
      </c>
      <c r="C34" s="19" t="s">
        <v>339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1666</v>
      </c>
      <c r="B35" s="31" t="s">
        <v>1462</v>
      </c>
      <c r="C35" s="20" t="s">
        <v>339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1667</v>
      </c>
      <c r="B36" s="31" t="s">
        <v>1668</v>
      </c>
      <c r="C36" s="20" t="s">
        <v>339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1669</v>
      </c>
      <c r="B37" s="28" t="s">
        <v>1670</v>
      </c>
      <c r="C37" s="17" t="s">
        <v>339</v>
      </c>
      <c r="D37" s="22" t="s">
        <v>42</v>
      </c>
      <c r="E37" s="499">
        <v>1</v>
      </c>
      <c r="F37" s="499">
        <v>0</v>
      </c>
      <c r="G37" s="499">
        <v>0</v>
      </c>
      <c r="H37" s="499">
        <v>0</v>
      </c>
      <c r="I37" s="247">
        <f t="shared" si="0"/>
        <v>0</v>
      </c>
      <c r="J37" s="499"/>
    </row>
    <row r="38" spans="1:10" ht="18">
      <c r="A38" s="1025" t="s">
        <v>1671</v>
      </c>
      <c r="B38" s="413" t="s">
        <v>1672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25"/>
      <c r="B39" s="761" t="s">
        <v>1647</v>
      </c>
      <c r="C39" s="154" t="s">
        <v>339</v>
      </c>
      <c r="D39" s="154" t="s">
        <v>42</v>
      </c>
      <c r="E39" s="303">
        <v>4</v>
      </c>
      <c r="F39" s="751">
        <v>0</v>
      </c>
      <c r="G39" s="751">
        <v>0</v>
      </c>
      <c r="H39" s="751">
        <v>0</v>
      </c>
      <c r="I39" s="248">
        <f t="shared" si="0"/>
        <v>0</v>
      </c>
      <c r="J39" s="304"/>
    </row>
    <row r="40" spans="1:10" ht="18">
      <c r="A40" s="1025"/>
      <c r="B40" s="291" t="s">
        <v>1673</v>
      </c>
      <c r="C40" s="18" t="s">
        <v>339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25"/>
      <c r="B41" s="291"/>
      <c r="C41" s="18"/>
      <c r="D41" s="32" t="s">
        <v>1674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25"/>
      <c r="B42" s="291" t="s">
        <v>1675</v>
      </c>
      <c r="C42" s="18" t="s">
        <v>339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25"/>
      <c r="B43" s="291" t="s">
        <v>1676</v>
      </c>
      <c r="C43" s="18" t="s">
        <v>339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26"/>
      <c r="B44" s="291" t="s">
        <v>1677</v>
      </c>
      <c r="C44" s="18" t="s">
        <v>339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1678</v>
      </c>
      <c r="B45" s="301" t="s">
        <v>339</v>
      </c>
      <c r="C45" s="302" t="s">
        <v>339</v>
      </c>
      <c r="D45" s="257" t="s">
        <v>1484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1485</v>
      </c>
      <c r="E46" s="13" t="s">
        <v>1486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1487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54" t="s">
        <v>15</v>
      </c>
      <c r="B1" s="730" t="s">
        <v>17</v>
      </c>
      <c r="C1" s="754" t="s">
        <v>16</v>
      </c>
      <c r="D1" s="743" t="s">
        <v>148</v>
      </c>
      <c r="E1" s="743" t="s">
        <v>149</v>
      </c>
      <c r="F1" s="743" t="s">
        <v>150</v>
      </c>
      <c r="G1" s="743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38" t="s">
        <v>1679</v>
      </c>
      <c r="B2" s="1031">
        <v>1</v>
      </c>
      <c r="C2" s="414" t="s">
        <v>239</v>
      </c>
      <c r="D2" s="769">
        <v>1</v>
      </c>
      <c r="E2" s="769">
        <v>1</v>
      </c>
      <c r="F2" s="767">
        <v>0</v>
      </c>
      <c r="G2" s="767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1038"/>
      <c r="B3" s="1031"/>
      <c r="C3" s="414" t="s">
        <v>1680</v>
      </c>
      <c r="D3" s="769">
        <v>1</v>
      </c>
      <c r="E3" s="769">
        <v>1</v>
      </c>
      <c r="F3" s="767">
        <v>0</v>
      </c>
      <c r="G3" s="767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38"/>
      <c r="B4" s="1031">
        <v>2</v>
      </c>
      <c r="C4" s="414" t="s">
        <v>1681</v>
      </c>
      <c r="D4" s="769">
        <v>1</v>
      </c>
      <c r="E4" s="769">
        <v>1</v>
      </c>
      <c r="F4" s="767">
        <v>0</v>
      </c>
      <c r="G4" s="767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38"/>
      <c r="B5" s="1031"/>
      <c r="C5" s="414" t="s">
        <v>773</v>
      </c>
      <c r="D5" s="769">
        <v>1</v>
      </c>
      <c r="E5" s="769">
        <v>1</v>
      </c>
      <c r="F5" s="767">
        <v>0</v>
      </c>
      <c r="G5" s="767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38"/>
      <c r="B6" s="1031"/>
      <c r="C6" s="414" t="s">
        <v>1682</v>
      </c>
      <c r="D6" s="769">
        <v>1</v>
      </c>
      <c r="E6" s="769">
        <v>1</v>
      </c>
      <c r="F6" s="767">
        <v>0</v>
      </c>
      <c r="G6" s="767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38"/>
      <c r="B7" s="1031"/>
      <c r="C7" s="414" t="s">
        <v>128</v>
      </c>
      <c r="D7" s="769">
        <v>1</v>
      </c>
      <c r="E7" s="769">
        <v>1</v>
      </c>
      <c r="F7" s="767">
        <v>0</v>
      </c>
      <c r="G7" s="767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38"/>
      <c r="B8" s="1031">
        <v>3</v>
      </c>
      <c r="C8" s="414" t="s">
        <v>1683</v>
      </c>
      <c r="D8" s="769">
        <v>1</v>
      </c>
      <c r="E8" s="769">
        <v>1</v>
      </c>
      <c r="F8" s="767">
        <v>0</v>
      </c>
      <c r="G8" s="767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38"/>
      <c r="B9" s="1031"/>
      <c r="C9" s="414" t="s">
        <v>1684</v>
      </c>
      <c r="D9" s="769">
        <v>1</v>
      </c>
      <c r="E9" s="769">
        <v>1</v>
      </c>
      <c r="F9" s="767">
        <v>0</v>
      </c>
      <c r="G9" s="767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38"/>
      <c r="B10" s="1031"/>
      <c r="C10" s="414" t="s">
        <v>1685</v>
      </c>
      <c r="D10" s="769">
        <v>1</v>
      </c>
      <c r="E10" s="769">
        <v>1</v>
      </c>
      <c r="F10" s="767">
        <v>0</v>
      </c>
      <c r="G10" s="767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38"/>
      <c r="B11" s="1031"/>
      <c r="C11" s="414" t="s">
        <v>1686</v>
      </c>
      <c r="D11" s="769">
        <v>1</v>
      </c>
      <c r="E11" s="769">
        <v>0</v>
      </c>
      <c r="F11" s="767">
        <v>1</v>
      </c>
      <c r="G11" s="767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38"/>
      <c r="B12" s="1039">
        <v>4</v>
      </c>
      <c r="C12" s="414" t="s">
        <v>1687</v>
      </c>
      <c r="D12" s="769">
        <v>1</v>
      </c>
      <c r="E12" s="769">
        <v>1</v>
      </c>
      <c r="F12" s="767">
        <v>0</v>
      </c>
      <c r="G12" s="767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38"/>
      <c r="B13" s="1039"/>
      <c r="C13" s="414" t="s">
        <v>1688</v>
      </c>
      <c r="D13" s="769">
        <v>1</v>
      </c>
      <c r="E13" s="769">
        <v>1</v>
      </c>
      <c r="F13" s="767">
        <v>0</v>
      </c>
      <c r="G13" s="767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38"/>
      <c r="B14" s="1039"/>
      <c r="C14" s="414" t="s">
        <v>1689</v>
      </c>
      <c r="D14" s="769">
        <v>1</v>
      </c>
      <c r="E14" s="769">
        <v>1</v>
      </c>
      <c r="F14" s="767">
        <v>0</v>
      </c>
      <c r="G14" s="767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38"/>
      <c r="B15" s="1039">
        <v>5</v>
      </c>
      <c r="C15" s="414" t="s">
        <v>1690</v>
      </c>
      <c r="D15" s="769">
        <v>1</v>
      </c>
      <c r="E15" s="769">
        <v>1</v>
      </c>
      <c r="F15" s="767">
        <v>0</v>
      </c>
      <c r="G15" s="767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38"/>
      <c r="B16" s="1039"/>
      <c r="C16" s="414" t="s">
        <v>1691</v>
      </c>
      <c r="D16" s="769">
        <v>1</v>
      </c>
      <c r="E16" s="769">
        <v>1</v>
      </c>
      <c r="F16" s="767">
        <v>0</v>
      </c>
      <c r="G16" s="767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38"/>
      <c r="B17" s="1039"/>
      <c r="C17" s="414" t="s">
        <v>1627</v>
      </c>
      <c r="D17" s="769">
        <v>1</v>
      </c>
      <c r="E17" s="769">
        <v>1</v>
      </c>
      <c r="F17" s="767">
        <v>0</v>
      </c>
      <c r="G17" s="767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38" t="s">
        <v>627</v>
      </c>
      <c r="B18" s="1039">
        <v>1</v>
      </c>
      <c r="C18" s="81" t="s">
        <v>1692</v>
      </c>
      <c r="D18" s="769">
        <v>1</v>
      </c>
      <c r="E18" s="769">
        <v>1</v>
      </c>
      <c r="F18" s="767">
        <v>0</v>
      </c>
      <c r="G18" s="767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38"/>
      <c r="B19" s="1039"/>
      <c r="C19" s="81" t="s">
        <v>1693</v>
      </c>
      <c r="D19" s="769">
        <v>1</v>
      </c>
      <c r="E19" s="769">
        <v>1</v>
      </c>
      <c r="F19" s="767">
        <v>0</v>
      </c>
      <c r="G19" s="767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38"/>
      <c r="B20" s="1039"/>
      <c r="C20" s="81" t="s">
        <v>1694</v>
      </c>
      <c r="D20" s="769">
        <v>1</v>
      </c>
      <c r="E20" s="769">
        <v>1</v>
      </c>
      <c r="F20" s="767">
        <v>0</v>
      </c>
      <c r="G20" s="767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38"/>
      <c r="B21" s="1039"/>
      <c r="C21" s="81" t="s">
        <v>128</v>
      </c>
      <c r="D21" s="769">
        <v>2</v>
      </c>
      <c r="E21" s="769">
        <v>2</v>
      </c>
      <c r="F21" s="767">
        <v>0</v>
      </c>
      <c r="G21" s="767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38"/>
      <c r="B22" s="1039"/>
      <c r="C22" s="81" t="s">
        <v>1695</v>
      </c>
      <c r="D22" s="769">
        <v>1</v>
      </c>
      <c r="E22" s="769">
        <v>1</v>
      </c>
      <c r="F22" s="767">
        <v>0</v>
      </c>
      <c r="G22" s="767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38"/>
      <c r="B23" s="1039">
        <v>2</v>
      </c>
      <c r="C23" s="81" t="s">
        <v>1696</v>
      </c>
      <c r="D23" s="769">
        <v>1</v>
      </c>
      <c r="E23" s="769">
        <v>1</v>
      </c>
      <c r="F23" s="767">
        <v>0</v>
      </c>
      <c r="G23" s="767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38"/>
      <c r="B24" s="1039"/>
      <c r="C24" s="81" t="s">
        <v>1697</v>
      </c>
      <c r="D24" s="769">
        <v>1</v>
      </c>
      <c r="E24" s="769">
        <v>1</v>
      </c>
      <c r="F24" s="767">
        <v>0</v>
      </c>
      <c r="G24" s="767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38"/>
      <c r="B25" s="1039"/>
      <c r="C25" s="81" t="s">
        <v>128</v>
      </c>
      <c r="D25" s="769">
        <v>2</v>
      </c>
      <c r="E25" s="769">
        <v>2</v>
      </c>
      <c r="F25" s="767">
        <v>0</v>
      </c>
      <c r="G25" s="767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38"/>
      <c r="B26" s="1039"/>
      <c r="C26" s="81" t="s">
        <v>1698</v>
      </c>
      <c r="D26" s="769">
        <v>2</v>
      </c>
      <c r="E26" s="769">
        <v>2</v>
      </c>
      <c r="F26" s="767">
        <v>0</v>
      </c>
      <c r="G26" s="767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38"/>
      <c r="B27" s="1039"/>
      <c r="C27" s="81" t="s">
        <v>1699</v>
      </c>
      <c r="D27" s="769">
        <v>1</v>
      </c>
      <c r="E27" s="769">
        <v>1</v>
      </c>
      <c r="F27" s="767">
        <v>0</v>
      </c>
      <c r="G27" s="767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38"/>
      <c r="B28" s="1039"/>
      <c r="C28" s="81" t="s">
        <v>1700</v>
      </c>
      <c r="D28" s="769">
        <v>1</v>
      </c>
      <c r="E28" s="769">
        <v>1</v>
      </c>
      <c r="F28" s="767">
        <v>0</v>
      </c>
      <c r="G28" s="767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38"/>
      <c r="B29" s="1039"/>
      <c r="C29" s="81" t="s">
        <v>1701</v>
      </c>
      <c r="D29" s="769">
        <v>1</v>
      </c>
      <c r="E29" s="769">
        <v>1</v>
      </c>
      <c r="F29" s="767">
        <v>0</v>
      </c>
      <c r="G29" s="767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38"/>
      <c r="B30" s="1039"/>
      <c r="C30" s="81" t="s">
        <v>1702</v>
      </c>
      <c r="D30" s="769">
        <v>1</v>
      </c>
      <c r="E30" s="769">
        <v>1</v>
      </c>
      <c r="F30" s="767">
        <v>0</v>
      </c>
      <c r="G30" s="767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32" t="s">
        <v>1703</v>
      </c>
      <c r="B31" s="769">
        <v>1</v>
      </c>
      <c r="C31" s="81" t="s">
        <v>1600</v>
      </c>
      <c r="D31" s="769">
        <v>1</v>
      </c>
      <c r="E31" s="769">
        <v>1</v>
      </c>
      <c r="F31" s="767">
        <v>0</v>
      </c>
      <c r="G31" s="767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32"/>
      <c r="B32" s="1039">
        <v>2</v>
      </c>
      <c r="C32" s="81" t="s">
        <v>1704</v>
      </c>
      <c r="D32" s="769">
        <v>1</v>
      </c>
      <c r="E32" s="769">
        <v>1</v>
      </c>
      <c r="F32" s="767">
        <v>0</v>
      </c>
      <c r="G32" s="767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32"/>
      <c r="B33" s="1039"/>
      <c r="C33" s="81" t="s">
        <v>1705</v>
      </c>
      <c r="D33" s="769">
        <v>1</v>
      </c>
      <c r="E33" s="769">
        <v>1</v>
      </c>
      <c r="F33" s="767">
        <v>0</v>
      </c>
      <c r="G33" s="767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38" t="s">
        <v>1706</v>
      </c>
      <c r="B34" s="1039">
        <v>1</v>
      </c>
      <c r="C34" s="81" t="s">
        <v>1707</v>
      </c>
      <c r="D34" s="769">
        <v>1</v>
      </c>
      <c r="E34" s="769">
        <v>1</v>
      </c>
      <c r="F34" s="767">
        <v>0</v>
      </c>
      <c r="G34" s="767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38"/>
      <c r="B35" s="1039"/>
      <c r="C35" s="81" t="s">
        <v>1708</v>
      </c>
      <c r="D35" s="769">
        <v>1</v>
      </c>
      <c r="E35" s="769">
        <v>1</v>
      </c>
      <c r="F35" s="767">
        <v>0</v>
      </c>
      <c r="G35" s="767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768" t="s">
        <v>1709</v>
      </c>
      <c r="B36" s="769">
        <v>1</v>
      </c>
      <c r="C36" s="81" t="s">
        <v>1710</v>
      </c>
      <c r="D36" s="769">
        <v>1</v>
      </c>
      <c r="E36" s="769">
        <v>1</v>
      </c>
      <c r="F36" s="767">
        <v>0</v>
      </c>
      <c r="G36" s="767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768" t="s">
        <v>1711</v>
      </c>
      <c r="B37" s="769">
        <v>1</v>
      </c>
      <c r="C37" s="81" t="s">
        <v>1712</v>
      </c>
      <c r="D37" s="769">
        <v>1</v>
      </c>
      <c r="E37" s="769">
        <v>1</v>
      </c>
      <c r="F37" s="767">
        <v>0</v>
      </c>
      <c r="G37" s="767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768" t="s">
        <v>1713</v>
      </c>
      <c r="B38" s="769">
        <v>1</v>
      </c>
      <c r="C38" s="81" t="s">
        <v>1714</v>
      </c>
      <c r="D38" s="769">
        <v>1</v>
      </c>
      <c r="E38" s="769">
        <v>0</v>
      </c>
      <c r="F38" s="767">
        <v>1</v>
      </c>
      <c r="G38" s="767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32" t="s">
        <v>1533</v>
      </c>
      <c r="B39" s="1039">
        <v>1</v>
      </c>
      <c r="C39" s="81" t="s">
        <v>1619</v>
      </c>
      <c r="D39" s="769">
        <v>1</v>
      </c>
      <c r="E39" s="769">
        <v>1</v>
      </c>
      <c r="F39" s="767">
        <v>0</v>
      </c>
      <c r="G39" s="767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32"/>
      <c r="B40" s="1039"/>
      <c r="C40" s="81" t="s">
        <v>1715</v>
      </c>
      <c r="D40" s="769">
        <v>1</v>
      </c>
      <c r="E40" s="769">
        <v>1</v>
      </c>
      <c r="F40" s="767">
        <v>0</v>
      </c>
      <c r="G40" s="767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32"/>
      <c r="B41" s="1039"/>
      <c r="C41" s="81" t="s">
        <v>1600</v>
      </c>
      <c r="D41" s="769">
        <v>1</v>
      </c>
      <c r="E41" s="769">
        <v>1</v>
      </c>
      <c r="F41" s="767">
        <v>0</v>
      </c>
      <c r="G41" s="767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32"/>
      <c r="B42" s="1039"/>
      <c r="C42" s="81" t="s">
        <v>1716</v>
      </c>
      <c r="D42" s="769">
        <v>1</v>
      </c>
      <c r="E42" s="769">
        <v>1</v>
      </c>
      <c r="F42" s="767">
        <v>0</v>
      </c>
      <c r="G42" s="767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32"/>
      <c r="B43" s="1039"/>
      <c r="C43" s="81" t="s">
        <v>1717</v>
      </c>
      <c r="D43" s="769">
        <v>1</v>
      </c>
      <c r="E43" s="769">
        <v>1</v>
      </c>
      <c r="F43" s="767">
        <v>0</v>
      </c>
      <c r="G43" s="767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254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8"/>
      <c r="B45" s="389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256</v>
      </c>
      <c r="B1" s="110" t="s">
        <v>15</v>
      </c>
      <c r="C1" s="110" t="s">
        <v>17</v>
      </c>
      <c r="D1" s="110" t="s">
        <v>257</v>
      </c>
      <c r="E1" s="110" t="s">
        <v>258</v>
      </c>
      <c r="F1" s="127" t="s">
        <v>259</v>
      </c>
      <c r="G1" s="127" t="s">
        <v>260</v>
      </c>
      <c r="H1" s="127" t="s">
        <v>261</v>
      </c>
      <c r="I1" s="127" t="s">
        <v>262</v>
      </c>
      <c r="J1" s="127" t="s">
        <v>263</v>
      </c>
      <c r="K1" s="127" t="s">
        <v>264</v>
      </c>
      <c r="L1" s="127" t="s">
        <v>265</v>
      </c>
      <c r="M1" s="127" t="s">
        <v>266</v>
      </c>
      <c r="N1" s="127" t="s">
        <v>267</v>
      </c>
      <c r="O1" s="128" t="s">
        <v>268</v>
      </c>
    </row>
    <row r="2" spans="1:15" s="92" customFormat="1">
      <c r="A2" s="125" t="s">
        <v>10</v>
      </c>
      <c r="B2" s="120" t="s">
        <v>1533</v>
      </c>
      <c r="C2" s="180">
        <v>1</v>
      </c>
      <c r="D2" s="121" t="s">
        <v>233</v>
      </c>
      <c r="E2" s="90" t="s">
        <v>1718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25" t="s">
        <v>10</v>
      </c>
      <c r="B3" s="152" t="s">
        <v>1719</v>
      </c>
      <c r="C3" s="181">
        <v>1</v>
      </c>
      <c r="D3" s="123" t="s">
        <v>1636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154</v>
      </c>
    </row>
    <row r="4" spans="1:15" s="92" customFormat="1">
      <c r="A4" s="125" t="s">
        <v>10</v>
      </c>
      <c r="B4" s="152" t="s">
        <v>1720</v>
      </c>
      <c r="C4" s="181">
        <v>1</v>
      </c>
      <c r="D4" s="137" t="s">
        <v>1640</v>
      </c>
      <c r="E4" s="90" t="s">
        <v>1721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25" t="s">
        <v>10</v>
      </c>
      <c r="B5" s="152" t="s">
        <v>1722</v>
      </c>
      <c r="C5" s="181">
        <v>1</v>
      </c>
      <c r="D5" s="123" t="s">
        <v>1642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154</v>
      </c>
    </row>
    <row r="6" spans="1:15" s="92" customFormat="1">
      <c r="A6" s="125" t="s">
        <v>10</v>
      </c>
      <c r="B6" s="152" t="s">
        <v>1723</v>
      </c>
      <c r="C6" s="181">
        <v>1</v>
      </c>
      <c r="D6" s="137" t="s">
        <v>1644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125" t="s">
        <v>10</v>
      </c>
      <c r="B7" s="122" t="s">
        <v>1645</v>
      </c>
      <c r="C7" s="181">
        <v>1</v>
      </c>
      <c r="D7" s="279" t="s">
        <v>1646</v>
      </c>
      <c r="E7" s="90" t="s">
        <v>1724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154</v>
      </c>
    </row>
    <row r="8" spans="1:15" s="92" customFormat="1">
      <c r="A8" s="125" t="s">
        <v>10</v>
      </c>
      <c r="B8" s="122" t="s">
        <v>1645</v>
      </c>
      <c r="C8" s="181">
        <v>2</v>
      </c>
      <c r="D8" s="123" t="s">
        <v>1725</v>
      </c>
      <c r="E8" s="90" t="s">
        <v>1726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154</v>
      </c>
    </row>
    <row r="9" spans="1:15" s="92" customFormat="1">
      <c r="A9" s="125" t="s">
        <v>10</v>
      </c>
      <c r="B9" s="122" t="s">
        <v>1645</v>
      </c>
      <c r="C9" s="181">
        <v>2</v>
      </c>
      <c r="D9" s="280" t="s">
        <v>1727</v>
      </c>
      <c r="E9" s="90" t="s">
        <v>1728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25" t="s">
        <v>10</v>
      </c>
      <c r="B10" s="122" t="s">
        <v>1645</v>
      </c>
      <c r="C10" s="181">
        <v>1</v>
      </c>
      <c r="D10" s="279" t="s">
        <v>1654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25" t="s">
        <v>10</v>
      </c>
      <c r="B11" s="122" t="s">
        <v>1645</v>
      </c>
      <c r="C11" s="181">
        <v>1</v>
      </c>
      <c r="D11" s="280" t="s">
        <v>1655</v>
      </c>
      <c r="E11" s="90" t="s">
        <v>1729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25" t="s">
        <v>10</v>
      </c>
      <c r="B12" s="122" t="s">
        <v>1645</v>
      </c>
      <c r="C12" s="181">
        <v>1</v>
      </c>
      <c r="D12" s="279" t="s">
        <v>1656</v>
      </c>
      <c r="E12" s="90" t="s">
        <v>1730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125" t="s">
        <v>10</v>
      </c>
      <c r="B13" s="136" t="s">
        <v>1731</v>
      </c>
      <c r="C13" s="181">
        <v>1</v>
      </c>
      <c r="D13" s="137" t="s">
        <v>1660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25" t="s">
        <v>10</v>
      </c>
      <c r="B14" s="122" t="s">
        <v>1645</v>
      </c>
      <c r="C14" s="181">
        <v>1</v>
      </c>
      <c r="D14" s="279" t="s">
        <v>1661</v>
      </c>
      <c r="E14" s="90" t="s">
        <v>1732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25" t="s">
        <v>10</v>
      </c>
      <c r="B15" s="282" t="s">
        <v>1733</v>
      </c>
      <c r="C15" s="228">
        <v>1</v>
      </c>
      <c r="D15" s="415" t="s">
        <v>1734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25" t="s">
        <v>10</v>
      </c>
      <c r="B16" s="122" t="s">
        <v>1666</v>
      </c>
      <c r="C16" s="181">
        <v>1</v>
      </c>
      <c r="D16" s="123" t="s">
        <v>1462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154</v>
      </c>
    </row>
    <row r="17" spans="1:16" s="92" customFormat="1">
      <c r="A17" s="125" t="s">
        <v>10</v>
      </c>
      <c r="B17" s="122" t="s">
        <v>1667</v>
      </c>
      <c r="C17" s="181">
        <v>1</v>
      </c>
      <c r="D17" s="123" t="s">
        <v>1668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6" s="92" customFormat="1">
      <c r="A18" s="125" t="s">
        <v>10</v>
      </c>
      <c r="B18" s="122" t="s">
        <v>1735</v>
      </c>
      <c r="C18" s="181">
        <v>2</v>
      </c>
      <c r="D18" s="123" t="s">
        <v>1670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6" s="92" customFormat="1">
      <c r="A19" s="125" t="s">
        <v>10</v>
      </c>
      <c r="B19" s="136" t="s">
        <v>1671</v>
      </c>
      <c r="C19" s="181">
        <v>1</v>
      </c>
      <c r="D19" s="137" t="s">
        <v>1672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154</v>
      </c>
    </row>
    <row r="20" spans="1:16" s="92" customFormat="1">
      <c r="A20" s="125" t="s">
        <v>10</v>
      </c>
      <c r="B20" s="122" t="s">
        <v>1671</v>
      </c>
      <c r="C20" s="181">
        <v>2</v>
      </c>
      <c r="D20" s="123" t="s">
        <v>1736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6" s="92" customFormat="1">
      <c r="A21" s="125" t="s">
        <v>10</v>
      </c>
      <c r="B21" s="122" t="s">
        <v>1671</v>
      </c>
      <c r="C21" s="283">
        <v>2</v>
      </c>
      <c r="D21" s="137" t="s">
        <v>1737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154</v>
      </c>
    </row>
    <row r="22" spans="1:16" s="92" customFormat="1">
      <c r="A22" s="125" t="s">
        <v>10</v>
      </c>
      <c r="B22" s="122" t="s">
        <v>1671</v>
      </c>
      <c r="C22" s="181">
        <v>3</v>
      </c>
      <c r="D22" s="123" t="s">
        <v>1675</v>
      </c>
      <c r="E22" s="90" t="s">
        <v>1738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6" s="92" customFormat="1">
      <c r="A23" s="125" t="s">
        <v>10</v>
      </c>
      <c r="B23" s="122" t="s">
        <v>1671</v>
      </c>
      <c r="C23" s="181">
        <v>4</v>
      </c>
      <c r="D23" s="123" t="s">
        <v>1676</v>
      </c>
      <c r="E23" s="90" t="s">
        <v>1739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6" s="92" customFormat="1">
      <c r="A24" s="125" t="s">
        <v>10</v>
      </c>
      <c r="B24" s="122" t="s">
        <v>1671</v>
      </c>
      <c r="C24" s="181">
        <v>5</v>
      </c>
      <c r="D24" s="123" t="s">
        <v>1677</v>
      </c>
      <c r="E24" s="90" t="s">
        <v>1740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154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288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54" t="s">
        <v>15</v>
      </c>
      <c r="B1" s="754" t="s">
        <v>16</v>
      </c>
      <c r="C1" s="743" t="s">
        <v>1369</v>
      </c>
      <c r="D1" s="36" t="s">
        <v>18</v>
      </c>
      <c r="E1" s="743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24" t="s">
        <v>627</v>
      </c>
      <c r="B2" s="45" t="s">
        <v>1741</v>
      </c>
      <c r="C2" s="17" t="s">
        <v>1742</v>
      </c>
      <c r="D2" s="22" t="s">
        <v>38</v>
      </c>
      <c r="E2" s="499">
        <v>5</v>
      </c>
      <c r="F2" s="751">
        <v>0</v>
      </c>
      <c r="G2" s="751">
        <v>0</v>
      </c>
      <c r="H2" s="751">
        <v>0</v>
      </c>
      <c r="I2" s="7">
        <f t="shared" ref="I2:I34" si="0">ROUNDUP(((F2+G2+H2)/3)/E2*100%,2)</f>
        <v>0</v>
      </c>
      <c r="J2" s="8"/>
    </row>
    <row r="3" spans="1:10" ht="18">
      <c r="A3" s="1025"/>
      <c r="B3" s="46"/>
      <c r="C3" s="18"/>
      <c r="D3" s="23" t="s">
        <v>42</v>
      </c>
      <c r="E3" s="750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25"/>
      <c r="B4" s="46"/>
      <c r="C4" s="18"/>
      <c r="D4" s="23" t="s">
        <v>1374</v>
      </c>
      <c r="E4" s="750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25"/>
      <c r="B5" s="46"/>
      <c r="C5" s="18"/>
      <c r="D5" s="23" t="s">
        <v>52</v>
      </c>
      <c r="E5" s="750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25"/>
      <c r="B6" s="46"/>
      <c r="C6" s="18"/>
      <c r="D6" s="23" t="s">
        <v>58</v>
      </c>
      <c r="E6" s="750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25"/>
      <c r="B7" s="46"/>
      <c r="C7" s="18"/>
      <c r="D7" s="23" t="s">
        <v>1375</v>
      </c>
      <c r="E7" s="750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1743</v>
      </c>
    </row>
    <row r="8" spans="1:10" ht="18">
      <c r="A8" s="1025"/>
      <c r="B8" s="46"/>
      <c r="C8" s="18"/>
      <c r="D8" s="23" t="s">
        <v>1376</v>
      </c>
      <c r="E8" s="750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25"/>
      <c r="B9" s="46"/>
      <c r="C9" s="18"/>
      <c r="D9" s="23" t="s">
        <v>62</v>
      </c>
      <c r="E9" s="750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25"/>
      <c r="B10" s="46"/>
      <c r="C10" s="18"/>
      <c r="D10" s="23" t="s">
        <v>1377</v>
      </c>
      <c r="E10" s="750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25"/>
      <c r="B11" s="46" t="s">
        <v>1744</v>
      </c>
      <c r="C11" s="18" t="s">
        <v>1745</v>
      </c>
      <c r="D11" s="23" t="s">
        <v>38</v>
      </c>
      <c r="E11" s="750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25"/>
      <c r="B12" s="46"/>
      <c r="C12" s="18"/>
      <c r="D12" s="23" t="s">
        <v>42</v>
      </c>
      <c r="E12" s="750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25"/>
      <c r="B13" s="46" t="s">
        <v>1746</v>
      </c>
      <c r="C13" s="18" t="s">
        <v>339</v>
      </c>
      <c r="D13" s="23" t="s">
        <v>38</v>
      </c>
      <c r="E13" s="750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25"/>
      <c r="B14" s="46"/>
      <c r="C14" s="18"/>
      <c r="D14" s="23" t="s">
        <v>42</v>
      </c>
      <c r="E14" s="750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25"/>
      <c r="B15" s="416" t="s">
        <v>1747</v>
      </c>
      <c r="C15" s="32" t="s">
        <v>339</v>
      </c>
      <c r="D15" s="32" t="s">
        <v>38</v>
      </c>
      <c r="E15" s="750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25"/>
      <c r="B16" s="46"/>
      <c r="C16" s="18"/>
      <c r="D16" s="23" t="s">
        <v>42</v>
      </c>
      <c r="E16" s="750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25"/>
      <c r="B17" s="46" t="s">
        <v>1631</v>
      </c>
      <c r="C17" s="18" t="s">
        <v>339</v>
      </c>
      <c r="D17" s="23" t="s">
        <v>38</v>
      </c>
      <c r="E17" s="750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25"/>
      <c r="B18" s="46" t="s">
        <v>1748</v>
      </c>
      <c r="C18" s="18" t="s">
        <v>339</v>
      </c>
      <c r="D18" s="23" t="s">
        <v>42</v>
      </c>
      <c r="E18" s="750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25"/>
      <c r="B19" s="46" t="s">
        <v>1749</v>
      </c>
      <c r="C19" s="18" t="s">
        <v>1750</v>
      </c>
      <c r="D19" s="23" t="s">
        <v>42</v>
      </c>
      <c r="E19" s="750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26"/>
      <c r="B20" s="47" t="s">
        <v>1751</v>
      </c>
      <c r="C20" s="318" t="s">
        <v>339</v>
      </c>
      <c r="D20" s="319" t="s">
        <v>42</v>
      </c>
      <c r="E20" s="751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1752</v>
      </c>
      <c r="B21" s="45" t="s">
        <v>1753</v>
      </c>
      <c r="C21" s="17" t="s">
        <v>339</v>
      </c>
      <c r="D21" s="22" t="s">
        <v>38</v>
      </c>
      <c r="E21" s="499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50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1754</v>
      </c>
      <c r="B23" s="30" t="s">
        <v>1755</v>
      </c>
      <c r="C23" s="19" t="s">
        <v>339</v>
      </c>
      <c r="D23" s="24" t="s">
        <v>42</v>
      </c>
      <c r="E23" s="751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1756</v>
      </c>
      <c r="B24" s="48" t="s">
        <v>37</v>
      </c>
      <c r="C24" s="20" t="s">
        <v>339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34" t="s">
        <v>1757</v>
      </c>
      <c r="B25" s="45" t="s">
        <v>1758</v>
      </c>
      <c r="C25" s="17" t="s">
        <v>339</v>
      </c>
      <c r="D25" s="22" t="s">
        <v>38</v>
      </c>
      <c r="E25" s="499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35"/>
      <c r="B26" s="47"/>
      <c r="C26" s="19"/>
      <c r="D26" s="24" t="s">
        <v>42</v>
      </c>
      <c r="E26" s="751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1759</v>
      </c>
      <c r="B27" s="48" t="s">
        <v>233</v>
      </c>
      <c r="C27" s="20" t="s">
        <v>339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1450</v>
      </c>
      <c r="B28" s="48" t="s">
        <v>1760</v>
      </c>
      <c r="C28" s="20" t="s">
        <v>339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1761</v>
      </c>
      <c r="B29" s="48" t="s">
        <v>1762</v>
      </c>
      <c r="C29" s="20" t="s">
        <v>339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7" t="s">
        <v>1763</v>
      </c>
      <c r="B30" s="48" t="s">
        <v>37</v>
      </c>
      <c r="C30" s="324" t="s">
        <v>339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1764</v>
      </c>
      <c r="B31" s="48" t="s">
        <v>1371</v>
      </c>
      <c r="C31" s="20" t="s">
        <v>339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1765</v>
      </c>
      <c r="B32" s="48" t="s">
        <v>1766</v>
      </c>
      <c r="C32" s="20" t="s">
        <v>339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1767</v>
      </c>
      <c r="B33" s="48" t="s">
        <v>1768</v>
      </c>
      <c r="C33" s="20" t="s">
        <v>339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1769</v>
      </c>
      <c r="B34" s="48" t="s">
        <v>339</v>
      </c>
      <c r="C34" s="20" t="s">
        <v>339</v>
      </c>
      <c r="D34" s="21" t="s">
        <v>1484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1485</v>
      </c>
      <c r="E35" s="13" t="s">
        <v>1486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1487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30" t="s">
        <v>17</v>
      </c>
      <c r="C1" s="754" t="s">
        <v>16</v>
      </c>
      <c r="D1" s="743" t="s">
        <v>148</v>
      </c>
      <c r="E1" s="743" t="s">
        <v>149</v>
      </c>
      <c r="F1" s="743" t="s">
        <v>150</v>
      </c>
      <c r="G1" s="743" t="s">
        <v>151</v>
      </c>
      <c r="H1" s="237" t="s">
        <v>26</v>
      </c>
      <c r="I1" s="237" t="s">
        <v>27</v>
      </c>
      <c r="J1" s="237" t="s">
        <v>28</v>
      </c>
      <c r="K1" s="756" t="s">
        <v>29</v>
      </c>
      <c r="L1" s="753" t="s">
        <v>30</v>
      </c>
    </row>
    <row r="2" spans="1:12">
      <c r="A2" s="931" t="s">
        <v>627</v>
      </c>
      <c r="B2" s="1037">
        <v>1</v>
      </c>
      <c r="C2" s="79" t="s">
        <v>1770</v>
      </c>
      <c r="D2" s="767">
        <v>1</v>
      </c>
      <c r="E2" s="767">
        <v>1</v>
      </c>
      <c r="F2" s="767">
        <v>0</v>
      </c>
      <c r="G2" s="767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5"/>
    </row>
    <row r="3" spans="1:12">
      <c r="A3" s="931"/>
      <c r="B3" s="1037"/>
      <c r="C3" s="79" t="s">
        <v>1771</v>
      </c>
      <c r="D3" s="767">
        <v>1</v>
      </c>
      <c r="E3" s="767">
        <v>1</v>
      </c>
      <c r="F3" s="767">
        <v>0</v>
      </c>
      <c r="G3" s="767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31"/>
      <c r="B4" s="1037"/>
      <c r="C4" s="79" t="s">
        <v>128</v>
      </c>
      <c r="D4" s="767">
        <v>1</v>
      </c>
      <c r="E4" s="767">
        <v>1</v>
      </c>
      <c r="F4" s="767">
        <v>0</v>
      </c>
      <c r="G4" s="767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31"/>
      <c r="B5" s="1037"/>
      <c r="C5" s="79" t="s">
        <v>1772</v>
      </c>
      <c r="D5" s="767">
        <v>1</v>
      </c>
      <c r="E5" s="767">
        <v>1</v>
      </c>
      <c r="F5" s="767">
        <v>0</v>
      </c>
      <c r="G5" s="767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31"/>
      <c r="B6" s="1039">
        <v>2</v>
      </c>
      <c r="C6" s="79" t="s">
        <v>1505</v>
      </c>
      <c r="D6" s="767">
        <v>2</v>
      </c>
      <c r="E6" s="767">
        <v>2</v>
      </c>
      <c r="F6" s="767">
        <v>0</v>
      </c>
      <c r="G6" s="767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931"/>
      <c r="B7" s="1039"/>
      <c r="C7" s="79" t="s">
        <v>1773</v>
      </c>
      <c r="D7" s="767">
        <v>2</v>
      </c>
      <c r="E7" s="767">
        <v>2</v>
      </c>
      <c r="F7" s="767">
        <v>0</v>
      </c>
      <c r="G7" s="767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31"/>
      <c r="B8" s="1039"/>
      <c r="C8" s="79" t="s">
        <v>1774</v>
      </c>
      <c r="D8" s="767">
        <v>1</v>
      </c>
      <c r="E8" s="767">
        <v>1</v>
      </c>
      <c r="F8" s="767">
        <v>0</v>
      </c>
      <c r="G8" s="767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31"/>
      <c r="B9" s="1039"/>
      <c r="C9" s="79" t="s">
        <v>1504</v>
      </c>
      <c r="D9" s="767">
        <v>1</v>
      </c>
      <c r="E9" s="767">
        <v>1</v>
      </c>
      <c r="F9" s="767">
        <v>0</v>
      </c>
      <c r="G9" s="767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31"/>
      <c r="B10" s="1039"/>
      <c r="C10" s="79" t="s">
        <v>1668</v>
      </c>
      <c r="D10" s="767">
        <v>1</v>
      </c>
      <c r="E10" s="767">
        <v>1</v>
      </c>
      <c r="F10" s="767">
        <v>0</v>
      </c>
      <c r="G10" s="767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31"/>
      <c r="B11" s="1039"/>
      <c r="C11" s="79" t="s">
        <v>1775</v>
      </c>
      <c r="D11" s="767">
        <v>2</v>
      </c>
      <c r="E11" s="767">
        <v>2</v>
      </c>
      <c r="F11" s="767">
        <v>0</v>
      </c>
      <c r="G11" s="767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31"/>
      <c r="B12" s="1039"/>
      <c r="C12" s="79" t="s">
        <v>1776</v>
      </c>
      <c r="D12" s="767">
        <v>1</v>
      </c>
      <c r="E12" s="767">
        <v>1</v>
      </c>
      <c r="F12" s="767">
        <v>0</v>
      </c>
      <c r="G12" s="767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31"/>
      <c r="B13" s="1039"/>
      <c r="C13" s="79" t="s">
        <v>1777</v>
      </c>
      <c r="D13" s="767">
        <v>7</v>
      </c>
      <c r="E13" s="767">
        <v>7</v>
      </c>
      <c r="F13" s="767">
        <v>0</v>
      </c>
      <c r="G13" s="767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31"/>
      <c r="B14" s="1039"/>
      <c r="C14" s="79" t="s">
        <v>1778</v>
      </c>
      <c r="D14" s="767">
        <v>1</v>
      </c>
      <c r="E14" s="767">
        <v>1</v>
      </c>
      <c r="F14" s="767">
        <v>0</v>
      </c>
      <c r="G14" s="767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31" t="s">
        <v>1779</v>
      </c>
      <c r="B15" s="1037">
        <v>1</v>
      </c>
      <c r="C15" s="79" t="s">
        <v>1780</v>
      </c>
      <c r="D15" s="767">
        <v>1</v>
      </c>
      <c r="E15" s="767">
        <v>1</v>
      </c>
      <c r="F15" s="767">
        <v>0</v>
      </c>
      <c r="G15" s="767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31"/>
      <c r="B16" s="1037"/>
      <c r="C16" s="79" t="s">
        <v>1781</v>
      </c>
      <c r="D16" s="767">
        <v>2</v>
      </c>
      <c r="E16" s="767">
        <v>2</v>
      </c>
      <c r="F16" s="767">
        <v>0</v>
      </c>
      <c r="G16" s="767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748" t="s">
        <v>1782</v>
      </c>
      <c r="B17" s="8">
        <v>2</v>
      </c>
      <c r="C17" s="73" t="s">
        <v>128</v>
      </c>
      <c r="D17" s="767">
        <v>1</v>
      </c>
      <c r="E17" s="767">
        <v>1</v>
      </c>
      <c r="F17" s="767">
        <v>0</v>
      </c>
      <c r="G17" s="767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31" t="s">
        <v>1783</v>
      </c>
      <c r="B18" s="1037">
        <v>1</v>
      </c>
      <c r="C18" s="79" t="s">
        <v>233</v>
      </c>
      <c r="D18" s="767">
        <v>1</v>
      </c>
      <c r="E18" s="767">
        <v>1</v>
      </c>
      <c r="F18" s="767">
        <v>0</v>
      </c>
      <c r="G18" s="767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31"/>
      <c r="B19" s="1037"/>
      <c r="C19" s="414" t="s">
        <v>1784</v>
      </c>
      <c r="D19" s="767">
        <v>1</v>
      </c>
      <c r="E19" s="767">
        <v>1</v>
      </c>
      <c r="F19" s="767">
        <v>0</v>
      </c>
      <c r="G19" s="767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31"/>
      <c r="B20" s="1037"/>
      <c r="C20" s="414" t="s">
        <v>1785</v>
      </c>
      <c r="D20" s="767">
        <v>1</v>
      </c>
      <c r="E20" s="767">
        <v>1</v>
      </c>
      <c r="F20" s="767">
        <v>0</v>
      </c>
      <c r="G20" s="767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31"/>
      <c r="B21" s="1037"/>
      <c r="C21" s="414" t="s">
        <v>1768</v>
      </c>
      <c r="D21" s="767">
        <v>1</v>
      </c>
      <c r="E21" s="767">
        <v>1</v>
      </c>
      <c r="F21" s="767">
        <v>0</v>
      </c>
      <c r="G21" s="767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388"/>
      <c r="B22" s="389"/>
      <c r="C22" s="390" t="s">
        <v>254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8"/>
      <c r="B23" s="389"/>
      <c r="C23" s="75" t="s">
        <v>255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8"/>
      <c r="B24" s="389"/>
      <c r="C24" s="403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8"/>
      <c r="B25" s="389"/>
      <c r="C25" s="403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8"/>
      <c r="B26" s="389"/>
      <c r="C26" s="403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8"/>
      <c r="B27" s="389"/>
      <c r="C27" s="403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8"/>
      <c r="B28" s="389"/>
      <c r="C28" s="403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8"/>
      <c r="B29" s="389"/>
      <c r="C29" s="403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8"/>
      <c r="B30" s="389"/>
      <c r="C30" s="403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8"/>
      <c r="B31" s="389"/>
      <c r="C31" s="403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8"/>
      <c r="B32" s="389"/>
      <c r="C32" s="403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11</v>
      </c>
      <c r="B2" s="120" t="s">
        <v>627</v>
      </c>
      <c r="C2" s="180">
        <v>2</v>
      </c>
      <c r="D2" s="418" t="s">
        <v>1741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67" t="s">
        <v>154</v>
      </c>
    </row>
    <row r="3" spans="1:15" s="92" customFormat="1">
      <c r="A3" s="87" t="s">
        <v>11</v>
      </c>
      <c r="B3" s="122" t="s">
        <v>627</v>
      </c>
      <c r="C3" s="181">
        <v>2</v>
      </c>
      <c r="D3" s="130" t="s">
        <v>1786</v>
      </c>
      <c r="E3" s="90" t="s">
        <v>1787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67" t="s">
        <v>154</v>
      </c>
    </row>
    <row r="4" spans="1:15" s="92" customFormat="1">
      <c r="A4" s="87" t="s">
        <v>11</v>
      </c>
      <c r="B4" s="122" t="s">
        <v>627</v>
      </c>
      <c r="C4" s="181">
        <v>1</v>
      </c>
      <c r="D4" s="275" t="s">
        <v>1788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67" t="s">
        <v>154</v>
      </c>
    </row>
    <row r="5" spans="1:15" s="92" customFormat="1">
      <c r="A5" s="87" t="s">
        <v>11</v>
      </c>
      <c r="B5" s="122" t="s">
        <v>627</v>
      </c>
      <c r="C5" s="181">
        <v>2</v>
      </c>
      <c r="D5" s="275" t="s">
        <v>1789</v>
      </c>
      <c r="E5" s="90" t="s">
        <v>1724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67" t="s">
        <v>154</v>
      </c>
    </row>
    <row r="6" spans="1:15" s="92" customFormat="1">
      <c r="A6" s="87" t="s">
        <v>11</v>
      </c>
      <c r="B6" s="122" t="s">
        <v>627</v>
      </c>
      <c r="C6" s="181">
        <v>2</v>
      </c>
      <c r="D6" s="130" t="s">
        <v>1790</v>
      </c>
      <c r="E6" s="90" t="s">
        <v>1791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67" t="s">
        <v>154</v>
      </c>
    </row>
    <row r="7" spans="1:15" s="111" customFormat="1" ht="36">
      <c r="A7" s="125" t="s">
        <v>11</v>
      </c>
      <c r="B7" s="281" t="s">
        <v>627</v>
      </c>
      <c r="C7" s="228">
        <v>2</v>
      </c>
      <c r="D7" s="323" t="s">
        <v>1792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67" t="s">
        <v>154</v>
      </c>
    </row>
    <row r="8" spans="1:15" s="92" customFormat="1">
      <c r="A8" s="87" t="s">
        <v>11</v>
      </c>
      <c r="B8" s="131" t="s">
        <v>1752</v>
      </c>
      <c r="C8" s="185">
        <v>1</v>
      </c>
      <c r="D8" s="130" t="s">
        <v>1753</v>
      </c>
      <c r="E8" s="90" t="s">
        <v>1793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67" t="s">
        <v>154</v>
      </c>
    </row>
    <row r="9" spans="1:15" s="92" customFormat="1">
      <c r="A9" s="87" t="s">
        <v>11</v>
      </c>
      <c r="B9" s="276" t="s">
        <v>1794</v>
      </c>
      <c r="C9" s="185">
        <v>1</v>
      </c>
      <c r="D9" s="123" t="s">
        <v>1755</v>
      </c>
      <c r="E9" s="90" t="s">
        <v>1795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67" t="s">
        <v>154</v>
      </c>
    </row>
    <row r="10" spans="1:15" s="92" customFormat="1">
      <c r="A10" s="87" t="s">
        <v>11</v>
      </c>
      <c r="B10" s="131" t="s">
        <v>1756</v>
      </c>
      <c r="C10" s="185">
        <v>1</v>
      </c>
      <c r="D10" s="130" t="s">
        <v>37</v>
      </c>
      <c r="E10" s="90" t="s">
        <v>1796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67" t="s">
        <v>154</v>
      </c>
    </row>
    <row r="11" spans="1:15" s="92" customFormat="1">
      <c r="A11" s="87" t="s">
        <v>11</v>
      </c>
      <c r="B11" s="131" t="s">
        <v>1757</v>
      </c>
      <c r="C11" s="185">
        <v>2</v>
      </c>
      <c r="D11" s="130" t="s">
        <v>1758</v>
      </c>
      <c r="E11" s="90" t="s">
        <v>1797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67" t="s">
        <v>154</v>
      </c>
    </row>
    <row r="12" spans="1:15" s="92" customFormat="1">
      <c r="A12" s="87" t="s">
        <v>11</v>
      </c>
      <c r="B12" s="282" t="s">
        <v>1798</v>
      </c>
      <c r="C12" s="285">
        <v>1</v>
      </c>
      <c r="D12" s="284" t="s">
        <v>233</v>
      </c>
      <c r="E12" s="90" t="s">
        <v>1799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67" t="s">
        <v>154</v>
      </c>
    </row>
    <row r="13" spans="1:15" s="92" customFormat="1">
      <c r="A13" s="87" t="s">
        <v>11</v>
      </c>
      <c r="B13" s="131" t="s">
        <v>1450</v>
      </c>
      <c r="C13" s="185">
        <v>2</v>
      </c>
      <c r="D13" s="130" t="s">
        <v>1760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67" t="s">
        <v>154</v>
      </c>
    </row>
    <row r="14" spans="1:15" s="92" customFormat="1">
      <c r="A14" s="87" t="s">
        <v>11</v>
      </c>
      <c r="B14" s="131" t="s">
        <v>1761</v>
      </c>
      <c r="C14" s="185">
        <v>3</v>
      </c>
      <c r="D14" s="130" t="s">
        <v>1762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67" t="s">
        <v>154</v>
      </c>
    </row>
    <row r="15" spans="1:15" s="92" customFormat="1">
      <c r="A15" s="87" t="s">
        <v>11</v>
      </c>
      <c r="B15" s="152" t="s">
        <v>1800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67" t="s">
        <v>154</v>
      </c>
    </row>
    <row r="16" spans="1:15" s="92" customFormat="1">
      <c r="A16" s="87" t="s">
        <v>11</v>
      </c>
      <c r="B16" s="131" t="s">
        <v>1764</v>
      </c>
      <c r="C16" s="185">
        <v>1</v>
      </c>
      <c r="D16" s="130" t="s">
        <v>1371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67" t="s">
        <v>154</v>
      </c>
    </row>
    <row r="17" spans="1:16" s="92" customFormat="1">
      <c r="A17" s="87" t="s">
        <v>11</v>
      </c>
      <c r="B17" s="131" t="s">
        <v>1765</v>
      </c>
      <c r="C17" s="185">
        <v>1</v>
      </c>
      <c r="D17" s="130" t="s">
        <v>1766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67" t="s">
        <v>154</v>
      </c>
    </row>
    <row r="18" spans="1:16" s="92" customFormat="1">
      <c r="B18" s="92">
        <f>COUNTIF(Table224567[สถานที่],"*")</f>
        <v>16</v>
      </c>
      <c r="E18" s="93" t="s">
        <v>288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1801</v>
      </c>
    </row>
    <row r="2" spans="1:38" s="340" customFormat="1" ht="21">
      <c r="A2" s="1052" t="s">
        <v>0</v>
      </c>
      <c r="B2" s="1052" t="s">
        <v>1802</v>
      </c>
      <c r="C2" s="1052" t="s">
        <v>1803</v>
      </c>
      <c r="D2" s="1052" t="s">
        <v>1804</v>
      </c>
      <c r="E2" s="1054" t="s">
        <v>1805</v>
      </c>
      <c r="F2" s="1054" t="s">
        <v>1806</v>
      </c>
      <c r="G2" s="1054" t="s">
        <v>1807</v>
      </c>
      <c r="H2" s="1054" t="s">
        <v>1808</v>
      </c>
      <c r="I2" s="1054" t="s">
        <v>1809</v>
      </c>
      <c r="J2" s="1057" t="s">
        <v>1810</v>
      </c>
      <c r="K2" s="1057"/>
      <c r="L2" s="1057"/>
      <c r="M2" s="1057" t="s">
        <v>1811</v>
      </c>
      <c r="N2" s="1057"/>
      <c r="O2" s="1057"/>
      <c r="P2" s="1057" t="s">
        <v>1812</v>
      </c>
      <c r="Q2" s="1057"/>
      <c r="R2" s="1052" t="s">
        <v>350</v>
      </c>
    </row>
    <row r="3" spans="1:38" s="344" customFormat="1" ht="99.6">
      <c r="A3" s="1053"/>
      <c r="B3" s="1053"/>
      <c r="C3" s="1053"/>
      <c r="D3" s="1053"/>
      <c r="E3" s="1055"/>
      <c r="F3" s="1055"/>
      <c r="G3" s="1055"/>
      <c r="H3" s="1055"/>
      <c r="I3" s="1055"/>
      <c r="J3" s="341" t="s">
        <v>1813</v>
      </c>
      <c r="K3" s="341" t="s">
        <v>1814</v>
      </c>
      <c r="L3" s="341" t="s">
        <v>1815</v>
      </c>
      <c r="M3" s="341" t="s">
        <v>1813</v>
      </c>
      <c r="N3" s="341" t="s">
        <v>1814</v>
      </c>
      <c r="O3" s="341" t="s">
        <v>1815</v>
      </c>
      <c r="P3" s="342" t="s">
        <v>1816</v>
      </c>
      <c r="Q3" s="343" t="s">
        <v>1817</v>
      </c>
      <c r="R3" s="1053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056" t="s">
        <v>1818</v>
      </c>
      <c r="B4" s="1056"/>
      <c r="C4" s="1056"/>
      <c r="D4" s="1056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040" t="s">
        <v>1819</v>
      </c>
      <c r="B5" s="1041"/>
      <c r="C5" s="1041"/>
      <c r="D5" s="1042"/>
      <c r="E5" s="1043"/>
      <c r="F5" s="1044"/>
      <c r="G5" s="1044"/>
      <c r="H5" s="1044"/>
      <c r="I5" s="1044"/>
      <c r="J5" s="1044"/>
      <c r="K5" s="1044"/>
      <c r="L5" s="1044"/>
      <c r="M5" s="1044"/>
      <c r="N5" s="1044"/>
      <c r="O5" s="1044"/>
      <c r="P5" s="1044"/>
      <c r="Q5" s="1044"/>
      <c r="R5" s="1045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1820</v>
      </c>
      <c r="C6" s="350"/>
      <c r="D6" s="351" t="s">
        <v>1821</v>
      </c>
      <c r="E6" s="352"/>
      <c r="F6" s="353" t="s">
        <v>1822</v>
      </c>
      <c r="G6" s="352" t="s">
        <v>1823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1824</v>
      </c>
      <c r="C7" s="350"/>
      <c r="D7" s="351" t="s">
        <v>1825</v>
      </c>
      <c r="E7" s="352"/>
      <c r="F7" s="353" t="s">
        <v>1822</v>
      </c>
      <c r="G7" s="352" t="s">
        <v>1826</v>
      </c>
      <c r="H7" s="352" t="s">
        <v>1827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040" t="s">
        <v>1828</v>
      </c>
      <c r="B8" s="1041"/>
      <c r="C8" s="1041"/>
      <c r="D8" s="1042"/>
      <c r="E8" s="1046" t="s">
        <v>1829</v>
      </c>
      <c r="F8" s="1047"/>
      <c r="G8" s="1047"/>
      <c r="H8" s="1047"/>
      <c r="I8" s="1047"/>
      <c r="J8" s="1047"/>
      <c r="K8" s="1048"/>
      <c r="L8" s="359">
        <f>MOD(MAX(K6:K7)-MIN(J6:J7),1)</f>
        <v>2.777777777777779E-2</v>
      </c>
      <c r="M8" s="1049" t="s">
        <v>1830</v>
      </c>
      <c r="N8" s="1050"/>
      <c r="O8" s="359">
        <f>MOD(MAX(N6:N7)-MIN(M6:M7),1)</f>
        <v>1.388888888888884E-2</v>
      </c>
      <c r="P8" s="1051"/>
      <c r="Q8" s="1051"/>
      <c r="R8" s="1051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1369</v>
      </c>
      <c r="D1" s="189" t="s">
        <v>18</v>
      </c>
      <c r="E1" s="190" t="s">
        <v>148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067" t="s">
        <v>471</v>
      </c>
      <c r="B2" s="195" t="s">
        <v>472</v>
      </c>
      <c r="C2" s="196" t="s">
        <v>339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068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068"/>
      <c r="B4" s="202" t="s">
        <v>473</v>
      </c>
      <c r="C4" s="203" t="s">
        <v>339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068"/>
      <c r="B5" s="202" t="s">
        <v>474</v>
      </c>
      <c r="C5" s="203" t="s">
        <v>339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068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068"/>
      <c r="B7" s="202" t="s">
        <v>475</v>
      </c>
      <c r="C7" s="203" t="s">
        <v>339</v>
      </c>
      <c r="D7" s="377" t="s">
        <v>1831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068"/>
      <c r="B8" s="202"/>
      <c r="D8" s="377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068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068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068"/>
      <c r="B11" s="202"/>
      <c r="D11" s="204" t="s">
        <v>1374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068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068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068"/>
      <c r="B14" s="202"/>
      <c r="D14" s="204" t="s">
        <v>1832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068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068"/>
      <c r="B16" s="202" t="s">
        <v>480</v>
      </c>
      <c r="C16" s="203" t="s">
        <v>339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068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068"/>
      <c r="B18" s="202" t="s">
        <v>481</v>
      </c>
      <c r="C18" s="203" t="s">
        <v>339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068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068"/>
      <c r="B20" s="202" t="s">
        <v>482</v>
      </c>
      <c r="C20" s="203" t="s">
        <v>339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068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068"/>
      <c r="B22" s="202" t="s">
        <v>1833</v>
      </c>
      <c r="C22" s="203" t="s">
        <v>339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068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068"/>
      <c r="B24" s="202" t="s">
        <v>750</v>
      </c>
      <c r="C24" s="203" t="s">
        <v>339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068"/>
      <c r="B25" s="202" t="s">
        <v>592</v>
      </c>
      <c r="C25" s="203" t="s">
        <v>339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068"/>
      <c r="B26" s="202" t="s">
        <v>813</v>
      </c>
      <c r="C26" s="203" t="s">
        <v>339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068"/>
      <c r="B27" s="202" t="s">
        <v>807</v>
      </c>
      <c r="C27" s="203" t="s">
        <v>1834</v>
      </c>
      <c r="D27" s="204" t="s">
        <v>1835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068"/>
      <c r="B28" s="202"/>
      <c r="C28" s="203" t="s">
        <v>339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068"/>
      <c r="B29" s="202" t="s">
        <v>808</v>
      </c>
      <c r="C29" s="203" t="s">
        <v>339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068"/>
      <c r="B30" s="202" t="s">
        <v>809</v>
      </c>
      <c r="C30" s="203" t="s">
        <v>339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068"/>
      <c r="B31" s="202"/>
      <c r="D31" s="204" t="s">
        <v>1458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068"/>
      <c r="B32" s="202" t="s">
        <v>810</v>
      </c>
      <c r="C32" s="203" t="s">
        <v>339</v>
      </c>
      <c r="D32" s="204" t="s">
        <v>1458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068"/>
      <c r="B33" s="202" t="s">
        <v>811</v>
      </c>
      <c r="C33" s="203" t="s">
        <v>1834</v>
      </c>
      <c r="D33" s="204" t="s">
        <v>1374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068"/>
      <c r="B34" s="202" t="s">
        <v>812</v>
      </c>
      <c r="C34" s="203" t="s">
        <v>339</v>
      </c>
      <c r="D34" s="204" t="s">
        <v>1380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068"/>
      <c r="B35" s="202"/>
      <c r="D35" s="204" t="s">
        <v>1458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068"/>
      <c r="B36" s="202" t="s">
        <v>814</v>
      </c>
      <c r="C36" s="203" t="s">
        <v>1836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068"/>
      <c r="B37" s="202"/>
      <c r="C37" s="203" t="s">
        <v>1834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068"/>
      <c r="B38" s="202"/>
      <c r="C38" s="203" t="s">
        <v>339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068"/>
      <c r="B39" s="202" t="s">
        <v>815</v>
      </c>
      <c r="C39" s="203" t="s">
        <v>339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058" t="s">
        <v>821</v>
      </c>
      <c r="B40" s="195" t="s">
        <v>1837</v>
      </c>
      <c r="C40" s="196" t="s">
        <v>339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059"/>
      <c r="B41" s="202" t="s">
        <v>1096</v>
      </c>
      <c r="C41" s="203" t="s">
        <v>339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059"/>
      <c r="B42" s="202" t="s">
        <v>1099</v>
      </c>
      <c r="C42" s="203" t="s">
        <v>339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059"/>
      <c r="B43" s="202" t="s">
        <v>1100</v>
      </c>
      <c r="C43" s="203" t="s">
        <v>339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059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058" t="s">
        <v>828</v>
      </c>
      <c r="B45" s="195" t="s">
        <v>829</v>
      </c>
      <c r="C45" s="196" t="s">
        <v>339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059"/>
      <c r="B46" s="202" t="s">
        <v>1838</v>
      </c>
      <c r="C46" s="203" t="s">
        <v>339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058" t="s">
        <v>816</v>
      </c>
      <c r="B47" s="195" t="s">
        <v>817</v>
      </c>
      <c r="C47" s="196" t="s">
        <v>339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059"/>
      <c r="B48" s="202" t="s">
        <v>1839</v>
      </c>
      <c r="C48" s="203" t="s">
        <v>339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059"/>
      <c r="B49" s="202" t="s">
        <v>819</v>
      </c>
      <c r="C49" s="203" t="s">
        <v>339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059"/>
      <c r="B50" s="202" t="s">
        <v>1840</v>
      </c>
      <c r="C50" s="203" t="s">
        <v>339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058" t="s">
        <v>831</v>
      </c>
      <c r="B51" s="195" t="s">
        <v>832</v>
      </c>
      <c r="C51" s="196" t="s">
        <v>339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059"/>
      <c r="B52" s="202" t="s">
        <v>833</v>
      </c>
      <c r="C52" s="203" t="s">
        <v>339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786</v>
      </c>
      <c r="B53" s="208" t="s">
        <v>779</v>
      </c>
      <c r="C53" s="209" t="s">
        <v>339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787</v>
      </c>
      <c r="B54" s="208" t="s">
        <v>788</v>
      </c>
      <c r="C54" s="209" t="s">
        <v>339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791</v>
      </c>
      <c r="B55" s="208" t="s">
        <v>590</v>
      </c>
      <c r="C55" s="209" t="s">
        <v>339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589</v>
      </c>
      <c r="B56" s="211" t="s">
        <v>590</v>
      </c>
      <c r="C56" s="212" t="s">
        <v>339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789</v>
      </c>
      <c r="B57" s="211" t="s">
        <v>790</v>
      </c>
      <c r="C57" s="212" t="s">
        <v>339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058" t="s">
        <v>688</v>
      </c>
      <c r="B58" s="195" t="s">
        <v>689</v>
      </c>
      <c r="C58" s="196" t="s">
        <v>689</v>
      </c>
      <c r="D58" s="207" t="s">
        <v>1379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059"/>
      <c r="B59" s="202"/>
      <c r="C59" s="203" t="s">
        <v>339</v>
      </c>
      <c r="D59" s="204" t="s">
        <v>1380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059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059"/>
      <c r="B61" s="202"/>
      <c r="D61" s="204" t="s">
        <v>1458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059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059"/>
      <c r="B63" s="202" t="s">
        <v>690</v>
      </c>
      <c r="C63" s="203" t="s">
        <v>339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060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058" t="s">
        <v>684</v>
      </c>
      <c r="B65" s="195" t="s">
        <v>685</v>
      </c>
      <c r="C65" s="196" t="s">
        <v>685</v>
      </c>
      <c r="D65" s="207" t="s">
        <v>1379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059"/>
      <c r="B66" s="202"/>
      <c r="C66" s="203" t="s">
        <v>339</v>
      </c>
      <c r="D66" s="204" t="s">
        <v>1380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059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059"/>
      <c r="B68" s="202"/>
      <c r="D68" s="204" t="s">
        <v>1458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059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059"/>
      <c r="B70" s="202" t="s">
        <v>1841</v>
      </c>
      <c r="C70" s="203" t="s">
        <v>339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059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059"/>
      <c r="B72" s="202" t="s">
        <v>687</v>
      </c>
      <c r="C72" s="203" t="s">
        <v>339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060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757</v>
      </c>
      <c r="B74" s="208" t="s">
        <v>758</v>
      </c>
      <c r="C74" s="209" t="s">
        <v>339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792</v>
      </c>
      <c r="B75" s="208" t="s">
        <v>793</v>
      </c>
      <c r="C75" s="209" t="s">
        <v>339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059" t="s">
        <v>436</v>
      </c>
      <c r="B76" s="202" t="s">
        <v>437</v>
      </c>
      <c r="C76" s="203" t="s">
        <v>437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059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059"/>
      <c r="B78" s="202"/>
      <c r="D78" s="206" t="s">
        <v>1374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059"/>
      <c r="B79" s="202" t="s">
        <v>438</v>
      </c>
      <c r="C79" s="203" t="s">
        <v>438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059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059"/>
      <c r="B81" s="202"/>
      <c r="D81" s="206" t="s">
        <v>1374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059"/>
      <c r="B82" s="202" t="s">
        <v>439</v>
      </c>
      <c r="C82" s="203" t="s">
        <v>439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059"/>
      <c r="B83" s="202" t="s">
        <v>440</v>
      </c>
      <c r="C83" s="203" t="s">
        <v>440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059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059"/>
      <c r="B85" s="202" t="s">
        <v>441</v>
      </c>
      <c r="C85" s="203" t="s">
        <v>441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059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059"/>
      <c r="B87" s="202"/>
      <c r="D87" s="206" t="s">
        <v>1379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059"/>
      <c r="B88" s="202" t="s">
        <v>442</v>
      </c>
      <c r="C88" s="203" t="s">
        <v>442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059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059"/>
      <c r="B90" s="202"/>
      <c r="D90" s="206" t="s">
        <v>1374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059"/>
      <c r="B91" s="202" t="s">
        <v>443</v>
      </c>
      <c r="C91" s="203" t="s">
        <v>443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059"/>
      <c r="B92" s="202" t="s">
        <v>444</v>
      </c>
      <c r="C92" s="203" t="s">
        <v>444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059"/>
      <c r="B93" s="202" t="s">
        <v>445</v>
      </c>
      <c r="C93" s="203" t="s">
        <v>445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059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059"/>
      <c r="B95" s="202"/>
      <c r="D95" s="206" t="s">
        <v>1374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059"/>
      <c r="B96" s="202" t="s">
        <v>446</v>
      </c>
      <c r="C96" s="203" t="s">
        <v>446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059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059"/>
      <c r="B98" s="202" t="s">
        <v>447</v>
      </c>
      <c r="C98" s="203" t="s">
        <v>447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059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059"/>
      <c r="B100" s="202" t="s">
        <v>449</v>
      </c>
      <c r="C100" s="203" t="s">
        <v>449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059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059"/>
      <c r="B102" s="202" t="s">
        <v>450</v>
      </c>
      <c r="C102" s="203" t="s">
        <v>450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059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059"/>
      <c r="B104" s="202" t="s">
        <v>451</v>
      </c>
      <c r="C104" s="203" t="s">
        <v>451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059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059"/>
      <c r="B106" s="202" t="s">
        <v>452</v>
      </c>
      <c r="C106" s="203" t="s">
        <v>452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059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059"/>
      <c r="B108" s="202" t="s">
        <v>453</v>
      </c>
      <c r="C108" s="203" t="s">
        <v>453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059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059"/>
      <c r="B110" s="202" t="s">
        <v>454</v>
      </c>
      <c r="C110" s="203" t="s">
        <v>454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059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059"/>
      <c r="B112" s="202" t="s">
        <v>455</v>
      </c>
      <c r="C112" s="203" t="s">
        <v>455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059"/>
      <c r="B113" s="202" t="s">
        <v>456</v>
      </c>
      <c r="C113" s="203" t="s">
        <v>456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059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059"/>
      <c r="B115" s="202" t="s">
        <v>457</v>
      </c>
      <c r="C115" s="203" t="s">
        <v>339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059"/>
      <c r="B116" s="202"/>
      <c r="C116" s="203" t="s">
        <v>457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059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059"/>
      <c r="B118" s="202" t="s">
        <v>458</v>
      </c>
      <c r="C118" s="203" t="s">
        <v>458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059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059"/>
      <c r="B120" s="202"/>
      <c r="D120" s="206" t="s">
        <v>1374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059"/>
      <c r="B121" s="202" t="s">
        <v>459</v>
      </c>
      <c r="C121" s="203" t="s">
        <v>459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059"/>
      <c r="B122" s="202"/>
      <c r="D122" s="206" t="s">
        <v>1374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059"/>
      <c r="B123" s="202" t="s">
        <v>460</v>
      </c>
      <c r="C123" s="203" t="s">
        <v>460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059"/>
      <c r="B124" s="202"/>
      <c r="D124" s="206" t="s">
        <v>1374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059"/>
      <c r="B125" s="202" t="s">
        <v>461</v>
      </c>
      <c r="C125" s="203" t="s">
        <v>461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059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059"/>
      <c r="B127" s="202" t="s">
        <v>462</v>
      </c>
      <c r="C127" s="203" t="s">
        <v>462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059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059"/>
      <c r="B129" s="202" t="s">
        <v>463</v>
      </c>
      <c r="C129" s="203" t="s">
        <v>463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059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059"/>
      <c r="B131" s="202"/>
      <c r="D131" s="206" t="s">
        <v>1374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059"/>
      <c r="B132" s="202" t="s">
        <v>464</v>
      </c>
      <c r="C132" s="203" t="s">
        <v>464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059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059"/>
      <c r="B134" s="202"/>
      <c r="D134" s="206" t="s">
        <v>1374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059"/>
      <c r="B135" s="202" t="s">
        <v>465</v>
      </c>
      <c r="C135" s="203" t="s">
        <v>465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059"/>
      <c r="B136" s="202" t="s">
        <v>466</v>
      </c>
      <c r="C136" s="203" t="s">
        <v>466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059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059"/>
      <c r="B138" s="202" t="s">
        <v>467</v>
      </c>
      <c r="C138" s="203" t="s">
        <v>467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059"/>
      <c r="B139" s="202" t="s">
        <v>468</v>
      </c>
      <c r="C139" s="203" t="s">
        <v>468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059"/>
      <c r="B140" s="202" t="s">
        <v>469</v>
      </c>
      <c r="C140" s="203" t="s">
        <v>469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059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060"/>
      <c r="B142" s="211" t="s">
        <v>470</v>
      </c>
      <c r="C142" s="212" t="s">
        <v>470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058" t="s">
        <v>498</v>
      </c>
      <c r="B143" s="195" t="s">
        <v>499</v>
      </c>
      <c r="C143" s="196" t="s">
        <v>499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059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059"/>
      <c r="B145" s="202"/>
      <c r="D145" s="206" t="s">
        <v>1374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059"/>
      <c r="B146" s="202" t="s">
        <v>501</v>
      </c>
      <c r="C146" s="203" t="s">
        <v>501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059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059"/>
      <c r="B148" s="202"/>
      <c r="D148" s="206" t="s">
        <v>1379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059"/>
      <c r="B149" s="202" t="s">
        <v>502</v>
      </c>
      <c r="C149" s="203" t="s">
        <v>502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059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059"/>
      <c r="B151" s="202"/>
      <c r="D151" s="206" t="s">
        <v>1379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059"/>
      <c r="B152" s="202" t="s">
        <v>503</v>
      </c>
      <c r="C152" s="203" t="s">
        <v>503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059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059"/>
      <c r="B154" s="202" t="s">
        <v>504</v>
      </c>
      <c r="C154" s="203" t="s">
        <v>504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059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059"/>
      <c r="B156" s="202" t="s">
        <v>505</v>
      </c>
      <c r="C156" s="203" t="s">
        <v>505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059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059"/>
      <c r="B158" s="202" t="s">
        <v>506</v>
      </c>
      <c r="C158" s="203" t="s">
        <v>506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059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059"/>
      <c r="B160" s="202" t="s">
        <v>507</v>
      </c>
      <c r="C160" s="203" t="s">
        <v>507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059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059"/>
      <c r="B162" s="202"/>
      <c r="D162" s="206" t="s">
        <v>1379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059"/>
      <c r="B163" s="202"/>
      <c r="C163" s="203" t="s">
        <v>339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059"/>
      <c r="B164" s="202" t="s">
        <v>508</v>
      </c>
      <c r="C164" s="203" t="s">
        <v>508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060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058" t="s">
        <v>484</v>
      </c>
      <c r="B166" s="195" t="s">
        <v>485</v>
      </c>
      <c r="C166" s="196" t="s">
        <v>485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059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059"/>
      <c r="B168" s="202"/>
      <c r="D168" s="206" t="s">
        <v>1379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059"/>
      <c r="B169" s="202" t="s">
        <v>486</v>
      </c>
      <c r="C169" s="203" t="s">
        <v>486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059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059"/>
      <c r="B171" s="202"/>
      <c r="D171" s="206" t="s">
        <v>1379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059"/>
      <c r="B172" s="202" t="s">
        <v>487</v>
      </c>
      <c r="C172" s="203" t="s">
        <v>487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059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059"/>
      <c r="B174" s="202"/>
      <c r="D174" s="206" t="s">
        <v>1379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059"/>
      <c r="B175" s="202" t="s">
        <v>488</v>
      </c>
      <c r="C175" s="203" t="s">
        <v>488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059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059"/>
      <c r="B177" s="202"/>
      <c r="D177" s="206" t="s">
        <v>1379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059"/>
      <c r="B178" s="202" t="s">
        <v>489</v>
      </c>
      <c r="C178" s="203" t="s">
        <v>489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059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059"/>
      <c r="B180" s="202"/>
      <c r="D180" s="206" t="s">
        <v>1379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059"/>
      <c r="B181" s="202" t="s">
        <v>490</v>
      </c>
      <c r="C181" s="203" t="s">
        <v>490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059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059"/>
      <c r="B183" s="202" t="s">
        <v>491</v>
      </c>
      <c r="C183" s="203" t="s">
        <v>491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059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059"/>
      <c r="B185" s="202" t="s">
        <v>492</v>
      </c>
      <c r="C185" s="203" t="s">
        <v>492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059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059"/>
      <c r="B187" s="202" t="s">
        <v>493</v>
      </c>
      <c r="C187" s="203" t="s">
        <v>493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059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059"/>
      <c r="B189" s="202" t="s">
        <v>494</v>
      </c>
      <c r="C189" s="203" t="s">
        <v>494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059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059"/>
      <c r="B191" s="202" t="s">
        <v>495</v>
      </c>
      <c r="C191" s="203" t="s">
        <v>495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059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059"/>
      <c r="B193" s="202" t="s">
        <v>496</v>
      </c>
      <c r="C193" s="203" t="s">
        <v>496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059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059"/>
      <c r="B195" s="202"/>
      <c r="D195" s="206" t="s">
        <v>1379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059"/>
      <c r="B196" s="202" t="s">
        <v>497</v>
      </c>
      <c r="C196" s="203" t="s">
        <v>497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060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058" t="s">
        <v>398</v>
      </c>
      <c r="B198" s="195" t="s">
        <v>399</v>
      </c>
      <c r="C198" s="196" t="s">
        <v>399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059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059"/>
      <c r="B200" s="202"/>
      <c r="D200" s="206" t="s">
        <v>1379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059"/>
      <c r="B201" s="202" t="s">
        <v>401</v>
      </c>
      <c r="C201" s="203" t="s">
        <v>401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059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059"/>
      <c r="B203" s="202"/>
      <c r="D203" s="206" t="s">
        <v>1374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059"/>
      <c r="B204" s="202" t="s">
        <v>403</v>
      </c>
      <c r="C204" s="203" t="s">
        <v>403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059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059"/>
      <c r="B206" s="202"/>
      <c r="D206" s="206" t="s">
        <v>1374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059"/>
      <c r="B207" s="202" t="s">
        <v>404</v>
      </c>
      <c r="C207" s="203" t="s">
        <v>404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059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059"/>
      <c r="B209" s="202"/>
      <c r="D209" s="206" t="s">
        <v>1374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059"/>
      <c r="B210" s="202" t="s">
        <v>405</v>
      </c>
      <c r="C210" s="203" t="s">
        <v>405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059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059"/>
      <c r="B212" s="202"/>
      <c r="D212" s="206" t="s">
        <v>1374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059"/>
      <c r="B213" s="202" t="s">
        <v>406</v>
      </c>
      <c r="C213" s="203" t="s">
        <v>406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059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059"/>
      <c r="B215" s="202"/>
      <c r="D215" s="206" t="s">
        <v>1379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059"/>
      <c r="B216" s="202" t="s">
        <v>352</v>
      </c>
      <c r="C216" s="203" t="s">
        <v>352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059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059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059"/>
      <c r="B219" s="202"/>
      <c r="D219" s="206" t="s">
        <v>1374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059"/>
      <c r="B220" s="202"/>
      <c r="D220" s="206" t="s">
        <v>1379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059"/>
      <c r="B221" s="202"/>
      <c r="D221" s="206" t="s">
        <v>1835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059"/>
      <c r="B222" s="202"/>
      <c r="D222" s="206" t="s">
        <v>1842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066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059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059"/>
      <c r="B225" s="202" t="s">
        <v>413</v>
      </c>
      <c r="C225" s="203" t="s">
        <v>413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059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059"/>
      <c r="B227" s="202"/>
      <c r="D227" s="206" t="s">
        <v>1379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059"/>
      <c r="B228" s="202" t="s">
        <v>414</v>
      </c>
      <c r="C228" s="203" t="s">
        <v>414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059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059"/>
      <c r="B230" s="202"/>
      <c r="D230" s="206" t="s">
        <v>1379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059"/>
      <c r="B231" s="202" t="s">
        <v>415</v>
      </c>
      <c r="C231" s="203" t="s">
        <v>415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059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059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059"/>
      <c r="B234" s="202"/>
      <c r="D234" s="206" t="s">
        <v>1374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059"/>
      <c r="B235" s="202"/>
      <c r="D235" s="206" t="s">
        <v>1379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059"/>
      <c r="B236" s="202"/>
      <c r="D236" s="206" t="s">
        <v>1835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059"/>
      <c r="B237" s="202"/>
      <c r="D237" s="206" t="s">
        <v>1842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066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059"/>
      <c r="B239" s="202" t="s">
        <v>417</v>
      </c>
      <c r="C239" s="203" t="s">
        <v>417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059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059"/>
      <c r="B241" s="202" t="s">
        <v>418</v>
      </c>
      <c r="C241" s="203" t="s">
        <v>418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059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059"/>
      <c r="B243" s="202" t="s">
        <v>419</v>
      </c>
      <c r="C243" s="203" t="s">
        <v>419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059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059"/>
      <c r="B245" s="202" t="s">
        <v>420</v>
      </c>
      <c r="C245" s="203" t="s">
        <v>420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059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059"/>
      <c r="B247" s="202" t="s">
        <v>421</v>
      </c>
      <c r="C247" s="203" t="s">
        <v>421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059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059"/>
      <c r="B249" s="202" t="s">
        <v>422</v>
      </c>
      <c r="C249" s="203" t="s">
        <v>422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059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059"/>
      <c r="B251" s="202" t="s">
        <v>423</v>
      </c>
      <c r="C251" s="203" t="s">
        <v>423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059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059"/>
      <c r="B253" s="202" t="s">
        <v>424</v>
      </c>
      <c r="C253" s="203" t="s">
        <v>424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059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059"/>
      <c r="B255" s="202" t="s">
        <v>425</v>
      </c>
      <c r="C255" s="203" t="s">
        <v>425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059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059"/>
      <c r="B257" s="202" t="s">
        <v>426</v>
      </c>
      <c r="C257" s="203" t="s">
        <v>426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059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059"/>
      <c r="B259" s="202" t="s">
        <v>427</v>
      </c>
      <c r="C259" s="203" t="s">
        <v>427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059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059"/>
      <c r="B261" s="202"/>
      <c r="D261" s="206" t="s">
        <v>1374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059"/>
      <c r="B262" s="202" t="s">
        <v>428</v>
      </c>
      <c r="C262" s="203" t="s">
        <v>428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059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059"/>
      <c r="B264" s="202"/>
      <c r="D264" s="206" t="s">
        <v>1374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059"/>
      <c r="B265" s="202"/>
      <c r="C265" s="203" t="s">
        <v>339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059"/>
      <c r="B266" s="202" t="s">
        <v>429</v>
      </c>
      <c r="C266" s="203" t="s">
        <v>429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059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059"/>
      <c r="B268" s="202" t="s">
        <v>430</v>
      </c>
      <c r="C268" s="203" t="s">
        <v>430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059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059"/>
      <c r="B270" s="202" t="s">
        <v>431</v>
      </c>
      <c r="C270" s="203" t="s">
        <v>431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059"/>
      <c r="B271" s="202" t="s">
        <v>432</v>
      </c>
      <c r="C271" s="203" t="s">
        <v>432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059"/>
      <c r="B272" s="202" t="s">
        <v>433</v>
      </c>
      <c r="C272" s="203" t="s">
        <v>433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059"/>
      <c r="B273" s="202" t="s">
        <v>434</v>
      </c>
      <c r="C273" s="203" t="s">
        <v>434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060"/>
      <c r="B274" s="211" t="s">
        <v>435</v>
      </c>
      <c r="C274" s="212" t="s">
        <v>435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058" t="s">
        <v>725</v>
      </c>
      <c r="B275" s="195" t="s">
        <v>726</v>
      </c>
      <c r="C275" s="196" t="s">
        <v>726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059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059"/>
      <c r="B277" s="202"/>
      <c r="D277" s="206" t="s">
        <v>1374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059"/>
      <c r="B278" s="202" t="s">
        <v>727</v>
      </c>
      <c r="C278" s="203" t="s">
        <v>727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059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059"/>
      <c r="B280" s="202"/>
      <c r="D280" s="206" t="s">
        <v>1379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059"/>
      <c r="B281" s="202" t="s">
        <v>728</v>
      </c>
      <c r="C281" s="203" t="s">
        <v>728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059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059"/>
      <c r="B283" s="202"/>
      <c r="D283" s="206" t="s">
        <v>1379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059"/>
      <c r="B284" s="202" t="s">
        <v>729</v>
      </c>
      <c r="C284" s="203" t="s">
        <v>729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059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059"/>
      <c r="B286" s="202"/>
      <c r="D286" s="206" t="s">
        <v>1379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059"/>
      <c r="B287" s="202" t="s">
        <v>730</v>
      </c>
      <c r="C287" s="203" t="s">
        <v>730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059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059"/>
      <c r="B289" s="202"/>
      <c r="D289" s="206" t="s">
        <v>1379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059"/>
      <c r="B290" s="202" t="s">
        <v>731</v>
      </c>
      <c r="C290" s="203" t="s">
        <v>731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059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059"/>
      <c r="B292" s="202" t="s">
        <v>732</v>
      </c>
      <c r="C292" s="203" t="s">
        <v>732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059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059"/>
      <c r="B294" s="202" t="s">
        <v>733</v>
      </c>
      <c r="C294" s="203" t="s">
        <v>733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059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059"/>
      <c r="B296" s="202" t="s">
        <v>734</v>
      </c>
      <c r="C296" s="203" t="s">
        <v>734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059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059"/>
      <c r="B298" s="202" t="s">
        <v>735</v>
      </c>
      <c r="C298" s="203" t="s">
        <v>735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059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059"/>
      <c r="B300" s="202" t="s">
        <v>736</v>
      </c>
      <c r="C300" s="203" t="s">
        <v>736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059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059"/>
      <c r="B302" s="202" t="s">
        <v>737</v>
      </c>
      <c r="C302" s="203" t="s">
        <v>737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059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059"/>
      <c r="B304" s="202"/>
      <c r="D304" s="206" t="s">
        <v>1379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059"/>
      <c r="B305" s="202"/>
      <c r="C305" s="203" t="s">
        <v>339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059"/>
      <c r="B306" s="202" t="s">
        <v>738</v>
      </c>
      <c r="C306" s="203" t="s">
        <v>738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060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058" t="s">
        <v>739</v>
      </c>
      <c r="B308" s="195" t="s">
        <v>740</v>
      </c>
      <c r="C308" s="196" t="s">
        <v>740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059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059"/>
      <c r="B310" s="202"/>
      <c r="D310" s="206" t="s">
        <v>1379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059"/>
      <c r="B311" s="202" t="s">
        <v>741</v>
      </c>
      <c r="C311" s="203" t="s">
        <v>741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059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059"/>
      <c r="B313" s="202"/>
      <c r="D313" s="206" t="s">
        <v>1379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059"/>
      <c r="B314" s="202" t="s">
        <v>742</v>
      </c>
      <c r="C314" s="203" t="s">
        <v>742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059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059"/>
      <c r="B316" s="202"/>
      <c r="D316" s="206" t="s">
        <v>1379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059"/>
      <c r="B317" s="202" t="s">
        <v>743</v>
      </c>
      <c r="C317" s="203" t="s">
        <v>743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059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059"/>
      <c r="B319" s="202" t="s">
        <v>744</v>
      </c>
      <c r="C319" s="203" t="s">
        <v>744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059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059"/>
      <c r="B321" s="202" t="s">
        <v>745</v>
      </c>
      <c r="C321" s="203" t="s">
        <v>745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059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059"/>
      <c r="B323" s="202" t="s">
        <v>746</v>
      </c>
      <c r="C323" s="203" t="s">
        <v>746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059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059"/>
      <c r="B325" s="202" t="s">
        <v>747</v>
      </c>
      <c r="C325" s="203" t="s">
        <v>747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059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059"/>
      <c r="B327" s="202"/>
      <c r="D327" s="206" t="s">
        <v>1379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059"/>
      <c r="B328" s="202" t="s">
        <v>748</v>
      </c>
      <c r="C328" s="203" t="s">
        <v>748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060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058" t="s">
        <v>695</v>
      </c>
      <c r="B330" s="195" t="s">
        <v>696</v>
      </c>
      <c r="C330" s="196" t="s">
        <v>696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059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059"/>
      <c r="B332" s="202"/>
      <c r="D332" s="206" t="s">
        <v>1379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059"/>
      <c r="B333" s="202" t="s">
        <v>697</v>
      </c>
      <c r="C333" s="203" t="s">
        <v>697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059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059"/>
      <c r="B335" s="202"/>
      <c r="D335" s="206" t="s">
        <v>1374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059"/>
      <c r="B336" s="202" t="s">
        <v>698</v>
      </c>
      <c r="C336" s="203" t="s">
        <v>698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059"/>
      <c r="B337" s="202" t="s">
        <v>699</v>
      </c>
      <c r="C337" s="203" t="s">
        <v>699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059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059"/>
      <c r="B339" s="202" t="s">
        <v>700</v>
      </c>
      <c r="C339" s="203" t="s">
        <v>700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059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059"/>
      <c r="B341" s="202"/>
      <c r="D341" s="206" t="s">
        <v>1374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059"/>
      <c r="B342" s="202" t="s">
        <v>701</v>
      </c>
      <c r="C342" s="203" t="s">
        <v>701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059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059"/>
      <c r="B344" s="202"/>
      <c r="D344" s="206" t="s">
        <v>1374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059"/>
      <c r="B345" s="202" t="s">
        <v>702</v>
      </c>
      <c r="C345" s="203" t="s">
        <v>702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059"/>
      <c r="B346" s="202" t="s">
        <v>703</v>
      </c>
      <c r="C346" s="203" t="s">
        <v>703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059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059"/>
      <c r="B348" s="202" t="s">
        <v>704</v>
      </c>
      <c r="C348" s="203" t="s">
        <v>704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059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059"/>
      <c r="B350" s="202"/>
      <c r="D350" s="206" t="s">
        <v>1374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059"/>
      <c r="B351" s="202" t="s">
        <v>705</v>
      </c>
      <c r="C351" s="203" t="s">
        <v>705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059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059"/>
      <c r="B353" s="202" t="s">
        <v>706</v>
      </c>
      <c r="C353" s="203" t="s">
        <v>706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059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059"/>
      <c r="B355" s="202" t="s">
        <v>707</v>
      </c>
      <c r="C355" s="203" t="s">
        <v>707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059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059"/>
      <c r="B357" s="202" t="s">
        <v>708</v>
      </c>
      <c r="C357" s="203" t="s">
        <v>708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059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059"/>
      <c r="B359" s="202" t="s">
        <v>709</v>
      </c>
      <c r="C359" s="203" t="s">
        <v>709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059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059"/>
      <c r="B361" s="202" t="s">
        <v>710</v>
      </c>
      <c r="C361" s="203" t="s">
        <v>710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059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059"/>
      <c r="B363" s="202" t="s">
        <v>711</v>
      </c>
      <c r="C363" s="203" t="s">
        <v>711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059"/>
      <c r="B364" s="202" t="s">
        <v>712</v>
      </c>
      <c r="C364" s="203" t="s">
        <v>712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059"/>
      <c r="B365" s="202" t="s">
        <v>713</v>
      </c>
      <c r="C365" s="203" t="s">
        <v>713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059"/>
      <c r="B366" s="202" t="s">
        <v>714</v>
      </c>
      <c r="C366" s="203" t="s">
        <v>714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059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059"/>
      <c r="B368" s="202" t="s">
        <v>715</v>
      </c>
      <c r="C368" s="203" t="s">
        <v>715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059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059"/>
      <c r="B370" s="202"/>
      <c r="D370" s="206" t="s">
        <v>1374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059"/>
      <c r="B371" s="202" t="s">
        <v>716</v>
      </c>
      <c r="C371" s="203" t="s">
        <v>716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059"/>
      <c r="B372" s="202"/>
      <c r="D372" s="206" t="s">
        <v>1379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059"/>
      <c r="B373" s="202" t="s">
        <v>717</v>
      </c>
      <c r="C373" s="203" t="s">
        <v>717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059"/>
      <c r="B374" s="202"/>
      <c r="D374" s="206" t="s">
        <v>1379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059"/>
      <c r="B375" s="202" t="s">
        <v>718</v>
      </c>
      <c r="C375" s="203" t="s">
        <v>718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059"/>
      <c r="B376" s="202"/>
      <c r="D376" s="206" t="s">
        <v>1379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059"/>
      <c r="B377" s="202" t="s">
        <v>719</v>
      </c>
      <c r="C377" s="203" t="s">
        <v>719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059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059"/>
      <c r="B379" s="202"/>
      <c r="D379" s="206" t="s">
        <v>1379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059"/>
      <c r="B380" s="202" t="s">
        <v>720</v>
      </c>
      <c r="C380" s="203" t="s">
        <v>720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059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059"/>
      <c r="B382" s="202" t="s">
        <v>721</v>
      </c>
      <c r="C382" s="203" t="s">
        <v>721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059"/>
      <c r="B383" s="202" t="s">
        <v>722</v>
      </c>
      <c r="C383" s="203" t="s">
        <v>722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059"/>
      <c r="B384" s="202" t="s">
        <v>723</v>
      </c>
      <c r="C384" s="203" t="s">
        <v>723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059"/>
      <c r="B385" s="202" t="s">
        <v>724</v>
      </c>
      <c r="C385" s="203" t="s">
        <v>724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060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058" t="s">
        <v>755</v>
      </c>
      <c r="B387" s="195" t="s">
        <v>755</v>
      </c>
      <c r="C387" s="196" t="s">
        <v>339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060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058" t="s">
        <v>525</v>
      </c>
      <c r="B389" s="195" t="s">
        <v>525</v>
      </c>
      <c r="C389" s="196" t="s">
        <v>339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060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058" t="s">
        <v>524</v>
      </c>
      <c r="B391" s="195" t="s">
        <v>524</v>
      </c>
      <c r="C391" s="196" t="s">
        <v>339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060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058" t="s">
        <v>523</v>
      </c>
      <c r="B393" s="195" t="s">
        <v>523</v>
      </c>
      <c r="C393" s="196" t="s">
        <v>339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060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058" t="s">
        <v>834</v>
      </c>
      <c r="B395" s="195" t="s">
        <v>835</v>
      </c>
      <c r="C395" s="196" t="s">
        <v>339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059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059"/>
      <c r="B397" s="202" t="s">
        <v>836</v>
      </c>
      <c r="C397" s="203" t="s">
        <v>339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597</v>
      </c>
      <c r="B398" s="208" t="s">
        <v>556</v>
      </c>
      <c r="C398" s="209" t="s">
        <v>339</v>
      </c>
      <c r="D398" s="210" t="s">
        <v>1379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794</v>
      </c>
      <c r="B399" s="208" t="s">
        <v>750</v>
      </c>
      <c r="C399" s="209" t="s">
        <v>339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1843</v>
      </c>
      <c r="B400" s="208" t="s">
        <v>843</v>
      </c>
      <c r="C400" s="209" t="s">
        <v>339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70" t="s">
        <v>784</v>
      </c>
      <c r="B401" s="195" t="s">
        <v>779</v>
      </c>
      <c r="C401" s="196" t="s">
        <v>339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849</v>
      </c>
      <c r="B402" s="208" t="s">
        <v>850</v>
      </c>
      <c r="C402" s="209" t="s">
        <v>339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526</v>
      </c>
      <c r="B403" s="208" t="s">
        <v>527</v>
      </c>
      <c r="C403" s="209" t="s">
        <v>339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795</v>
      </c>
      <c r="B404" s="208" t="s">
        <v>796</v>
      </c>
      <c r="C404" s="209" t="s">
        <v>339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70" t="s">
        <v>578</v>
      </c>
      <c r="B405" s="195" t="s">
        <v>579</v>
      </c>
      <c r="C405" s="196" t="s">
        <v>339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058" t="s">
        <v>847</v>
      </c>
      <c r="B406" s="195" t="s">
        <v>814</v>
      </c>
      <c r="C406" s="196" t="s">
        <v>339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059"/>
      <c r="B407" s="202" t="s">
        <v>848</v>
      </c>
      <c r="C407" s="203" t="s">
        <v>339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065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058" t="s">
        <v>763</v>
      </c>
      <c r="B409" s="195" t="s">
        <v>764</v>
      </c>
      <c r="C409" s="196" t="s">
        <v>339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059"/>
      <c r="B410" s="202" t="s">
        <v>765</v>
      </c>
      <c r="C410" s="203" t="s">
        <v>339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059"/>
      <c r="B411" s="202" t="s">
        <v>766</v>
      </c>
      <c r="C411" s="203" t="s">
        <v>339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059"/>
      <c r="B412" s="202" t="s">
        <v>767</v>
      </c>
      <c r="C412" s="203" t="s">
        <v>339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059"/>
      <c r="B413" s="202" t="s">
        <v>769</v>
      </c>
      <c r="C413" s="203" t="s">
        <v>339</v>
      </c>
      <c r="D413" s="206" t="s">
        <v>1380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066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059"/>
      <c r="B415" s="202" t="s">
        <v>770</v>
      </c>
      <c r="C415" s="203" t="s">
        <v>339</v>
      </c>
      <c r="D415" s="206" t="s">
        <v>1380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059"/>
      <c r="B416" s="202" t="s">
        <v>771</v>
      </c>
      <c r="C416" s="203" t="s">
        <v>339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059"/>
      <c r="B417" s="202" t="s">
        <v>772</v>
      </c>
      <c r="C417" s="203" t="s">
        <v>339</v>
      </c>
      <c r="D417" s="206" t="s">
        <v>1374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059"/>
      <c r="B418" s="202" t="s">
        <v>773</v>
      </c>
      <c r="C418" s="203" t="s">
        <v>339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059"/>
      <c r="B419" s="202" t="s">
        <v>774</v>
      </c>
      <c r="C419" s="203" t="s">
        <v>339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059"/>
      <c r="B420" s="202" t="s">
        <v>37</v>
      </c>
      <c r="C420" s="203" t="s">
        <v>339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059"/>
      <c r="B421" s="202" t="s">
        <v>37</v>
      </c>
      <c r="C421" s="203" t="s">
        <v>339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059"/>
      <c r="B422" s="214" t="s">
        <v>768</v>
      </c>
      <c r="C422" s="203" t="s">
        <v>339</v>
      </c>
      <c r="D422" s="204" t="s">
        <v>1835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058" t="s">
        <v>694</v>
      </c>
      <c r="B423" s="195" t="s">
        <v>626</v>
      </c>
      <c r="C423" s="196" t="s">
        <v>626</v>
      </c>
      <c r="D423" s="207" t="s">
        <v>1835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060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595</v>
      </c>
      <c r="B425" s="208" t="s">
        <v>596</v>
      </c>
      <c r="C425" s="209" t="s">
        <v>339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799</v>
      </c>
      <c r="B426" s="208" t="s">
        <v>800</v>
      </c>
      <c r="C426" s="209" t="s">
        <v>339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599</v>
      </c>
      <c r="B427" s="208" t="s">
        <v>600</v>
      </c>
      <c r="C427" s="209" t="s">
        <v>1844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801</v>
      </c>
      <c r="B428" s="208" t="s">
        <v>802</v>
      </c>
      <c r="C428" s="209" t="s">
        <v>339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797</v>
      </c>
      <c r="B429" s="208" t="s">
        <v>798</v>
      </c>
      <c r="C429" s="209" t="s">
        <v>339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803</v>
      </c>
      <c r="B430" s="208" t="s">
        <v>804</v>
      </c>
      <c r="C430" s="209" t="s">
        <v>339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70" t="s">
        <v>785</v>
      </c>
      <c r="B431" s="195" t="s">
        <v>779</v>
      </c>
      <c r="C431" s="196" t="s">
        <v>339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70" t="s">
        <v>826</v>
      </c>
      <c r="B432" s="195" t="s">
        <v>846</v>
      </c>
      <c r="C432" s="196" t="s">
        <v>339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058" t="s">
        <v>776</v>
      </c>
      <c r="B433" s="195" t="s">
        <v>777</v>
      </c>
      <c r="C433" s="196" t="s">
        <v>339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059"/>
      <c r="B434" s="202" t="s">
        <v>778</v>
      </c>
      <c r="C434" s="203" t="s">
        <v>339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059"/>
      <c r="B435" s="202" t="s">
        <v>779</v>
      </c>
      <c r="C435" s="203" t="s">
        <v>339</v>
      </c>
      <c r="D435" s="206" t="s">
        <v>1379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059"/>
      <c r="B436" s="202" t="s">
        <v>764</v>
      </c>
      <c r="C436" s="203" t="s">
        <v>339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059"/>
      <c r="B437" s="202" t="s">
        <v>780</v>
      </c>
      <c r="C437" s="203" t="s">
        <v>339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059"/>
      <c r="B438" s="202" t="s">
        <v>1845</v>
      </c>
      <c r="C438" s="203" t="s">
        <v>339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059"/>
      <c r="B439" s="202" t="s">
        <v>781</v>
      </c>
      <c r="C439" s="203" t="s">
        <v>339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059"/>
      <c r="B440" s="202" t="s">
        <v>1846</v>
      </c>
      <c r="C440" s="203" t="s">
        <v>1847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058" t="s">
        <v>1848</v>
      </c>
      <c r="B441" s="195" t="s">
        <v>516</v>
      </c>
      <c r="C441" s="196" t="s">
        <v>339</v>
      </c>
      <c r="D441" s="207" t="s">
        <v>1380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059"/>
      <c r="B442" s="202"/>
      <c r="D442" s="206" t="s">
        <v>1458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059"/>
      <c r="B443" s="202"/>
      <c r="D443" s="206" t="s">
        <v>1374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059"/>
      <c r="B444" s="202"/>
      <c r="D444" s="206" t="s">
        <v>1379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058" t="s">
        <v>1849</v>
      </c>
      <c r="B445" s="195" t="s">
        <v>516</v>
      </c>
      <c r="C445" s="196" t="s">
        <v>339</v>
      </c>
      <c r="D445" s="207" t="s">
        <v>1380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059"/>
      <c r="B446" s="202"/>
      <c r="D446" s="206" t="s">
        <v>1458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058" t="s">
        <v>1850</v>
      </c>
      <c r="B447" s="195" t="s">
        <v>518</v>
      </c>
      <c r="C447" s="196" t="s">
        <v>339</v>
      </c>
      <c r="D447" s="207" t="s">
        <v>1380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064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059" t="s">
        <v>1851</v>
      </c>
      <c r="B449" s="195" t="s">
        <v>522</v>
      </c>
      <c r="C449" s="196" t="s">
        <v>339</v>
      </c>
      <c r="D449" s="207" t="s">
        <v>1380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059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058" t="s">
        <v>1852</v>
      </c>
      <c r="B451" s="195" t="s">
        <v>514</v>
      </c>
      <c r="C451" s="196" t="s">
        <v>339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059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528</v>
      </c>
      <c r="B453" s="208" t="s">
        <v>529</v>
      </c>
      <c r="C453" s="209" t="s">
        <v>339</v>
      </c>
      <c r="D453" s="210" t="s">
        <v>1380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058" t="s">
        <v>756</v>
      </c>
      <c r="B454" s="195" t="s">
        <v>754</v>
      </c>
      <c r="C454" s="196" t="s">
        <v>339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060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058" t="s">
        <v>753</v>
      </c>
      <c r="B456" s="195" t="s">
        <v>754</v>
      </c>
      <c r="C456" s="196" t="s">
        <v>339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060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1853</v>
      </c>
      <c r="B458" s="208" t="s">
        <v>609</v>
      </c>
      <c r="C458" s="209" t="s">
        <v>339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1854</v>
      </c>
      <c r="B459" s="208" t="s">
        <v>603</v>
      </c>
      <c r="C459" s="209" t="s">
        <v>339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1855</v>
      </c>
      <c r="B460" s="208" t="s">
        <v>607</v>
      </c>
      <c r="C460" s="209" t="s">
        <v>339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1856</v>
      </c>
      <c r="B461" s="208" t="s">
        <v>611</v>
      </c>
      <c r="C461" s="209" t="s">
        <v>339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1857</v>
      </c>
      <c r="B462" s="208" t="s">
        <v>623</v>
      </c>
      <c r="C462" s="209" t="s">
        <v>339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058" t="s">
        <v>1858</v>
      </c>
      <c r="B463" s="195" t="s">
        <v>541</v>
      </c>
      <c r="C463" s="196" t="s">
        <v>1859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059"/>
      <c r="B464" s="202"/>
      <c r="C464" s="203" t="s">
        <v>1860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059"/>
      <c r="B465" s="202" t="s">
        <v>543</v>
      </c>
      <c r="C465" s="203" t="s">
        <v>339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059"/>
      <c r="B466" s="202" t="s">
        <v>544</v>
      </c>
      <c r="C466" s="203" t="s">
        <v>339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059"/>
      <c r="B467" s="202" t="s">
        <v>546</v>
      </c>
      <c r="C467" s="203" t="s">
        <v>339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059"/>
      <c r="B468" s="202" t="s">
        <v>545</v>
      </c>
      <c r="C468" s="203" t="s">
        <v>339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059"/>
      <c r="B469" s="202" t="s">
        <v>547</v>
      </c>
      <c r="C469" s="203" t="s">
        <v>339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059"/>
      <c r="B470" s="202" t="s">
        <v>548</v>
      </c>
      <c r="C470" s="203" t="s">
        <v>339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059"/>
      <c r="B471" s="202" t="s">
        <v>549</v>
      </c>
      <c r="C471" s="203" t="s">
        <v>339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059"/>
      <c r="B472" s="202" t="s">
        <v>550</v>
      </c>
      <c r="C472" s="203" t="s">
        <v>339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059"/>
      <c r="B473" s="202" t="s">
        <v>551</v>
      </c>
      <c r="C473" s="203" t="s">
        <v>339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059"/>
      <c r="B474" s="202" t="s">
        <v>552</v>
      </c>
      <c r="C474" s="203" t="s">
        <v>339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059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059"/>
      <c r="B476" s="202" t="s">
        <v>553</v>
      </c>
      <c r="C476" s="203" t="s">
        <v>339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059"/>
      <c r="B477" s="202" t="s">
        <v>1861</v>
      </c>
      <c r="C477" s="203" t="s">
        <v>339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060"/>
      <c r="B478" s="211" t="s">
        <v>1135</v>
      </c>
      <c r="C478" s="212" t="s">
        <v>339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058" t="s">
        <v>1862</v>
      </c>
      <c r="B479" s="195" t="s">
        <v>585</v>
      </c>
      <c r="C479" s="196" t="s">
        <v>339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060"/>
      <c r="B480" s="211" t="s">
        <v>586</v>
      </c>
      <c r="C480" s="212" t="s">
        <v>339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1863</v>
      </c>
      <c r="B481" s="208" t="s">
        <v>594</v>
      </c>
      <c r="C481" s="209" t="s">
        <v>339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059" t="s">
        <v>1053</v>
      </c>
      <c r="B482" s="202" t="s">
        <v>533</v>
      </c>
      <c r="C482" s="203" t="s">
        <v>1864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059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059"/>
      <c r="B484" s="202" t="s">
        <v>534</v>
      </c>
      <c r="C484" s="203" t="s">
        <v>1865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059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059"/>
      <c r="B486" s="202"/>
      <c r="C486" s="203" t="s">
        <v>1866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059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059"/>
      <c r="B488" s="202" t="s">
        <v>536</v>
      </c>
      <c r="C488" s="203" t="s">
        <v>339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059"/>
      <c r="B489" s="202" t="s">
        <v>537</v>
      </c>
      <c r="C489" s="203" t="s">
        <v>339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059"/>
      <c r="B490" s="202" t="s">
        <v>538</v>
      </c>
      <c r="C490" s="203" t="s">
        <v>339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059"/>
      <c r="B491" s="202" t="s">
        <v>475</v>
      </c>
      <c r="C491" s="203" t="s">
        <v>339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059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059"/>
      <c r="B493" s="202"/>
      <c r="D493" s="204" t="s">
        <v>1867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058" t="s">
        <v>1868</v>
      </c>
      <c r="B494" s="195" t="s">
        <v>581</v>
      </c>
      <c r="C494" s="196" t="s">
        <v>339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060"/>
      <c r="B495" s="211"/>
      <c r="C495" s="212"/>
      <c r="D495" s="213" t="s">
        <v>1379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058" t="s">
        <v>1869</v>
      </c>
      <c r="B496" s="195" t="s">
        <v>561</v>
      </c>
      <c r="C496" s="196" t="s">
        <v>1870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059"/>
      <c r="B497" s="202"/>
      <c r="C497" s="203" t="s">
        <v>1871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059"/>
      <c r="B498" s="202"/>
      <c r="C498" s="203" t="s">
        <v>1872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059"/>
      <c r="B499" s="202" t="s">
        <v>566</v>
      </c>
      <c r="C499" s="203" t="s">
        <v>1873</v>
      </c>
      <c r="D499" s="206" t="s">
        <v>1379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060"/>
      <c r="B500" s="211" t="s">
        <v>567</v>
      </c>
      <c r="C500" s="212" t="s">
        <v>1874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058" t="s">
        <v>1875</v>
      </c>
      <c r="B501" s="195" t="s">
        <v>561</v>
      </c>
      <c r="C501" s="196" t="s">
        <v>1870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059"/>
      <c r="B502" s="202" t="s">
        <v>562</v>
      </c>
      <c r="C502" s="203" t="s">
        <v>339</v>
      </c>
      <c r="D502" s="206" t="s">
        <v>1379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059"/>
      <c r="B503" s="202" t="s">
        <v>563</v>
      </c>
      <c r="C503" s="203" t="s">
        <v>339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060"/>
      <c r="B504" s="211" t="s">
        <v>564</v>
      </c>
      <c r="C504" s="212" t="s">
        <v>339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058" t="s">
        <v>1876</v>
      </c>
      <c r="B505" s="195" t="s">
        <v>569</v>
      </c>
      <c r="C505" s="196" t="s">
        <v>339</v>
      </c>
      <c r="D505" s="207" t="s">
        <v>1379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059"/>
      <c r="B506" s="202" t="s">
        <v>570</v>
      </c>
      <c r="C506" s="203" t="s">
        <v>339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060"/>
      <c r="B507" s="211" t="s">
        <v>1877</v>
      </c>
      <c r="C507" s="212" t="s">
        <v>339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058" t="s">
        <v>1878</v>
      </c>
      <c r="B508" s="195" t="s">
        <v>574</v>
      </c>
      <c r="C508" s="196" t="s">
        <v>1879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060"/>
      <c r="B509" s="211" t="s">
        <v>575</v>
      </c>
      <c r="C509" s="212" t="s">
        <v>1880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1881</v>
      </c>
      <c r="B510" s="208" t="s">
        <v>588</v>
      </c>
      <c r="C510" s="209" t="s">
        <v>339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1882</v>
      </c>
      <c r="B511" s="208" t="s">
        <v>625</v>
      </c>
      <c r="C511" s="209" t="s">
        <v>339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1883</v>
      </c>
      <c r="B512" s="208" t="s">
        <v>605</v>
      </c>
      <c r="C512" s="209" t="s">
        <v>339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058" t="s">
        <v>1064</v>
      </c>
      <c r="B513" s="195" t="s">
        <v>1884</v>
      </c>
      <c r="C513" s="196" t="s">
        <v>339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059"/>
      <c r="B514" s="202"/>
      <c r="D514" s="204" t="s">
        <v>1379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059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059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059"/>
      <c r="B517" s="202" t="s">
        <v>558</v>
      </c>
      <c r="C517" s="203" t="s">
        <v>339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059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060"/>
      <c r="B519" s="211" t="s">
        <v>559</v>
      </c>
      <c r="C519" s="212" t="s">
        <v>339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1885</v>
      </c>
      <c r="B520" s="208" t="s">
        <v>613</v>
      </c>
      <c r="C520" s="209" t="s">
        <v>339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1886</v>
      </c>
      <c r="B521" s="208" t="s">
        <v>615</v>
      </c>
      <c r="C521" s="209" t="s">
        <v>339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1887</v>
      </c>
      <c r="B522" s="208" t="s">
        <v>617</v>
      </c>
      <c r="C522" s="209" t="s">
        <v>339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1888</v>
      </c>
      <c r="B523" s="208" t="s">
        <v>619</v>
      </c>
      <c r="C523" s="209" t="s">
        <v>339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1889</v>
      </c>
      <c r="B524" s="208" t="s">
        <v>621</v>
      </c>
      <c r="C524" s="209" t="s">
        <v>339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1890</v>
      </c>
      <c r="B525" s="208" t="s">
        <v>577</v>
      </c>
      <c r="C525" s="209" t="s">
        <v>339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530</v>
      </c>
      <c r="B526" s="208" t="s">
        <v>518</v>
      </c>
      <c r="C526" s="209" t="s">
        <v>339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601</v>
      </c>
      <c r="B527" s="208" t="s">
        <v>475</v>
      </c>
      <c r="C527" s="209" t="s">
        <v>339</v>
      </c>
      <c r="D527" s="217" t="s">
        <v>1867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759</v>
      </c>
      <c r="B528" s="208" t="s">
        <v>760</v>
      </c>
      <c r="C528" s="209" t="s">
        <v>339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058" t="s">
        <v>691</v>
      </c>
      <c r="B529" s="195" t="s">
        <v>1891</v>
      </c>
      <c r="C529" s="196" t="s">
        <v>339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059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059"/>
      <c r="B531" s="202" t="s">
        <v>693</v>
      </c>
      <c r="C531" s="203" t="s">
        <v>339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059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060"/>
      <c r="B533" s="211"/>
      <c r="C533" s="212"/>
      <c r="D533" s="213" t="s">
        <v>1379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058" t="s">
        <v>627</v>
      </c>
      <c r="B534" s="195" t="s">
        <v>638</v>
      </c>
      <c r="C534" s="196" t="s">
        <v>638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059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059"/>
      <c r="B536" s="202" t="s">
        <v>639</v>
      </c>
      <c r="C536" s="203" t="s">
        <v>639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059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059"/>
      <c r="B538" s="202"/>
      <c r="D538" s="206" t="s">
        <v>1379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059"/>
      <c r="B539" s="202" t="s">
        <v>640</v>
      </c>
      <c r="C539" s="203" t="s">
        <v>640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059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059"/>
      <c r="B541" s="202"/>
      <c r="D541" s="206" t="s">
        <v>1374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059"/>
      <c r="B542" s="202"/>
      <c r="D542" s="206" t="s">
        <v>1379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059"/>
      <c r="B543" s="202"/>
      <c r="C543" s="203" t="s">
        <v>339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059"/>
      <c r="B544" s="202" t="s">
        <v>641</v>
      </c>
      <c r="C544" s="203" t="s">
        <v>641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059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059"/>
      <c r="B546" s="202"/>
      <c r="D546" s="206" t="s">
        <v>1374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059"/>
      <c r="B547" s="202"/>
      <c r="D547" s="206" t="s">
        <v>1379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059"/>
      <c r="B548" s="202" t="s">
        <v>642</v>
      </c>
      <c r="C548" s="203" t="s">
        <v>642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059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059"/>
      <c r="B550" s="202"/>
      <c r="D550" s="206" t="s">
        <v>1374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059"/>
      <c r="B551" s="202" t="s">
        <v>643</v>
      </c>
      <c r="C551" s="203" t="s">
        <v>643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059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059"/>
      <c r="B553" s="202" t="s">
        <v>644</v>
      </c>
      <c r="C553" s="203" t="s">
        <v>644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059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059"/>
      <c r="B555" s="202"/>
      <c r="D555" s="206" t="s">
        <v>1374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059"/>
      <c r="B556" s="202" t="s">
        <v>645</v>
      </c>
      <c r="C556" s="203" t="s">
        <v>645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059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059"/>
      <c r="B558" s="202"/>
      <c r="D558" s="206" t="s">
        <v>1374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059"/>
      <c r="B559" s="202" t="s">
        <v>646</v>
      </c>
      <c r="C559" s="203" t="s">
        <v>646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059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059"/>
      <c r="B561" s="202"/>
      <c r="D561" s="206" t="s">
        <v>1374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059"/>
      <c r="B562" s="202"/>
      <c r="D562" s="206" t="s">
        <v>1379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059"/>
      <c r="B563" s="202" t="s">
        <v>647</v>
      </c>
      <c r="C563" s="203" t="s">
        <v>647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059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059"/>
      <c r="B565" s="202"/>
      <c r="D565" s="206" t="s">
        <v>1374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059"/>
      <c r="B566" s="202"/>
      <c r="C566" s="203" t="s">
        <v>339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059"/>
      <c r="B567" s="202" t="s">
        <v>648</v>
      </c>
      <c r="C567" s="203" t="s">
        <v>648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059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059"/>
      <c r="B569" s="202"/>
      <c r="D569" s="206" t="s">
        <v>1374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059"/>
      <c r="B570" s="202"/>
      <c r="C570" s="203" t="s">
        <v>339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059"/>
      <c r="B571" s="202" t="s">
        <v>649</v>
      </c>
      <c r="C571" s="203" t="s">
        <v>649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059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059"/>
      <c r="B573" s="202"/>
      <c r="D573" s="206" t="s">
        <v>1379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059"/>
      <c r="B574" s="202" t="s">
        <v>650</v>
      </c>
      <c r="C574" s="203" t="s">
        <v>650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059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059"/>
      <c r="B576" s="202" t="s">
        <v>651</v>
      </c>
      <c r="C576" s="203" t="s">
        <v>651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059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059"/>
      <c r="B578" s="202" t="s">
        <v>652</v>
      </c>
      <c r="C578" s="203" t="s">
        <v>652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059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059"/>
      <c r="B580" s="202" t="s">
        <v>653</v>
      </c>
      <c r="C580" s="203" t="s">
        <v>653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059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059"/>
      <c r="B582" s="202" t="s">
        <v>654</v>
      </c>
      <c r="C582" s="203" t="s">
        <v>654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059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059"/>
      <c r="B584" s="202" t="s">
        <v>655</v>
      </c>
      <c r="C584" s="203" t="s">
        <v>655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059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059"/>
      <c r="B586" s="202" t="s">
        <v>656</v>
      </c>
      <c r="C586" s="203" t="s">
        <v>656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059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059"/>
      <c r="B588" s="202" t="s">
        <v>657</v>
      </c>
      <c r="C588" s="203" t="s">
        <v>657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059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059"/>
      <c r="B590" s="202" t="s">
        <v>658</v>
      </c>
      <c r="C590" s="203" t="s">
        <v>658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059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059"/>
      <c r="B592" s="202" t="s">
        <v>659</v>
      </c>
      <c r="C592" s="203" t="s">
        <v>659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059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059"/>
      <c r="B594" s="202" t="s">
        <v>660</v>
      </c>
      <c r="C594" s="203" t="s">
        <v>660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059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059"/>
      <c r="B596" s="202" t="s">
        <v>661</v>
      </c>
      <c r="C596" s="203" t="s">
        <v>661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059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059"/>
      <c r="B598" s="202" t="s">
        <v>662</v>
      </c>
      <c r="C598" s="203" t="s">
        <v>662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059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059"/>
      <c r="B600" s="202" t="s">
        <v>663</v>
      </c>
      <c r="C600" s="203" t="s">
        <v>663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059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059"/>
      <c r="B602" s="202" t="s">
        <v>664</v>
      </c>
      <c r="C602" s="203" t="s">
        <v>664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059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059"/>
      <c r="B604" s="202" t="s">
        <v>665</v>
      </c>
      <c r="C604" s="203" t="s">
        <v>665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059"/>
      <c r="B605" s="202" t="s">
        <v>666</v>
      </c>
      <c r="C605" s="203" t="s">
        <v>666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059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059"/>
      <c r="B607" s="202" t="s">
        <v>667</v>
      </c>
      <c r="C607" s="203" t="s">
        <v>667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059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059"/>
      <c r="B609" s="202" t="s">
        <v>668</v>
      </c>
      <c r="C609" s="203" t="s">
        <v>668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059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059"/>
      <c r="B611" s="202" t="s">
        <v>669</v>
      </c>
      <c r="C611" s="203" t="s">
        <v>669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059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059"/>
      <c r="B613" s="202" t="s">
        <v>670</v>
      </c>
      <c r="C613" s="203" t="s">
        <v>670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059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059"/>
      <c r="B615" s="202" t="s">
        <v>671</v>
      </c>
      <c r="C615" s="203" t="s">
        <v>671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059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059"/>
      <c r="B617" s="202"/>
      <c r="D617" s="206" t="s">
        <v>1374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059"/>
      <c r="B618" s="202"/>
      <c r="D618" s="206" t="s">
        <v>1379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059"/>
      <c r="B619" s="202" t="s">
        <v>672</v>
      </c>
      <c r="C619" s="203" t="s">
        <v>672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059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059"/>
      <c r="B621" s="202" t="s">
        <v>673</v>
      </c>
      <c r="C621" s="203" t="s">
        <v>673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059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059"/>
      <c r="B623" s="202"/>
      <c r="D623" s="206" t="s">
        <v>1374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059"/>
      <c r="B624" s="202"/>
      <c r="D624" s="206" t="s">
        <v>1379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059"/>
      <c r="B625" s="202" t="s">
        <v>674</v>
      </c>
      <c r="C625" s="203" t="s">
        <v>674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059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059"/>
      <c r="B627" s="202" t="s">
        <v>675</v>
      </c>
      <c r="C627" s="203" t="s">
        <v>675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059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059"/>
      <c r="B629" s="202"/>
      <c r="D629" s="206" t="s">
        <v>1374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059"/>
      <c r="B630" s="202"/>
      <c r="D630" s="206" t="s">
        <v>1379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059"/>
      <c r="B631" s="202" t="s">
        <v>676</v>
      </c>
      <c r="C631" s="203" t="s">
        <v>676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059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059"/>
      <c r="B633" s="202"/>
      <c r="D633" s="206" t="s">
        <v>1374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059"/>
      <c r="B634" s="202"/>
      <c r="D634" s="206" t="s">
        <v>1379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059"/>
      <c r="B635" s="202" t="s">
        <v>677</v>
      </c>
      <c r="C635" s="203" t="s">
        <v>677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059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059"/>
      <c r="B637" s="202" t="s">
        <v>678</v>
      </c>
      <c r="C637" s="203" t="s">
        <v>678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059"/>
      <c r="B638" s="202" t="s">
        <v>679</v>
      </c>
      <c r="C638" s="203" t="s">
        <v>679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059"/>
      <c r="B639" s="202" t="s">
        <v>680</v>
      </c>
      <c r="C639" s="203" t="s">
        <v>680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059"/>
      <c r="B640" s="202" t="s">
        <v>681</v>
      </c>
      <c r="C640" s="203" t="s">
        <v>681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059"/>
      <c r="B641" s="202" t="s">
        <v>682</v>
      </c>
      <c r="C641" s="203" t="s">
        <v>682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059"/>
      <c r="B642" s="202" t="s">
        <v>683</v>
      </c>
      <c r="C642" s="203" t="s">
        <v>683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059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059"/>
      <c r="B644" s="214" t="s">
        <v>628</v>
      </c>
      <c r="C644" s="203" t="s">
        <v>339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059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059"/>
      <c r="B646" s="214" t="s">
        <v>629</v>
      </c>
      <c r="C646" s="203" t="s">
        <v>339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059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059"/>
      <c r="B648" s="214" t="s">
        <v>630</v>
      </c>
      <c r="C648" s="203" t="s">
        <v>339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059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059"/>
      <c r="B650" s="214" t="s">
        <v>631</v>
      </c>
      <c r="C650" s="203" t="s">
        <v>339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059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059"/>
      <c r="B652" s="214" t="s">
        <v>632</v>
      </c>
      <c r="C652" s="203" t="s">
        <v>339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059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059"/>
      <c r="B654" s="214" t="s">
        <v>633</v>
      </c>
      <c r="C654" s="203" t="s">
        <v>339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059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059"/>
      <c r="B656" s="214" t="s">
        <v>634</v>
      </c>
      <c r="C656" s="203" t="s">
        <v>339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059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059"/>
      <c r="B658" s="214" t="s">
        <v>635</v>
      </c>
      <c r="C658" s="203" t="s">
        <v>339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059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059"/>
      <c r="B660" s="214" t="s">
        <v>636</v>
      </c>
      <c r="C660" s="203" t="s">
        <v>339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059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059"/>
      <c r="B662" s="214" t="s">
        <v>637</v>
      </c>
      <c r="C662" s="203" t="s">
        <v>339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059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761</v>
      </c>
      <c r="B664" s="208" t="s">
        <v>762</v>
      </c>
      <c r="C664" s="209" t="s">
        <v>339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845</v>
      </c>
      <c r="B665" s="208" t="s">
        <v>846</v>
      </c>
      <c r="C665" s="209" t="s">
        <v>339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061" t="s">
        <v>837</v>
      </c>
      <c r="B666" s="195" t="s">
        <v>838</v>
      </c>
      <c r="C666" s="196" t="s">
        <v>1892</v>
      </c>
      <c r="D666" s="207" t="s">
        <v>1379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062"/>
      <c r="B667" s="202"/>
      <c r="C667" s="203" t="s">
        <v>339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062"/>
      <c r="B668" s="202" t="s">
        <v>839</v>
      </c>
      <c r="C668" s="203" t="s">
        <v>339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063"/>
      <c r="B669" s="211" t="s">
        <v>840</v>
      </c>
      <c r="C669" s="212" t="s">
        <v>339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844</v>
      </c>
      <c r="B670" s="208" t="s">
        <v>835</v>
      </c>
      <c r="C670" s="209" t="s">
        <v>339</v>
      </c>
      <c r="D670" s="210" t="s">
        <v>1379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058" t="s">
        <v>749</v>
      </c>
      <c r="B671" s="195" t="s">
        <v>510</v>
      </c>
      <c r="C671" s="196" t="s">
        <v>339</v>
      </c>
      <c r="D671" s="207" t="s">
        <v>1379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059"/>
      <c r="B672" s="202" t="s">
        <v>750</v>
      </c>
      <c r="C672" s="203" t="s">
        <v>339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059"/>
      <c r="B673" s="202" t="s">
        <v>751</v>
      </c>
      <c r="C673" s="203" t="s">
        <v>339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059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059"/>
      <c r="B675" s="202" t="s">
        <v>752</v>
      </c>
      <c r="C675" s="203" t="s">
        <v>339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059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058" t="s">
        <v>509</v>
      </c>
      <c r="B677" s="195" t="s">
        <v>510</v>
      </c>
      <c r="C677" s="196" t="s">
        <v>339</v>
      </c>
      <c r="D677" s="207" t="s">
        <v>1379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059"/>
      <c r="B678" s="202" t="s">
        <v>511</v>
      </c>
      <c r="C678" s="203" t="s">
        <v>339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059"/>
      <c r="B679" s="202" t="s">
        <v>1893</v>
      </c>
      <c r="C679" s="203" t="s">
        <v>339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059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059"/>
      <c r="B681" s="202" t="s">
        <v>69</v>
      </c>
      <c r="C681" s="203" t="s">
        <v>339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059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059"/>
      <c r="B683" s="202" t="s">
        <v>114</v>
      </c>
      <c r="C683" s="203" t="s">
        <v>339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058" t="s">
        <v>353</v>
      </c>
      <c r="B684" s="195" t="s">
        <v>356</v>
      </c>
      <c r="C684" s="196" t="s">
        <v>339</v>
      </c>
      <c r="D684" s="207" t="s">
        <v>1458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059"/>
      <c r="B685" s="202" t="s">
        <v>359</v>
      </c>
      <c r="C685" s="203" t="s">
        <v>339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059"/>
      <c r="B686" s="202" t="s">
        <v>361</v>
      </c>
      <c r="C686" s="203" t="s">
        <v>339</v>
      </c>
      <c r="D686" s="206" t="s">
        <v>1894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059"/>
      <c r="B687" s="202" t="s">
        <v>363</v>
      </c>
      <c r="C687" s="203" t="s">
        <v>339</v>
      </c>
      <c r="D687" s="206" t="s">
        <v>1380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059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059"/>
      <c r="B689" s="202" t="s">
        <v>366</v>
      </c>
      <c r="C689" s="203" t="s">
        <v>339</v>
      </c>
      <c r="D689" s="206" t="s">
        <v>1458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059"/>
      <c r="B690" s="202" t="s">
        <v>367</v>
      </c>
      <c r="C690" s="203" t="s">
        <v>339</v>
      </c>
      <c r="D690" s="206" t="s">
        <v>1380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059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059"/>
      <c r="B692" s="202" t="s">
        <v>368</v>
      </c>
      <c r="C692" s="203" t="s">
        <v>339</v>
      </c>
      <c r="D692" s="206" t="s">
        <v>1380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059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059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059"/>
      <c r="B695" s="202" t="s">
        <v>370</v>
      </c>
      <c r="C695" s="203" t="s">
        <v>339</v>
      </c>
      <c r="D695" s="206" t="s">
        <v>1458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059"/>
      <c r="B696" s="202" t="s">
        <v>371</v>
      </c>
      <c r="C696" s="203" t="s">
        <v>339</v>
      </c>
      <c r="D696" s="206" t="s">
        <v>1380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059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059"/>
      <c r="B698" s="202" t="s">
        <v>372</v>
      </c>
      <c r="C698" s="203" t="s">
        <v>339</v>
      </c>
      <c r="D698" s="206" t="s">
        <v>1380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059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059"/>
      <c r="B700" s="202" t="s">
        <v>373</v>
      </c>
      <c r="C700" s="203" t="s">
        <v>339</v>
      </c>
      <c r="D700" s="206" t="s">
        <v>1458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059"/>
      <c r="B701" s="202" t="s">
        <v>374</v>
      </c>
      <c r="C701" s="203" t="s">
        <v>339</v>
      </c>
      <c r="D701" s="206" t="s">
        <v>1380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059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059"/>
      <c r="B703" s="202" t="s">
        <v>375</v>
      </c>
      <c r="C703" s="203" t="s">
        <v>339</v>
      </c>
      <c r="D703" s="206" t="s">
        <v>1380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059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059"/>
      <c r="B705" s="202" t="s">
        <v>376</v>
      </c>
      <c r="C705" s="203" t="s">
        <v>339</v>
      </c>
      <c r="D705" s="206" t="s">
        <v>1380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059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059"/>
      <c r="B707" s="202" t="s">
        <v>377</v>
      </c>
      <c r="C707" s="203" t="s">
        <v>339</v>
      </c>
      <c r="D707" s="206" t="s">
        <v>1458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059"/>
      <c r="B708" s="202" t="s">
        <v>378</v>
      </c>
      <c r="C708" s="203" t="s">
        <v>339</v>
      </c>
      <c r="D708" s="206" t="s">
        <v>1458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059"/>
      <c r="B709" s="202" t="s">
        <v>379</v>
      </c>
      <c r="C709" s="203" t="s">
        <v>339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059"/>
      <c r="B710" s="202" t="s">
        <v>380</v>
      </c>
      <c r="C710" s="203" t="s">
        <v>339</v>
      </c>
      <c r="D710" s="206" t="s">
        <v>1380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059"/>
      <c r="B711" s="202"/>
      <c r="D711" s="206" t="s">
        <v>1458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059"/>
      <c r="B712" s="202" t="s">
        <v>381</v>
      </c>
      <c r="C712" s="203" t="s">
        <v>339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059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059"/>
      <c r="B714" s="202" t="s">
        <v>382</v>
      </c>
      <c r="C714" s="203" t="s">
        <v>339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059"/>
      <c r="B715" s="202" t="s">
        <v>518</v>
      </c>
      <c r="C715" s="203" t="s">
        <v>339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059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059"/>
      <c r="B717" s="202" t="s">
        <v>387</v>
      </c>
      <c r="C717" s="203" t="s">
        <v>339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059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059"/>
      <c r="B719" s="202" t="s">
        <v>390</v>
      </c>
      <c r="C719" s="203" t="s">
        <v>339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059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059"/>
      <c r="B721" s="202" t="s">
        <v>1895</v>
      </c>
      <c r="C721" s="203" t="s">
        <v>339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059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059"/>
      <c r="B723" s="202" t="s">
        <v>397</v>
      </c>
      <c r="C723" s="203" t="s">
        <v>339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059"/>
      <c r="B724" s="202"/>
      <c r="D724" s="206" t="s">
        <v>1458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059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059"/>
      <c r="B726" s="202" t="s">
        <v>395</v>
      </c>
      <c r="C726" s="203" t="s">
        <v>339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059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1896</v>
      </c>
      <c r="B728" s="218" t="s">
        <v>339</v>
      </c>
      <c r="C728" s="209" t="s">
        <v>339</v>
      </c>
      <c r="D728" s="219" t="s">
        <v>1484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1485</v>
      </c>
      <c r="E729" s="223" t="s">
        <v>1486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1487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2026-03-31T11:31:47Z</dcterms:modified>
  <cp:category/>
  <cp:contentStatus/>
</cp:coreProperties>
</file>