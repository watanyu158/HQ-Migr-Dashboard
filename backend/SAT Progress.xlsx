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307" documentId="13_ncr:1_{24F0A03A-BF93-476E-979C-6EA6F9010A42}" xr6:coauthVersionLast="47" xr6:coauthVersionMax="47" xr10:uidLastSave="{514E8CCC-FC7E-4E3A-ACA9-6CF234E5931E}"/>
  <bookViews>
    <workbookView xWindow="-108" yWindow="-108" windowWidth="23256" windowHeight="13896" tabRatio="877" firstSheet="1" activeTab="4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27" r:id="rId22"/>
    <sheet name="HKT  New" sheetId="61" r:id="rId23"/>
    <sheet name="HKT-WL" sheetId="33" r:id="rId24"/>
    <sheet name="HKT-PW" sheetId="42" r:id="rId25"/>
    <sheet name="CNX" sheetId="29" r:id="rId26"/>
    <sheet name="CNX-WL" sheetId="34" r:id="rId27"/>
    <sheet name="CNX-PW" sheetId="39" r:id="rId28"/>
    <sheet name="HDY" sheetId="26" r:id="rId29"/>
    <sheet name="HDY-WL" sheetId="35" r:id="rId30"/>
    <sheet name="HDY-PW" sheetId="43" r:id="rId31"/>
    <sheet name="CEI" sheetId="24" r:id="rId32"/>
    <sheet name="CEI-WL" sheetId="36" r:id="rId33"/>
    <sheet name="CEI-PW" sheetId="44" r:id="rId34"/>
    <sheet name="Coring" sheetId="45" r:id="rId35"/>
    <sheet name="SVB (OLD)" sheetId="46" r:id="rId36"/>
  </sheets>
  <definedNames>
    <definedName name="_xlnm._FilterDatabase" localSheetId="31" hidden="1">CEI!$A$1:$E$34</definedName>
    <definedName name="_xlnm._FilterDatabase" localSheetId="33" hidden="1">'CEI-PW'!$A$1:$E$17</definedName>
    <definedName name="_xlnm._FilterDatabase" localSheetId="32" hidden="1">'CEI-WL'!$A$1:$D$1</definedName>
    <definedName name="_xlnm._FilterDatabase" localSheetId="25" hidden="1">CNX!$A$1:$E$48</definedName>
    <definedName name="_xlnm._FilterDatabase" localSheetId="27" hidden="1">'CNX-PW'!$A$1:$E$11</definedName>
    <definedName name="_xlnm._FilterDatabase" localSheetId="26" hidden="1">'CNX-WL'!$A$1:$D$1</definedName>
    <definedName name="_xlnm._FilterDatabase" localSheetId="28" hidden="1">HDY!$A$1:$E$45</definedName>
    <definedName name="_xlnm._FilterDatabase" localSheetId="30" hidden="1">'HDY-PW'!$A$1:$E$24</definedName>
    <definedName name="_xlnm._FilterDatabase" localSheetId="29" hidden="1">'HDY-WL'!$A$1:$D$1</definedName>
    <definedName name="_xlnm._FilterDatabase" localSheetId="21" hidden="1">HKT!$A$1:$F$95</definedName>
    <definedName name="_xlnm._FilterDatabase" localSheetId="22" hidden="1">'HKT  New'!$G$2:$H$2</definedName>
    <definedName name="_xlnm._FilterDatabase" localSheetId="24" hidden="1">'HKT-PW'!$A$1:$E$57</definedName>
    <definedName name="_xlnm._FilterDatabase" localSheetId="23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5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3">'CEI-PW'!$A$1:$N$20</definedName>
    <definedName name="_xlnm.Print_Area" localSheetId="27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30">'HDY-PW'!$A$1:$N$27</definedName>
    <definedName name="_xlnm.Print_Area" localSheetId="24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7" i="31" l="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40" i="61"/>
  <c r="P7" i="61"/>
  <c r="P8" i="61"/>
  <c r="P9" i="61"/>
  <c r="P10" i="61"/>
  <c r="P11" i="61"/>
  <c r="P12" i="61"/>
  <c r="P13" i="61"/>
  <c r="P14" i="61"/>
  <c r="P15" i="61"/>
  <c r="P16" i="61"/>
  <c r="P17" i="61"/>
  <c r="P18" i="61"/>
  <c r="P19" i="61"/>
  <c r="P20" i="61"/>
  <c r="P21" i="61"/>
  <c r="P22" i="61"/>
  <c r="P23" i="61"/>
  <c r="P24" i="61"/>
  <c r="P25" i="61"/>
  <c r="P26" i="61"/>
  <c r="P27" i="61"/>
  <c r="P28" i="61"/>
  <c r="P29" i="61"/>
  <c r="P30" i="61"/>
  <c r="P31" i="61"/>
  <c r="P32" i="61"/>
  <c r="P34" i="61"/>
  <c r="P35" i="61"/>
  <c r="P36" i="61"/>
  <c r="P37" i="61"/>
  <c r="P38" i="61"/>
  <c r="P39" i="61"/>
  <c r="P41" i="61"/>
  <c r="P42" i="61"/>
  <c r="P43" i="61"/>
  <c r="P44" i="61"/>
  <c r="P45" i="61"/>
  <c r="P46" i="61"/>
  <c r="P47" i="61"/>
  <c r="P48" i="61"/>
  <c r="P49" i="61"/>
  <c r="P50" i="61"/>
  <c r="P51" i="61"/>
  <c r="P52" i="61"/>
  <c r="P53" i="61"/>
  <c r="P54" i="61"/>
  <c r="P55" i="61"/>
  <c r="P56" i="61"/>
  <c r="P57" i="61"/>
  <c r="P58" i="61"/>
  <c r="P59" i="61"/>
  <c r="P60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5" i="61"/>
  <c r="P76" i="61"/>
  <c r="P77" i="61"/>
  <c r="P78" i="61"/>
  <c r="P79" i="61"/>
  <c r="P80" i="61"/>
  <c r="P81" i="61"/>
  <c r="P82" i="61"/>
  <c r="P83" i="61"/>
  <c r="P84" i="61"/>
  <c r="P85" i="61"/>
  <c r="P86" i="61"/>
  <c r="P87" i="61"/>
  <c r="P88" i="61"/>
  <c r="P89" i="61"/>
  <c r="P90" i="61"/>
  <c r="P91" i="61"/>
  <c r="P95" i="61"/>
  <c r="P96" i="61"/>
  <c r="P97" i="61"/>
  <c r="P98" i="61"/>
  <c r="P99" i="61"/>
  <c r="P4" i="61"/>
  <c r="P5" i="61"/>
  <c r="P6" i="61"/>
  <c r="P3" i="6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N96" i="23" s="1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T7" i="50" a="1"/>
  <c r="CT7" i="50" s="1"/>
  <c r="CB7" i="50" a="1"/>
  <c r="CB7" i="50" s="1"/>
  <c r="CB28" i="50" s="1"/>
  <c r="BL7" i="50" a="1"/>
  <c r="BL7" i="50" s="1"/>
  <c r="BL28" i="50" s="1"/>
  <c r="CJ7" i="50" a="1"/>
  <c r="CJ7" i="50" s="1"/>
  <c r="CK7" i="50" a="1"/>
  <c r="CK7" i="50" s="1"/>
  <c r="CL7" i="50" a="1"/>
  <c r="CL7" i="50" s="1"/>
  <c r="CM7" i="50" a="1"/>
  <c r="CM7" i="50" s="1"/>
  <c r="CN7" i="50" a="1"/>
  <c r="CN7" i="50" s="1"/>
  <c r="CO7" i="50" a="1"/>
  <c r="CO7" i="50" s="1"/>
  <c r="CP7" i="50" a="1"/>
  <c r="CP7" i="50" s="1"/>
  <c r="CQ7" i="50" a="1"/>
  <c r="CQ7" i="50" s="1"/>
  <c r="CR7" i="50" a="1"/>
  <c r="CR7" i="50" s="1"/>
  <c r="BQ7" i="50" a="1"/>
  <c r="BQ7" i="50" s="1"/>
  <c r="BR7" i="50" a="1"/>
  <c r="BR7" i="50" s="1"/>
  <c r="BS7" i="50" a="1"/>
  <c r="BS7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1" i="50"/>
  <c r="CJ13" i="50" s="1"/>
  <c r="CJ8" i="50"/>
  <c r="CJ16" i="50"/>
  <c r="CJ18" i="50" s="1"/>
  <c r="CK28" i="50"/>
  <c r="CK16" i="50"/>
  <c r="CK18" i="50" s="1"/>
  <c r="CK21" i="50"/>
  <c r="CK11" i="50"/>
  <c r="CK13" i="50" s="1"/>
  <c r="CK8" i="50"/>
  <c r="CM16" i="50"/>
  <c r="CM18" i="50" s="1"/>
  <c r="CM28" i="50"/>
  <c r="CM21" i="50"/>
  <c r="CM11" i="50"/>
  <c r="CM13" i="50" s="1"/>
  <c r="CM8" i="50"/>
  <c r="CN28" i="50"/>
  <c r="CN16" i="50"/>
  <c r="CN18" i="50" s="1"/>
  <c r="CN21" i="50"/>
  <c r="CN11" i="50"/>
  <c r="CN13" i="50" s="1"/>
  <c r="CN8" i="50"/>
  <c r="CO21" i="50"/>
  <c r="CO11" i="50"/>
  <c r="CO13" i="50" s="1"/>
  <c r="CO8" i="50"/>
  <c r="CO16" i="50"/>
  <c r="CO18" i="50" s="1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R16" i="50"/>
  <c r="CR18" i="50" s="1"/>
  <c r="CR28" i="50"/>
  <c r="CR21" i="50"/>
  <c r="CS21" i="50"/>
  <c r="CS11" i="50"/>
  <c r="CS13" i="50" s="1"/>
  <c r="CS8" i="50"/>
  <c r="CS28" i="50"/>
  <c r="CS16" i="50"/>
  <c r="CS18" i="50" s="1"/>
  <c r="CT16" i="50"/>
  <c r="CT18" i="50" s="1"/>
  <c r="CT28" i="50"/>
  <c r="CT21" i="50"/>
  <c r="CT11" i="50"/>
  <c r="CT13" i="50" s="1"/>
  <c r="CT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R28" i="50"/>
  <c r="BR21" i="50"/>
  <c r="BR16" i="50"/>
  <c r="BR18" i="50" s="1"/>
  <c r="BR11" i="50"/>
  <c r="BR13" i="50" s="1"/>
  <c r="BR8" i="50"/>
  <c r="BS28" i="50"/>
  <c r="BS16" i="50"/>
  <c r="BS18" i="50" s="1"/>
  <c r="BS11" i="50"/>
  <c r="BS13" i="50" s="1"/>
  <c r="BS8" i="50"/>
  <c r="BS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W13" i="50" l="1"/>
  <c r="BX13" i="50"/>
  <c r="BY13" i="50"/>
  <c r="BZ13" i="50"/>
  <c r="CQ21" i="50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16" i="50"/>
  <c r="CB18" i="50" s="1"/>
  <c r="CB11" i="50"/>
  <c r="CB13" i="50" s="1"/>
  <c r="CB8" i="50"/>
  <c r="CF28" i="50"/>
  <c r="CF21" i="50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Q23" i="50"/>
  <c r="CQ25" i="50"/>
  <c r="CQ24" i="50"/>
  <c r="CR23" i="50"/>
  <c r="CR25" i="50"/>
  <c r="CR24" i="50"/>
  <c r="CS23" i="50"/>
  <c r="CS25" i="50"/>
  <c r="CS24" i="50"/>
  <c r="CT23" i="50"/>
  <c r="CT25" i="50"/>
  <c r="CT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3" i="50"/>
  <c r="CB25" i="50"/>
  <c r="CB24" i="50"/>
  <c r="CC23" i="50"/>
  <c r="CC25" i="50"/>
  <c r="CC24" i="50"/>
  <c r="CD23" i="50"/>
  <c r="CD25" i="50"/>
  <c r="CD24" i="50"/>
  <c r="CE23" i="50"/>
  <c r="CE25" i="50"/>
  <c r="CE24" i="50"/>
  <c r="CF23" i="50"/>
  <c r="CF25" i="50"/>
  <c r="CF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B31" i="49"/>
  <c r="B18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L120" i="31" l="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<sst xmlns="http://schemas.openxmlformats.org/spreadsheetml/2006/main" count="10067" uniqueCount="1968">
  <si>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</si>
  <si>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</si>
  <si>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</si>
  <si>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</si>
  <si>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</si>
  <si>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</si>
  <si>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</si>
  <si>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</si>
  <si>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</si>
  <si>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</si>
  <si>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</si>
  <si>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</si>
  <si>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</si>
  <si>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</si>
  <si>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</si>
  <si>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</si>
  <si>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</si>
  <si>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</si>
  <si>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</si>
  <si>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</si>
  <si>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</si>
  <si>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</si>
  <si>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</si>
  <si>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</si>
  <si>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</si>
  <si>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</si>
  <si>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</si>
  <si>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</si>
  <si>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</si>
  <si>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</si>
  <si>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</si>
  <si>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</si>
  <si>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</si>
  <si>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</si>
  <si>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</si>
  <si>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</si>
  <si>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</si>
  <si>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</si>
  <si>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</si>
  <si>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</si>
  <si>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</si>
  <si>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</si>
  <si>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</si>
  <si>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</si>
  <si>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</si>
  <si>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</si>
  <si>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</si>
  <si>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</si>
  <si>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</si>
  <si>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</si>
  <si>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</si>
  <si>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</si>
  <si>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</si>
  <si>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</si>
  <si>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</si>
  <si>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</si>
  <si>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</si>
  <si>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</si>
  <si>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</si>
  <si>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</si>
  <si>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</si>
  <si>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</si>
  <si>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</si>
  <si>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</si>
  <si>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</si>
  <si>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</si>
  <si>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</si>
  <si>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</si>
  <si>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</si>
  <si>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</si>
  <si>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</si>
  <si>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</si>
  <si>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</si>
  <si>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</si>
  <si>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</si>
  <si>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</si>
  <si>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</si>
  <si>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</si>
  <si>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</si>
  <si>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</si>
  <si>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</si>
  <si>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</si>
  <si>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</si>
  <si>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</si>
  <si>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</si>
  <si>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</si>
  <si>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</si>
  <si>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</si>
  <si>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</si>
  <si>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</si>
  <si>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</si>
  <si>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</si>
  <si>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</si>
  <si>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</si>
  <si>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</si>
  <si>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</si>
  <si>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</si>
  <si>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</si>
  <si>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</si>
  <si>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</si>
  <si>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</si>
  <si>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</si>
  <si>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</si>
  <si>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</si>
  <si>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</si>
  <si>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</si>
  <si>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</si>
  <si>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</si>
  <si>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</si>
  <si>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</si>
  <si>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</si>
  <si>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</si>
  <si>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</si>
  <si>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</si>
  <si>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</si>
  <si>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</si>
  <si>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</si>
  <si>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</si>
  <si>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</si>
  <si>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</si>
  <si>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</si>
  <si>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</si>
  <si>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</si>
  <si>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</si>
  <si>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</si>
  <si>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</si>
  <si>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</si>
  <si>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</si>
  <si>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</si>
  <si>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</si>
  <si>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</si>
  <si>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</si>
  <si>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</si>
  <si>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</si>
  <si>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</si>
  <si>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</si>
  <si>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</si>
  <si>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</si>
  <si>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</si>
  <si>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</si>
  <si>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</si>
  <si>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</si>
  <si>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</si>
  <si>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</si>
  <si>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</si>
  <si>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</si>
  <si>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</si>
  <si>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</si>
  <si>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</si>
  <si>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</si>
  <si>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</si>
  <si>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</si>
  <si>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</si>
  <si>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</si>
  <si>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</si>
  <si>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</si>
  <si>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</si>
  <si>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</si>
  <si>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</si>
  <si>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</si>
  <si>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</si>
  <si>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</si>
  <si>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</si>
  <si>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</si>
  <si>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</si>
  <si>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</si>
  <si>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</si>
  <si>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</si>
  <si>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</si>
  <si>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</si>
  <si>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</si>
  <si>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</si>
  <si>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</si>
  <si>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</si>
  <si>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</si>
  <si>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</si>
  <si>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</si>
  <si>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</si>
  <si>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</si>
  <si>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</si>
  <si>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</si>
  <si>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</si>
  <si>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</si>
  <si>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</si>
  <si>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</si>
  <si>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</si>
  <si>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</si>
  <si>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</si>
  <si>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</si>
  <si>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</si>
  <si>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</si>
  <si>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</si>
  <si>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</si>
  <si>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</si>
  <si>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</si>
  <si>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</si>
  <si>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</si>
  <si>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</si>
  <si>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</si>
  <si>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</si>
  <si>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</si>
  <si>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</si>
  <si>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</si>
  <si>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</si>
  <si>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</si>
  <si>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</si>
  <si>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</si>
  <si>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</si>
  <si>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</si>
  <si>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</si>
  <si>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</si>
  <si>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</si>
  <si>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</si>
  <si>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</si>
  <si>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</si>
  <si>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</si>
  <si>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</si>
  <si>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</si>
  <si>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</si>
  <si>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</si>
  <si>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</si>
  <si>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</si>
  <si>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</si>
  <si>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</si>
  <si>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</si>
  <si>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</si>
  <si>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</si>
  <si>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</si>
  <si>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</si>
  <si>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</si>
  <si>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</si>
  <si>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</si>
  <si>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</si>
  <si>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</si>
  <si>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</si>
  <si>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</si>
  <si>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</si>
  <si>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</si>
  <si>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</si>
  <si>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</si>
  <si>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</si>
  <si>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</si>
  <si>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</si>
  <si>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</si>
  <si>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</si>
  <si>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</si>
  <si>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</si>
  <si>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</si>
  <si>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</si>
  <si>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</si>
  <si>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</si>
  <si>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</si>
  <si>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</si>
  <si>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</si>
  <si>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</si>
  <si>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</si>
  <si>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</si>
  <si>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</si>
  <si>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</si>
  <si>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</si>
  <si>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</si>
  <si>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</si>
  <si>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</si>
  <si>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</si>
  <si>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</si>
  <si>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</si>
  <si>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</si>
  <si>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</si>
  <si>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</si>
  <si>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</si>
  <si>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</si>
  <si>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</si>
  <si>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</si>
  <si>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</si>
  <si>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</si>
  <si>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</si>
  <si>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</si>
  <si>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</si>
  <si>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</si>
  <si>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</si>
  <si>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</si>
  <si>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</si>
  <si>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</si>
  <si>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</si>
  <si>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</si>
  <si>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</si>
  <si>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</si>
  <si>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</si>
  <si>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</si>
  <si>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</si>
  <si>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</si>
  <si>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</si>
  <si>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</si>
  <si>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</si>
  <si>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</si>
  <si>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</si>
  <si>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</si>
  <si>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</si>
  <si>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</si>
  <si>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</si>
  <si>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</si>
  <si>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</si>
  <si>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</si>
  <si>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</si>
  <si>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</si>
  <si>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</si>
  <si>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</si>
  <si>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</si>
  <si>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</si>
  <si>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</si>
  <si>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</si>
  <si>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</si>
  <si>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</si>
  <si>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</si>
  <si>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</si>
  <si>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</si>
  <si>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</si>
  <si>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</si>
  <si>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</si>
  <si>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</si>
  <si>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</si>
  <si>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</si>
  <si>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</si>
  <si>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</si>
  <si>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</si>
  <si>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</si>
  <si>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</si>
  <si>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</si>
  <si>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</si>
  <si>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</si>
  <si>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</si>
  <si>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</si>
  <si>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</si>
  <si>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</si>
  <si>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</si>
  <si>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</si>
  <si>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</si>
  <si>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</si>
  <si>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</si>
  <si>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</si>
  <si>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</si>
  <si>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</si>
  <si>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</si>
  <si>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</si>
  <si>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</si>
  <si>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</si>
  <si>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</si>
  <si>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</si>
  <si>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</si>
  <si>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</si>
  <si>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</si>
  <si>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</si>
  <si>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</si>
  <si>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</si>
  <si>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</si>
  <si>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</si>
  <si>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</si>
  <si>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</si>
  <si>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</si>
  <si>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</si>
  <si>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</si>
  <si>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</si>
  <si>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</si>
  <si>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</si>
  <si>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</si>
  <si>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</si>
  <si>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</si>
  <si>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</si>
  <si>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</si>
  <si>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</si>
  <si>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</si>
  <si>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</si>
  <si>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</si>
  <si>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</si>
  <si>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</si>
  <si>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</si>
  <si>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</si>
  <si>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</si>
  <si>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</si>
  <si>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</si>
  <si>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</si>
  <si>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</si>
  <si>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</si>
  <si>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</si>
  <si>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</si>
  <si>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</si>
  <si>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</si>
  <si>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</si>
  <si>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</si>
  <si>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</si>
  <si>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</si>
  <si>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</si>
  <si>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</si>
  <si>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</si>
  <si>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</si>
  <si>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</si>
  <si>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</si>
  <si>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</si>
  <si>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</si>
  <si>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</si>
  <si>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</si>
  <si>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</si>
  <si>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</si>
  <si>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</si>
  <si>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</si>
  <si>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</si>
  <si>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</si>
  <si>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</si>
  <si>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</si>
  <si>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</si>
  <si>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</si>
  <si>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</si>
  <si>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</si>
  <si>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</si>
  <si>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</si>
  <si>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</si>
  <si>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</si>
  <si>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</si>
  <si>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</si>
  <si>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</si>
  <si>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</si>
  <si>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</si>
  <si>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</si>
  <si>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</si>
  <si>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</si>
  <si>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</si>
  <si>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</si>
  <si>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</si>
  <si>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</si>
  <si>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</si>
  <si>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</si>
  <si>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</si>
  <si>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</si>
  <si>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</si>
  <si>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</si>
  <si>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</si>
  <si>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</si>
  <si>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</si>
  <si>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</si>
  <si>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</si>
  <si>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</si>
  <si>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</si>
  <si>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</si>
  <si>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</si>
  <si>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</si>
  <si>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</si>
  <si>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</si>
  <si>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</si>
  <si>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</si>
  <si>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</si>
  <si>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</si>
  <si>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</si>
  <si>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</si>
  <si>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</si>
  <si>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</si>
  <si>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</si>
  <si>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</si>
  <si>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</si>
  <si>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</si>
  <si>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</si>
  <si>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</si>
  <si>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</si>
  <si>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</si>
  <si>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</si>
  <si>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</si>
  <si>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</si>
  <si>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</si>
  <si>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</si>
  <si>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</si>
  <si>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</si>
  <si>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</si>
  <si>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</si>
  <si>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</si>
  <si>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</si>
  <si>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</si>
  <si>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</si>
  <si>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</si>
  <si>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</si>
  <si>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</si>
  <si>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</si>
  <si>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</si>
  <si>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</si>
  <si>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</si>
  <si>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</si>
  <si>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</si>
  <si>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</si>
  <si>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</si>
  <si>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</si>
  <si>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</si>
  <si>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</si>
  <si>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</si>
  <si>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</si>
  <si>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</si>
  <si>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</si>
  <si>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</si>
  <si>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</si>
  <si>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</si>
  <si>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</si>
  <si>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</si>
  <si>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</si>
  <si>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</si>
  <si>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</si>
  <si>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</si>
  <si>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</si>
  <si>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</si>
  <si>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</si>
  <si>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</si>
  <si>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</si>
  <si>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</si>
  <si>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</si>
  <si>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</si>
  <si>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</si>
  <si>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</si>
  <si>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</si>
  <si>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</si>
  <si>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</si>
  <si>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</si>
  <si>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</si>
  <si>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</si>
  <si>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</si>
  <si>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</si>
  <si>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</si>
  <si>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</si>
  <si>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</si>
  <si>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</si>
  <si>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</si>
  <si>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</si>
  <si>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</si>
  <si>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</si>
  <si>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</si>
  <si>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</si>
  <si>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</si>
  <si>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</si>
  <si>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</si>
  <si>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</si>
  <si>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</si>
  <si>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</si>
  <si>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</si>
  <si>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</si>
  <si>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</si>
  <si>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</si>
  <si>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</si>
  <si>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</si>
  <si>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</si>
  <si>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</si>
  <si>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</si>
  <si>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</si>
  <si>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</si>
  <si>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</si>
  <si>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</si>
  <si>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</si>
  <si>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</si>
  <si>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</si>
  <si>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</si>
  <si>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</si>
  <si>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</si>
  <si>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</si>
  <si>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</si>
  <si>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</si>
  <si>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</si>
  <si>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</si>
  <si>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</si>
  <si>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</si>
  <si>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</si>
  <si>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</si>
  <si>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</si>
  <si>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</si>
  <si>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</si>
  <si>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</si>
  <si>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</si>
  <si>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</si>
  <si>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</si>
  <si>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</si>
  <si>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</si>
  <si>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</si>
  <si>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</si>
  <si>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</si>
  <si>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</si>
  <si>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</si>
  <si>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</si>
  <si>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</si>
  <si>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</si>
  <si>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</si>
  <si>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</si>
  <si>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</si>
  <si>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</si>
  <si>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</si>
  <si>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</si>
  <si>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</si>
  <si>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</si>
  <si>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</si>
  <si>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</si>
  <si>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</si>
  <si>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</si>
  <si>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</si>
  <si>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</si>
  <si>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</si>
  <si>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</si>
  <si>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</si>
  <si>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</si>
  <si>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</si>
  <si>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</si>
  <si>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</si>
  <si>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</si>
  <si>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</si>
  <si>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</si>
  <si>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</si>
  <si>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</si>
  <si>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</si>
  <si>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</si>
  <si>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</si>
  <si>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</si>
  <si>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</si>
  <si>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</si>
  <si>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</si>
  <si>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</si>
  <si>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</si>
  <si>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</si>
  <si>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</si>
  <si>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</si>
  <si>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</si>
  <si>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</si>
  <si>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</si>
  <si>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</si>
  <si>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</si>
  <si>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</si>
  <si>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</si>
  <si>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</si>
  <si>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</si>
  <si>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</si>
  <si>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</si>
  <si>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</si>
  <si>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</si>
  <si>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</si>
  <si>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</si>
  <si>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</si>
  <si>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</si>
  <si>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</si>
  <si>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</si>
  <si>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</si>
  <si>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</si>
  <si>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</si>
  <si>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</si>
  <si>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</si>
  <si>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</si>
  <si>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</si>
  <si>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</si>
  <si>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</si>
  <si>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</si>
  <si>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</si>
  <si>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</si>
  <si>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</si>
  <si>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</si>
  <si>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</si>
  <si>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</si>
  <si>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</si>
  <si>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</si>
  <si>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</si>
  <si>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</si>
  <si>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</si>
  <si>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</si>
  <si>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</si>
  <si>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</si>
  <si>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</si>
  <si>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</si>
  <si>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</si>
  <si>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</si>
  <si>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</si>
  <si>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</si>
  <si>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</si>
  <si>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</si>
  <si>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</si>
  <si>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</si>
  <si>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</si>
  <si>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</si>
  <si>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</si>
  <si>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</si>
  <si>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</si>
  <si>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</si>
  <si>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</si>
  <si>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</si>
  <si>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</si>
  <si>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</si>
  <si>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</si>
  <si>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</si>
  <si>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</si>
  <si>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</si>
  <si>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</si>
  <si>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</si>
  <si>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</si>
  <si>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</si>
  <si>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</si>
  <si>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</si>
  <si>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</si>
  <si>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</si>
  <si>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</si>
  <si>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</si>
  <si>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</si>
  <si>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</si>
  <si>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</si>
  <si>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</si>
  <si>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</si>
  <si>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</si>
  <si>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</si>
  <si>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</si>
  <si>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</si>
  <si>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</si>
  <si>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</si>
  <si>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</si>
  <si>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</si>
  <si>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</si>
  <si>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</si>
  <si>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</si>
  <si>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</si>
  <si>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</si>
  <si>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</si>
  <si>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</si>
  <si>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</si>
  <si>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</si>
  <si>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</si>
  <si>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</si>
  <si>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</si>
  <si>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</si>
  <si>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</si>
  <si>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</si>
  <si>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</si>
  <si>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</si>
  <si>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</si>
  <si>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</si>
  <si>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</si>
  <si>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</si>
  <si>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</si>
  <si>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</si>
  <si>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</si>
  <si>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</si>
  <si>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</si>
  <si>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</si>
  <si>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</si>
  <si>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</si>
  <si>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</si>
  <si>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</si>
  <si>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</si>
  <si>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</si>
  <si>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</si>
  <si>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</si>
  <si>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</si>
  <si>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</si>
  <si>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</si>
  <si>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</si>
  <si>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</si>
  <si>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</si>
  <si>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</si>
  <si>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</si>
  <si>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</si>
  <si>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</si>
  <si>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</si>
  <si>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</si>
  <si>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</si>
  <si>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</si>
  <si>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</si>
  <si>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</si>
  <si>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</si>
  <si>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</si>
  <si>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</si>
  <si>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</si>
  <si>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</si>
  <si>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</si>
  <si>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</si>
  <si>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</si>
  <si>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</si>
  <si>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</si>
  <si>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</si>
  <si>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</si>
  <si>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</si>
  <si>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</si>
  <si>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</si>
  <si>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</si>
  <si>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</si>
  <si>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</si>
  <si>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</si>
  <si>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</si>
  <si>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</si>
  <si>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</si>
  <si>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</si>
  <si>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</si>
  <si>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</si>
  <si>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</si>
  <si>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</si>
  <si>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</si>
  <si>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</si>
  <si>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</si>
  <si>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</si>
  <si>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</si>
  <si>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</si>
  <si>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</si>
  <si>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</si>
  <si>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</si>
  <si>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</si>
  <si>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</si>
  <si>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</si>
  <si>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</si>
  <si>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</si>
  <si>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</si>
  <si>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</si>
  <si>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</si>
  <si>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</si>
  <si>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</si>
  <si>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</si>
  <si>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</si>
  <si>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</si>
  <si>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</si>
  <si>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</si>
  <si>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</si>
  <si>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</si>
  <si>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</si>
  <si>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</si>
  <si>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</si>
  <si>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</si>
  <si>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</si>
  <si>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</si>
  <si>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</si>
  <si>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</si>
  <si>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</si>
  <si>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</si>
  <si>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</si>
  <si>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</si>
  <si>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</si>
  <si>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</si>
  <si>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</si>
  <si>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</si>
  <si>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</si>
  <si>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</si>
  <si>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</si>
  <si>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</si>
  <si>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</si>
  <si>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</si>
  <si>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</si>
  <si>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</si>
  <si>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</si>
  <si>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</si>
  <si>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</si>
  <si>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</si>
  <si>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</si>
  <si>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</si>
  <si>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</si>
  <si>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</si>
  <si>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</si>
  <si>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</si>
  <si>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</si>
  <si>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</si>
  <si>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</si>
  <si>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</si>
  <si>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</si>
  <si>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</si>
  <si>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</si>
  <si>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</si>
  <si>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</si>
  <si>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</si>
  <si>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</si>
  <si>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</si>
  <si>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</si>
  <si>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</si>
  <si>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</si>
  <si>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</si>
  <si>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</si>
  <si>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</si>
  <si>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</si>
  <si>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</si>
  <si>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</si>
  <si>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</si>
  <si>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</si>
  <si>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</si>
  <si>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</si>
  <si>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</si>
  <si>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</si>
  <si>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</si>
  <si>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</si>
  <si>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</si>
  <si>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</si>
  <si>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</si>
  <si>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</si>
  <si>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</si>
  <si>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</si>
  <si>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</si>
  <si>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</si>
  <si>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</si>
  <si>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</si>
  <si>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</si>
  <si>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</si>
  <si>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</si>
  <si>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</si>
  <si>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</si>
  <si>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</si>
  <si>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</si>
  <si>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</si>
  <si>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</si>
  <si>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</si>
  <si>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</si>
  <si>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</si>
  <si>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</si>
  <si>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</si>
  <si>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</si>
  <si>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</si>
  <si>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</si>
  <si>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</si>
  <si>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</si>
  <si>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</si>
  <si>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</si>
  <si>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</si>
  <si>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</si>
  <si>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</si>
  <si>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</si>
  <si>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</si>
  <si>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</si>
  <si>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</si>
  <si>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</si>
  <si>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</si>
  <si>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</si>
  <si>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</si>
  <si>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</si>
  <si>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</si>
  <si>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</si>
  <si>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</si>
  <si>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</si>
  <si>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</si>
  <si>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</si>
  <si>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</si>
  <si>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</si>
  <si>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</si>
  <si>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</si>
  <si>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</si>
  <si>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</si>
  <si>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</si>
  <si>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</si>
  <si>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</si>
  <si>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</si>
  <si>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</si>
  <si>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</si>
  <si>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</si>
  <si>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</si>
  <si>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</si>
  <si>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</si>
  <si>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</si>
  <si>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</si>
  <si>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</si>
  <si>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</si>
  <si>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</si>
  <si>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</si>
  <si>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</si>
  <si>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</si>
  <si>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</si>
  <si>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</si>
  <si>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</si>
  <si>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</si>
  <si>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</si>
  <si>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</si>
  <si>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</si>
  <si>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</si>
  <si>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</si>
  <si>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</si>
  <si>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</si>
  <si>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</si>
  <si>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</si>
  <si>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</si>
  <si>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</si>
  <si>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</si>
  <si>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</si>
  <si>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</si>
  <si>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</si>
  <si>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</si>
  <si>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</si>
  <si>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</si>
  <si>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</si>
  <si>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</si>
  <si>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</si>
  <si>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</si>
  <si>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</si>
  <si>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</si>
  <si>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</si>
  <si>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</si>
  <si>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</si>
  <si>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</si>
  <si>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</si>
  <si>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</si>
  <si>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</si>
  <si>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</si>
  <si>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</si>
  <si>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</si>
  <si>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</si>
  <si>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</si>
  <si>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</si>
  <si>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</si>
  <si>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</si>
  <si>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</si>
  <si>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</si>
  <si>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</si>
  <si>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</si>
  <si>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</si>
  <si>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</si>
  <si>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</si>
  <si>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</si>
  <si>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</si>
  <si>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</si>
  <si>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</si>
  <si>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</si>
  <si>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</si>
  <si>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</si>
  <si>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</si>
  <si>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</si>
  <si>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</si>
  <si>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</si>
  <si>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</si>
  <si>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</si>
  <si>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</si>
  <si>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</si>
  <si>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</si>
  <si>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</si>
  <si>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</si>
  <si>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</si>
  <si>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</si>
  <si>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</si>
  <si>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</si>
  <si>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</si>
  <si>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</si>
  <si>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</si>
  <si>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</si>
  <si>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</si>
  <si>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</si>
  <si>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</si>
  <si>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</si>
  <si>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</si>
  <si>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</si>
  <si>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</si>
  <si>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</si>
  <si>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</si>
  <si>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</si>
  <si>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</si>
  <si>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</si>
  <si>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</si>
  <si>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</si>
  <si>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</si>
  <si>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</si>
  <si>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</si>
  <si>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</si>
  <si>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</si>
  <si>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</si>
  <si>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</si>
  <si>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</si>
  <si>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</si>
  <si>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</si>
  <si>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</si>
  <si>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</si>
  <si>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</si>
  <si>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</si>
  <si>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</si>
  <si>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</si>
  <si>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</si>
  <si>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</si>
  <si>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</si>
  <si>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</si>
  <si>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</si>
  <si>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</si>
  <si>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</si>
  <si>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</si>
  <si>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</si>
  <si>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</si>
  <si>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</si>
  <si>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</si>
  <si>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</si>
  <si>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</si>
  <si>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</si>
  <si>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</si>
  <si>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</si>
  <si>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</si>
  <si>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</si>
  <si>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</si>
  <si>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</si>
  <si>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</si>
  <si>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</si>
  <si>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</si>
  <si>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</si>
  <si>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</si>
  <si>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</si>
  <si>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</si>
  <si>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</si>
  <si>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</si>
  <si>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</si>
  <si>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</si>
  <si>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</si>
  <si>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</si>
  <si>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</si>
  <si>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</si>
  <si>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</si>
  <si>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</si>
  <si>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</si>
  <si>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</si>
  <si>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</si>
  <si>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</si>
  <si>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</si>
  <si>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</si>
  <si>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</si>
  <si>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</si>
  <si>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</si>
  <si>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</si>
  <si>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</si>
  <si>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</si>
  <si>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</si>
  <si>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</si>
  <si>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</si>
  <si>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</si>
  <si>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</si>
  <si>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</si>
  <si>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</si>
  <si>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</si>
  <si>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</si>
  <si>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</si>
  <si>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</si>
  <si>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</si>
  <si>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</si>
  <si>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</si>
  <si>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</si>
  <si>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</si>
  <si>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</si>
  <si>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</si>
  <si>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</si>
  <si>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</si>
  <si>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</si>
  <si>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</si>
  <si>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</si>
  <si>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</si>
  <si>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</si>
  <si>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</si>
  <si>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</si>
  <si>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</si>
  <si>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</si>
  <si>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</si>
  <si>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</si>
  <si>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</si>
  <si>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</si>
  <si>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</si>
  <si>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</si>
  <si>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</si>
  <si>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</si>
  <si>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</si>
  <si>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</si>
  <si>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</si>
  <si>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</si>
  <si>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</si>
  <si>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</si>
  <si>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</si>
  <si>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</si>
  <si>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</si>
  <si>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</si>
  <si>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</si>
  <si>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</si>
  <si>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</si>
  <si>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</si>
  <si>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</si>
  <si>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</si>
  <si>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</si>
  <si>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</si>
  <si>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</si>
  <si>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</si>
  <si>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</si>
  <si>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</si>
  <si>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</si>
  <si>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</si>
  <si>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</si>
  <si>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</si>
  <si>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</si>
  <si>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</si>
  <si>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</si>
  <si>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</si>
  <si>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</si>
  <si>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</si>
  <si>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</si>
  <si>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</si>
  <si>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</si>
  <si>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</si>
  <si>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</si>
  <si>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</si>
  <si>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</si>
  <si>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</si>
  <si>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</si>
  <si>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</si>
  <si>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</si>
  <si>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</si>
  <si>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</si>
  <si>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</si>
  <si>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</si>
  <si>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</si>
  <si>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</si>
  <si>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</si>
  <si>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</si>
  <si>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</si>
  <si>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</si>
  <si>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</si>
  <si>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</si>
  <si>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</si>
  <si>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</si>
  <si>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</si>
  <si>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</si>
  <si>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</si>
  <si>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</si>
  <si>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</si>
  <si>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</si>
  <si>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</si>
  <si>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</si>
  <si>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</si>
  <si>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</si>
  <si>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</si>
  <si>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</si>
  <si>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</si>
  <si>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</si>
  <si>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</si>
  <si>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</si>
  <si>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</si>
  <si>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</si>
  <si>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</si>
  <si>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</si>
  <si>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</si>
  <si>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</si>
  <si>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</si>
  <si>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</si>
  <si>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</si>
  <si>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</si>
  <si>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</si>
  <si>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</si>
  <si>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</si>
  <si>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</si>
  <si>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</si>
  <si>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</si>
  <si>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</si>
  <si>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</si>
  <si>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</si>
  <si>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</si>
  <si>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</si>
  <si>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</si>
  <si>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</si>
  <si>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</si>
  <si>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</si>
  <si>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</si>
  <si>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</si>
  <si>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</si>
  <si>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</si>
  <si>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</si>
  <si>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</si>
  <si>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</si>
  <si>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</si>
  <si>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</si>
  <si>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</si>
  <si>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</si>
  <si>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</si>
  <si>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</si>
  <si>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</si>
  <si>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</si>
  <si>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</si>
  <si>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</si>
  <si>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</si>
  <si>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</si>
  <si>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</si>
  <si>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</si>
  <si>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</si>
  <si>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</si>
  <si>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</si>
  <si>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</si>
  <si>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</si>
  <si>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</si>
  <si>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</si>
  <si>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</si>
  <si>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</si>
  <si>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</si>
  <si>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</si>
  <si>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</si>
  <si>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</si>
  <si>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</si>
  <si>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</si>
  <si>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</si>
  <si>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</si>
  <si>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</si>
  <si>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</si>
  <si>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</si>
  <si>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</si>
  <si>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</si>
  <si>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</si>
  <si>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</si>
  <si>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</si>
  <si>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</si>
  <si>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</si>
  <si>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</si>
  <si>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</si>
  <si>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</si>
  <si>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</si>
  <si>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</si>
  <si>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</si>
  <si>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</si>
  <si>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</si>
  <si>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</si>
  <si>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</si>
  <si>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</si>
  <si>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</si>
  <si>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</si>
  <si>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</si>
  <si>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</si>
  <si>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</si>
  <si>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</si>
  <si>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</si>
  <si>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</si>
  <si>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</si>
  <si>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</si>
  <si>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</si>
  <si>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</si>
  <si>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</si>
  <si>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</si>
  <si>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</si>
  <si>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</si>
  <si>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</si>
  <si>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</si>
  <si>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</si>
  <si>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</si>
  <si>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</si>
  <si>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</si>
  <si>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</si>
  <si>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</si>
  <si>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</si>
  <si>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</si>
  <si>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</si>
  <si>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</si>
  <si>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</si>
  <si>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</si>
  <si>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</si>
  <si>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</si>
  <si>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</si>
  <si>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</si>
  <si>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</si>
  <si>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</si>
  <si>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</si>
  <si>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</si>
  <si>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</si>
  <si>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</si>
  <si>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</si>
  <si>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</si>
  <si>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</si>
  <si>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</si>
  <si>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</si>
  <si>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</si>
  <si>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</si>
  <si>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</si>
  <si>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</si>
  <si>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</si>
  <si>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</si>
  <si>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</si>
  <si>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</si>
  <si>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</si>
  <si>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</si>
  <si>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</si>
  <si>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</si>
  <si>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</si>
  <si>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</si>
  <si>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</si>
  <si>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</si>
  <si>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</si>
  <si>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</si>
  <si>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</si>
  <si>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</si>
  <si>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</si>
  <si>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</si>
  <si>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</si>
  <si>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</si>
  <si>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</si>
  <si>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</si>
  <si>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</si>
  <si>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</si>
  <si>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</si>
  <si>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</si>
  <si>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</si>
  <si>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เลขห้อง</t>
  </si>
  <si>
    <t>อาคารประปา</t>
  </si>
  <si>
    <t>ห้องพักเจ้าหน้าที่</t>
  </si>
  <si>
    <t>อาคารผู้โดยสารระหว่างประเทศ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</si>
  <si>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</si>
  <si>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>อุปกรณ์กระจายสัญญาณเครือข่ายรวมแบบที่ 2 (Aggregation Switch Type 2)</t>
  </si>
  <si>
    <t>อุปกรณ์ควบคุมการเข้าถึงระบบเครือข่ายแบบที่ 2 (Access Control Type 2)</t>
  </si>
  <si>
    <t>อุปกรณ์เชื่อมต่อระบบกับเครือข่ายภายนอกแบบที่ 2 (Extranet Switch Type 2)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</si>
  <si>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</si>
  <si>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</si>
  <si>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</si>
  <si>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</si>
  <si>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ห้องสื่อสาร A12</t>
  </si>
  <si>
    <t>A12</t>
  </si>
  <si>
    <t>ห้องสื่อสาร A14</t>
  </si>
  <si>
    <t>A14</t>
  </si>
  <si>
    <t>ห้องสื่อสาร A13</t>
  </si>
  <si>
    <t>A13</t>
  </si>
  <si>
    <t>ห้องสื่อสาร A21</t>
  </si>
  <si>
    <t>A21</t>
  </si>
  <si>
    <t>ห้องสื่อสาร A24</t>
  </si>
  <si>
    <t>A24</t>
  </si>
  <si>
    <t>ห้องสื่อสาร A25</t>
  </si>
  <si>
    <t>A25</t>
  </si>
  <si>
    <t>ห้องสื่อสาร A32</t>
  </si>
  <si>
    <t>A32</t>
  </si>
  <si>
    <t>ห้องสื่อสาร A33</t>
  </si>
  <si>
    <t>A33</t>
  </si>
  <si>
    <t>ห้องสื่อสาร A10</t>
  </si>
  <si>
    <t>A10</t>
  </si>
  <si>
    <t>ห้องสื่อสาร A22</t>
  </si>
  <si>
    <t>A22</t>
  </si>
  <si>
    <t>ห้องสื่อสาร A23</t>
  </si>
  <si>
    <t>A23</t>
  </si>
  <si>
    <t>ห้องสื่อสาร A31</t>
  </si>
  <si>
    <t>A31</t>
  </si>
  <si>
    <t>ห้องสื่อสาร A41</t>
  </si>
  <si>
    <t>A41</t>
  </si>
  <si>
    <t>ห้องสื่อสาร A42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</si>
  <si>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</si>
  <si>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</si>
  <si>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</si>
  <si>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</si>
  <si>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</si>
  <si>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</si>
  <si>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</si>
  <si>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</si>
  <si>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</si>
  <si>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</si>
  <si>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</si>
  <si>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</si>
  <si>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</si>
  <si>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t>อาคารสำนักงาน</t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</si>
  <si>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</si>
  <si>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</si>
  <si>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</si>
  <si>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</si>
  <si>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</si>
  <si>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</si>
  <si>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</t>
  </si>
  <si>
    <t>ห้องสำนักงาน (เพิ่ม)</t>
  </si>
  <si>
    <t>ห้องเครื่อง ชั้น 2</t>
  </si>
  <si>
    <t>อาคารผู้โดยสารภายในประเทศ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</si>
  <si>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</si>
  <si>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ห้อง EOC ชั้น 3</t>
  </si>
  <si>
    <t>ห้องสื่อสาร B11</t>
  </si>
  <si>
    <t>B11</t>
  </si>
  <si>
    <t>ห้องสื่อสาร B12</t>
  </si>
  <si>
    <t>B12</t>
  </si>
  <si>
    <t>ห้องสื่อสาร B13</t>
  </si>
  <si>
    <t>B13</t>
  </si>
  <si>
    <t>ห้องสื่อสาร B21</t>
  </si>
  <si>
    <t>B21</t>
  </si>
  <si>
    <t>ห้องสื่อสาร B24</t>
  </si>
  <si>
    <t>B24</t>
  </si>
  <si>
    <t>ห้องสื่อสาร B22</t>
  </si>
  <si>
    <t>B22</t>
  </si>
  <si>
    <t>ห้องสื่อสาร B31</t>
  </si>
  <si>
    <t>B31</t>
  </si>
  <si>
    <t>ห้องสื่อสาร B32</t>
  </si>
  <si>
    <t>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</si>
  <si>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</si>
  <si>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</si>
  <si>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</si>
  <si>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</si>
  <si>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</si>
  <si>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</si>
  <si>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</si>
  <si>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</si>
  <si>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t>อุปกรณ์กระจายสัญญาณเครือข่ายแบบที่ 3 (Access Switch Type 3)</t>
  </si>
  <si>
    <t>อาคารไฟฟ้าย่อย 115kV</t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</si>
  <si>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</si>
  <si>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t>ป้อมยามขาเข้าหน้าอาคาร domestric</t>
  </si>
  <si>
    <t>ห้องเจ้าหน้าที่</t>
  </si>
  <si>
    <t>อาคารหนีภัยสึนามิ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</si>
  <si>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</si>
  <si>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t>ห้อง Control Post 1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</si>
  <si>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</si>
  <si>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t>ห้อง Control Post 3</t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</si>
  <si>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</si>
  <si>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</si>
  <si>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</si>
  <si>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</si>
  <si>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</si>
  <si>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</si>
  <si>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</si>
  <si>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</si>
  <si>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</si>
  <si>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</si>
  <si>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</si>
  <si>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</si>
  <si>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</si>
  <si>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</si>
  <si>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</si>
  <si>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</si>
  <si>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</si>
  <si>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</si>
  <si>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</si>
  <si>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</si>
  <si>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จำนวนตาม TOR</t>
  </si>
  <si>
    <t>จำนวนจริง</t>
  </si>
  <si>
    <t>Cisco/C9300L-24UXG-4X</t>
  </si>
  <si>
    <t> </t>
  </si>
  <si>
    <t>ห้อง Data Server</t>
  </si>
  <si>
    <t>Cisco/C9300L-24T-4X</t>
  </si>
  <si>
    <t>Cisco/C9500-48Y4C</t>
  </si>
  <si>
    <t>Cisco/C9800-L-F</t>
  </si>
  <si>
    <t>Cisco/SNS-3715</t>
  </si>
  <si>
    <t>Cisco/C9500-24Y4C</t>
  </si>
  <si>
    <t>Cisco/C9407R</t>
  </si>
  <si>
    <t>อุปกรณ์กระจายสัญญาณเครือข่ายรองแบบที่ 2 (Distribute Switch Type 2)</t>
  </si>
  <si>
    <t>Cisco/C9300L-48T-4X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</si>
  <si>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</si>
  <si>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</si>
  <si>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</si>
  <si>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</si>
  <si>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</si>
  <si>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</si>
  <si>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ชั้น 1 ฝั่งทิศเหนือ</t>
  </si>
  <si>
    <t xml:space="preserve">ชื่อห้องเดิมคือ ฝั่งทิศใต้  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</si>
  <si>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</si>
  <si>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</si>
  <si>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</si>
  <si>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</si>
  <si>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</si>
  <si>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</si>
  <si>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</si>
  <si>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</si>
  <si>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</si>
  <si>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</si>
  <si>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</si>
  <si>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</si>
  <si>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 Comm Room</t>
  </si>
  <si>
    <t xml:space="preserve">ชื่อห้องเดิมคือ ห้อง Data Center  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</si>
  <si>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</si>
  <si>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</si>
  <si>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</si>
  <si>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</si>
  <si>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</si>
  <si>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Cisco/C9300L-48UXG-4X</t>
  </si>
  <si>
    <t> '-</t>
  </si>
  <si>
    <t>อาคาร Bird Control Unit</t>
  </si>
  <si>
    <t xml:space="preserve">ชื่ออาคารเดิมคือ อาคารดับเพลิงเก่า  </t>
  </si>
  <si>
    <t>อาคาร Control Post 1</t>
  </si>
  <si>
    <t xml:space="preserve">ชื่ออาคารเดิมคือ อาคาร Control Post </t>
  </si>
  <si>
    <t>อาคาร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</si>
  <si>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</si>
  <si>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</si>
  <si>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</si>
  <si>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</si>
  <si>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</si>
  <si>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</si>
  <si>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</si>
  <si>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</si>
  <si>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</si>
  <si>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</si>
  <si>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</si>
  <si>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</si>
  <si>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</si>
  <si>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</si>
  <si>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</si>
  <si>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</si>
  <si>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</si>
  <si>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</si>
  <si>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</si>
  <si>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</si>
  <si>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</si>
  <si>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</si>
  <si>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</si>
  <si>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</si>
  <si>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</si>
  <si>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</si>
  <si>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</si>
  <si>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</si>
  <si>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</si>
  <si>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</si>
  <si>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</si>
  <si>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</si>
  <si>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</si>
  <si>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</si>
  <si>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</si>
  <si>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</si>
  <si>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</si>
  <si>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</si>
  <si>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</si>
  <si>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</si>
  <si>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</si>
  <si>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</si>
  <si>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</si>
  <si>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</si>
  <si>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</si>
  <si>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</si>
  <si>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</si>
  <si>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</si>
  <si>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</si>
  <si>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</si>
  <si>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</si>
  <si>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</si>
  <si>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</si>
  <si>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t>อาคารสถานีกู้ภัยทางทะเล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</si>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</sst>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56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67" fontId="8" fillId="0" borderId="3" xfId="3" applyNumberFormat="1" applyFont="1" applyBorder="1" applyAlignment="1">
      <alignment horizontal="center" vertical="center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23" xfId="0" applyFont="1" applyBorder="1" applyAlignment="1">
      <alignment horizontal="center"/>
    </xf>
    <xf numFmtId="0" fontId="8" fillId="0" borderId="2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8" fillId="0" borderId="23" xfId="0" applyFont="1" applyBorder="1" applyAlignment="1">
      <alignment horizontal="left" vertical="center"/>
    </xf>
    <xf numFmtId="0" fontId="41" fillId="0" borderId="25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40" xfId="0" applyFont="1" applyBorder="1" applyAlignment="1">
      <alignment horizontal="center"/>
    </xf>
    <xf numFmtId="0" fontId="93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4" fillId="23" borderId="1" xfId="0" applyFont="1" applyFill="1" applyBorder="1" applyAlignment="1">
      <alignment horizontal="center" vertical="center" wrapText="1"/>
    </xf>
    <xf numFmtId="0" fontId="95" fillId="23" borderId="1" xfId="0" applyFont="1" applyFill="1" applyBorder="1" applyAlignment="1">
      <alignment horizontal="center" vertical="center" wrapText="1"/>
    </xf>
    <xf numFmtId="0" fontId="93" fillId="6" borderId="17" xfId="0" applyFont="1" applyFill="1" applyBorder="1" applyAlignment="1">
      <alignment horizontal="left" vertical="center" wrapText="1"/>
    </xf>
    <xf numFmtId="0" fontId="93" fillId="6" borderId="17" xfId="0" applyFont="1" applyFill="1" applyBorder="1" applyAlignment="1">
      <alignment horizontal="center" vertical="center"/>
    </xf>
    <xf numFmtId="0" fontId="93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41" fillId="0" borderId="23" xfId="0" applyFont="1" applyBorder="1" applyAlignment="1">
      <alignment horizontal="center" wrapText="1"/>
    </xf>
    <xf numFmtId="0" fontId="41" fillId="0" borderId="23" xfId="0" applyFont="1" applyBorder="1" applyAlignment="1">
      <alignment horizontal="center"/>
    </xf>
    <xf numFmtId="0" fontId="41" fillId="0" borderId="23" xfId="0" quotePrefix="1" applyFont="1" applyBorder="1" applyAlignment="1">
      <alignment horizontal="center" wrapText="1"/>
    </xf>
    <xf numFmtId="0" fontId="25" fillId="0" borderId="23" xfId="0" applyFont="1" applyBorder="1" applyAlignment="1">
      <alignment horizontal="left" vertical="top"/>
    </xf>
    <xf numFmtId="0" fontId="90" fillId="0" borderId="23" xfId="0" applyFont="1" applyBorder="1" applyAlignment="1">
      <alignment horizontal="center" wrapText="1"/>
    </xf>
    <xf numFmtId="0" fontId="90" fillId="0" borderId="23" xfId="0" applyFont="1" applyBorder="1" applyAlignment="1">
      <alignment horizontal="center"/>
    </xf>
    <xf numFmtId="0" fontId="90" fillId="0" borderId="23" xfId="0" quotePrefix="1" applyFont="1" applyBorder="1" applyAlignment="1">
      <alignment horizontal="center" wrapText="1"/>
    </xf>
    <xf numFmtId="0" fontId="25" fillId="0" borderId="23" xfId="0" quotePrefix="1" applyFont="1" applyBorder="1" applyAlignment="1">
      <alignment horizontal="left" vertical="top" wrapText="1"/>
    </xf>
    <xf numFmtId="0" fontId="90" fillId="0" borderId="23" xfId="0" applyFont="1" applyBorder="1" applyAlignment="1">
      <alignment horizontal="center" vertical="center" wrapText="1"/>
    </xf>
    <xf numFmtId="0" fontId="90" fillId="0" borderId="23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top" wrapText="1"/>
    </xf>
    <xf numFmtId="0" fontId="41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171" fontId="10" fillId="0" borderId="2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1" fillId="0" borderId="6" xfId="8" applyBorder="1"/>
    <xf numFmtId="0" fontId="1" fillId="0" borderId="5" xfId="8" applyBorder="1"/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41" fillId="0" borderId="23" xfId="0" applyFont="1" applyBorder="1" applyAlignment="1">
      <alignment horizontal="left" vertical="top"/>
    </xf>
    <xf numFmtId="0" fontId="40" fillId="0" borderId="23" xfId="0" applyFont="1" applyBorder="1" applyAlignment="1">
      <alignment horizontal="left" wrapText="1"/>
    </xf>
    <xf numFmtId="0" fontId="26" fillId="6" borderId="2" xfId="0" applyFont="1" applyFill="1" applyBorder="1" applyAlignment="1">
      <alignment horizontal="center" vertical="center"/>
    </xf>
    <xf numFmtId="0" fontId="91" fillId="0" borderId="23" xfId="0" applyFont="1" applyBorder="1" applyAlignment="1">
      <alignment horizontal="left" wrapText="1"/>
    </xf>
    <xf numFmtId="0" fontId="41" fillId="0" borderId="23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15" fillId="7" borderId="8" xfId="0" applyFont="1" applyFill="1" applyBorder="1" applyAlignment="1">
      <alignment horizontal="left" vertical="top" wrapText="1"/>
    </xf>
    <xf numFmtId="170" fontId="25" fillId="0" borderId="24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 wrapText="1"/>
    </xf>
    <xf numFmtId="0" fontId="41" fillId="0" borderId="26" xfId="0" applyFont="1" applyBorder="1" applyAlignment="1">
      <alignment horizontal="left" wrapText="1"/>
    </xf>
    <xf numFmtId="0" fontId="13" fillId="0" borderId="24" xfId="0" applyFont="1" applyBorder="1" applyAlignment="1">
      <alignment horizontal="center"/>
    </xf>
    <xf numFmtId="9" fontId="11" fillId="0" borderId="24" xfId="0" applyNumberFormat="1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8" fillId="0" borderId="40" xfId="0" applyFont="1" applyBorder="1" applyAlignment="1">
      <alignment horizontal="center" vertical="center"/>
    </xf>
    <xf numFmtId="170" fontId="25" fillId="0" borderId="23" xfId="0" quotePrefix="1" applyNumberFormat="1" applyFont="1" applyBorder="1" applyAlignment="1">
      <alignment horizontal="center" vertical="center"/>
    </xf>
    <xf numFmtId="0" fontId="41" fillId="0" borderId="23" xfId="0" quotePrefix="1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9" fontId="10" fillId="0" borderId="23" xfId="3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2" xfId="0" applyFont="1" applyFill="1" applyBorder="1" applyAlignment="1">
      <alignment horizontal="left" vertical="top" wrapText="1"/>
    </xf>
    <xf numFmtId="0" fontId="7" fillId="5" borderId="3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left" vertical="top" wrapText="1"/>
    </xf>
    <xf numFmtId="0" fontId="41" fillId="0" borderId="4" xfId="0" applyFont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170" fontId="8" fillId="9" borderId="1" xfId="3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9" xfId="0" applyFont="1" applyBorder="1" applyAlignment="1">
      <alignment horizontal="left" vertical="top" wrapText="1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0" fontId="7" fillId="5" borderId="8" xfId="0" applyFont="1" applyFill="1" applyBorder="1" applyAlignment="1">
      <alignment horizontal="left" vertical="top" wrapText="1"/>
    </xf>
    <xf numFmtId="0" fontId="7" fillId="5" borderId="9" xfId="0" applyFont="1" applyFill="1" applyBorder="1" applyAlignment="1">
      <alignment vertical="top" wrapText="1"/>
    </xf>
    <xf numFmtId="0" fontId="7" fillId="5" borderId="9" xfId="0" applyFont="1" applyFill="1" applyBorder="1" applyAlignment="1">
      <alignment horizontal="left" vertical="top" wrapText="1"/>
    </xf>
    <xf numFmtId="0" fontId="7" fillId="5" borderId="10" xfId="0" applyFont="1" applyFill="1" applyBorder="1" applyAlignment="1">
      <alignment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85" borderId="2" xfId="0" applyFont="1" applyFill="1" applyBorder="1" applyAlignment="1">
      <alignment horizontal="left" vertical="top" wrapText="1"/>
    </xf>
    <xf numFmtId="0" fontId="41" fillId="85" borderId="4" xfId="0" applyFont="1" applyFill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7" fillId="5" borderId="10" xfId="0" applyFont="1" applyFill="1" applyBorder="1" applyAlignment="1">
      <alignment horizontal="left" vertical="top" wrapText="1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0" fontId="8" fillId="0" borderId="18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left" vertical="top" wrapText="1"/>
    </xf>
    <xf numFmtId="0" fontId="41" fillId="9" borderId="4" xfId="0" applyFont="1" applyFill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170" fontId="8" fillId="9" borderId="2" xfId="3" applyNumberFormat="1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20" borderId="2" xfId="0" applyFont="1" applyFill="1" applyBorder="1" applyAlignment="1">
      <alignment horizontal="left" vertical="top" wrapText="1"/>
    </xf>
    <xf numFmtId="0" fontId="41" fillId="20" borderId="4" xfId="0" applyFont="1" applyFill="1" applyBorder="1" applyAlignment="1">
      <alignment horizontal="left" vertical="top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25" fillId="0" borderId="2" xfId="0" applyNumberFormat="1" applyFont="1" applyBorder="1" applyAlignment="1">
      <alignment horizontal="center" vertical="center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7" fillId="8" borderId="2" xfId="0" applyFont="1" applyFill="1" applyBorder="1" applyAlignment="1">
      <alignment horizontal="left" vertical="top" wrapText="1"/>
    </xf>
    <xf numFmtId="0" fontId="7" fillId="8" borderId="4" xfId="0" applyFont="1" applyFill="1" applyBorder="1" applyAlignment="1">
      <alignment horizontal="left"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25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65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41" fillId="0" borderId="25" xfId="0" applyFont="1" applyBorder="1" applyAlignment="1">
      <alignment horizontal="left" vertical="center" wrapText="1"/>
    </xf>
    <xf numFmtId="0" fontId="41" fillId="0" borderId="23" xfId="0" applyFont="1" applyBorder="1" applyAlignment="1">
      <alignment horizontal="left" vertical="top"/>
    </xf>
    <xf numFmtId="0" fontId="40" fillId="0" borderId="23" xfId="0" applyFont="1" applyBorder="1" applyAlignment="1">
      <alignment horizontal="left" wrapText="1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91" fillId="0" borderId="23" xfId="0" applyFont="1" applyBorder="1" applyAlignment="1">
      <alignment horizontal="left" wrapText="1"/>
    </xf>
    <xf numFmtId="0" fontId="92" fillId="0" borderId="23" xfId="0" applyFont="1" applyBorder="1" applyAlignment="1">
      <alignment horizontal="left" wrapText="1"/>
    </xf>
    <xf numFmtId="0" fontId="40" fillId="0" borderId="38" xfId="0" applyFont="1" applyBorder="1" applyAlignment="1">
      <alignment horizontal="left" wrapText="1"/>
    </xf>
    <xf numFmtId="0" fontId="40" fillId="0" borderId="23" xfId="0" applyFont="1" applyBorder="1" applyAlignment="1">
      <alignment horizontal="left"/>
    </xf>
    <xf numFmtId="0" fontId="26" fillId="6" borderId="1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left" vertical="center" wrapText="1"/>
    </xf>
    <xf numFmtId="0" fontId="41" fillId="0" borderId="26" xfId="0" applyFont="1" applyBorder="1" applyAlignment="1">
      <alignment horizontal="left" vertical="center" wrapText="1"/>
    </xf>
    <xf numFmtId="0" fontId="41" fillId="0" borderId="23" xfId="0" applyFont="1" applyBorder="1" applyAlignment="1">
      <alignment horizontal="left"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34" fillId="7" borderId="9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0CD8011-ABDF-4F8D-A1DA-2645FAE702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69AB0C9-1935-4F18-A8C9-AC73F201680A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6EE1A84-9F51-4C19-93FD-0794D45795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D7B260F-6265-4DAD-9358-6B70B6B205D5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543D411-954E-4159-8C85-8C19F586CD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BBA611D-C275-48A8-81D0-E112719E6DC5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AB2DF0-EC2F-4018-98B9-5085CC7F3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D60FED8-4069-4748-8612-ABEAC2F3429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082A56C-2C9F-4824-B8B1-9366121D06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F7952E1-F09E-4D63-AA94-E022AC2886E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8DB5CAE-585B-485D-8DE7-BC9229ECCC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8851270-E2BB-4F1A-B97A-C9B13ADD132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40A2316-E4F5-4044-91A7-9AFF4AD0A3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E654230-35DE-4F02-9EC8-DBFCD9E878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C2F1A8F-93F5-4624-9791-3A928777C8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20183CF-077E-4238-A260-8A651F6632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85A3BCC-2B40-4D0A-8117-E930044D32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2E13595-A467-44DC-B530-C8AAB94A73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HKT!G96</f>
        <v>2.9702970297029702E-2</v>
      </c>
      <c r="D29" s="62"/>
      <c r="E29" s="55"/>
    </row>
    <row r="30" spans="1:5">
      <c r="A30" s="59"/>
      <c r="B30" s="60" t="s">
        <v>13</v>
      </c>
      <c r="C30" s="61">
        <f>HKT!H96</f>
        <v>2.9702970297029702E-2</v>
      </c>
      <c r="D30" s="62"/>
      <c r="E30" s="55"/>
    </row>
    <row r="31" spans="1:5">
      <c r="A31" s="59"/>
      <c r="B31" s="60" t="s">
        <v>14</v>
      </c>
      <c r="C31" s="61">
        <f>HKT!I96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U96"/>
  <sheetViews>
    <sheetView topLeftCell="I1" zoomScale="70" zoomScaleNormal="70" workbookViewId="0">
      <pane ySplit="2" topLeftCell="A3" activePane="bottomLeft" state="frozen"/>
      <selection pane="bottomLeft" activeCell="T1" sqref="T1:U1048576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60.6640625" style="226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7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1" customWidth="1"/>
    <col min="22" max="16384" width="120.6640625" style="194"/>
  </cols>
  <sheetData>
    <row r="1" spans="1:21" ht="42">
      <c r="A1" s="900" t="s">
        <v>15</v>
      </c>
      <c r="B1" s="899" t="s">
        <v>16</v>
      </c>
      <c r="C1" s="900" t="s">
        <v>17</v>
      </c>
      <c r="D1" s="900" t="s">
        <v>18</v>
      </c>
      <c r="E1" s="900" t="s">
        <v>19</v>
      </c>
      <c r="F1" s="877" t="s">
        <v>20</v>
      </c>
      <c r="G1" s="877" t="s">
        <v>21</v>
      </c>
      <c r="H1" s="879" t="s">
        <v>22</v>
      </c>
      <c r="I1" s="879"/>
      <c r="J1" s="963" t="s">
        <v>23</v>
      </c>
      <c r="K1" s="963" t="s">
        <v>24</v>
      </c>
      <c r="L1" s="963" t="s">
        <v>3</v>
      </c>
      <c r="M1" s="976" t="s">
        <v>25</v>
      </c>
      <c r="N1" s="959" t="s">
        <v>26</v>
      </c>
      <c r="O1" s="961" t="s">
        <v>27</v>
      </c>
      <c r="P1" s="961" t="s">
        <v>28</v>
      </c>
      <c r="Q1" s="955" t="s">
        <v>29</v>
      </c>
      <c r="R1" s="957" t="s">
        <v>30</v>
      </c>
      <c r="S1" s="726" t="s">
        <v>31</v>
      </c>
      <c r="T1" s="539" t="s">
        <v>32</v>
      </c>
      <c r="U1" s="540" t="s">
        <v>33</v>
      </c>
    </row>
    <row r="2" spans="1:21" ht="21">
      <c r="A2" s="900"/>
      <c r="B2" s="899"/>
      <c r="C2" s="900"/>
      <c r="D2" s="900"/>
      <c r="E2" s="900"/>
      <c r="F2" s="878"/>
      <c r="G2" s="878"/>
      <c r="H2" s="771" t="s">
        <v>34</v>
      </c>
      <c r="I2" s="771" t="s">
        <v>35</v>
      </c>
      <c r="J2" s="964"/>
      <c r="K2" s="964"/>
      <c r="L2" s="964"/>
      <c r="M2" s="900"/>
      <c r="N2" s="960"/>
      <c r="O2" s="962"/>
      <c r="P2" s="962"/>
      <c r="Q2" s="956"/>
      <c r="R2" s="958"/>
      <c r="S2" s="727"/>
      <c r="T2" s="510"/>
      <c r="U2" s="510"/>
    </row>
    <row r="3" spans="1:21" ht="21">
      <c r="A3" s="873" t="s">
        <v>36</v>
      </c>
      <c r="B3" s="845" t="s">
        <v>37</v>
      </c>
      <c r="C3" s="901">
        <v>1</v>
      </c>
      <c r="D3" s="363" t="s">
        <v>38</v>
      </c>
      <c r="E3" s="456" t="s">
        <v>39</v>
      </c>
      <c r="F3" s="457">
        <v>4</v>
      </c>
      <c r="G3" s="458">
        <v>0</v>
      </c>
      <c r="H3" s="904" t="s">
        <v>40</v>
      </c>
      <c r="I3" s="904" t="s">
        <v>40</v>
      </c>
      <c r="J3" s="973"/>
      <c r="K3" s="968" t="s">
        <v>40</v>
      </c>
      <c r="L3" s="904" t="s">
        <v>40</v>
      </c>
      <c r="M3" s="867" t="s">
        <v>41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</row>
    <row r="4" spans="1:21" ht="21">
      <c r="A4" s="874"/>
      <c r="B4" s="846"/>
      <c r="C4" s="902"/>
      <c r="D4" s="364" t="s">
        <v>42</v>
      </c>
      <c r="E4" s="775" t="s">
        <v>43</v>
      </c>
      <c r="F4" s="461">
        <v>1</v>
      </c>
      <c r="G4" s="458">
        <v>0</v>
      </c>
      <c r="H4" s="905"/>
      <c r="I4" s="905"/>
      <c r="J4" s="974"/>
      <c r="K4" s="969"/>
      <c r="L4" s="965"/>
      <c r="M4" s="868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</row>
    <row r="5" spans="1:21" ht="21" customHeight="1">
      <c r="A5" s="874"/>
      <c r="B5" s="845" t="s">
        <v>44</v>
      </c>
      <c r="C5" s="901">
        <v>2</v>
      </c>
      <c r="D5" s="352" t="s">
        <v>45</v>
      </c>
      <c r="E5" s="463" t="s">
        <v>46</v>
      </c>
      <c r="F5" s="464">
        <v>1</v>
      </c>
      <c r="G5" s="465">
        <v>1</v>
      </c>
      <c r="H5" s="910">
        <v>46056</v>
      </c>
      <c r="I5" s="910">
        <v>46094</v>
      </c>
      <c r="J5" s="910">
        <v>46056</v>
      </c>
      <c r="K5" s="970"/>
      <c r="L5" s="840" t="s">
        <v>47</v>
      </c>
      <c r="M5" s="859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</row>
    <row r="6" spans="1:21" ht="21" customHeight="1">
      <c r="A6" s="874"/>
      <c r="B6" s="906"/>
      <c r="C6" s="908"/>
      <c r="D6" s="352" t="s">
        <v>48</v>
      </c>
      <c r="E6" s="463" t="s">
        <v>49</v>
      </c>
      <c r="F6" s="468">
        <v>2</v>
      </c>
      <c r="G6" s="469">
        <v>2</v>
      </c>
      <c r="H6" s="911"/>
      <c r="I6" s="911"/>
      <c r="J6" s="911"/>
      <c r="K6" s="971"/>
      <c r="L6" s="841" t="s">
        <v>47</v>
      </c>
      <c r="M6" s="913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</row>
    <row r="7" spans="1:21" ht="21" customHeight="1">
      <c r="A7" s="874"/>
      <c r="B7" s="906"/>
      <c r="C7" s="908"/>
      <c r="D7" s="365" t="s">
        <v>38</v>
      </c>
      <c r="E7" s="463" t="s">
        <v>39</v>
      </c>
      <c r="F7" s="470">
        <v>7</v>
      </c>
      <c r="G7" s="471">
        <v>6</v>
      </c>
      <c r="H7" s="911"/>
      <c r="I7" s="911"/>
      <c r="J7" s="911"/>
      <c r="K7" s="971"/>
      <c r="L7" s="840" t="s">
        <v>47</v>
      </c>
      <c r="M7" s="913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</row>
    <row r="8" spans="1:21" ht="21" customHeight="1">
      <c r="A8" s="874"/>
      <c r="B8" s="907"/>
      <c r="C8" s="909"/>
      <c r="D8" s="776" t="s">
        <v>42</v>
      </c>
      <c r="E8" s="463" t="s">
        <v>43</v>
      </c>
      <c r="F8" s="353">
        <v>1</v>
      </c>
      <c r="G8" s="353">
        <v>1</v>
      </c>
      <c r="H8" s="911"/>
      <c r="I8" s="911"/>
      <c r="J8" s="911"/>
      <c r="K8" s="971"/>
      <c r="L8" s="840" t="s">
        <v>47</v>
      </c>
      <c r="M8" s="913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</row>
    <row r="9" spans="1:21" ht="21" customHeight="1">
      <c r="A9" s="874"/>
      <c r="B9" s="906"/>
      <c r="C9" s="908"/>
      <c r="D9" s="366" t="s">
        <v>50</v>
      </c>
      <c r="E9" s="463" t="s">
        <v>51</v>
      </c>
      <c r="F9" s="472">
        <v>4</v>
      </c>
      <c r="G9" s="473">
        <v>4</v>
      </c>
      <c r="H9" s="911"/>
      <c r="I9" s="911"/>
      <c r="J9" s="911"/>
      <c r="K9" s="971"/>
      <c r="L9" s="840" t="s">
        <v>47</v>
      </c>
      <c r="M9" s="913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</row>
    <row r="10" spans="1:21" ht="21" customHeight="1">
      <c r="A10" s="874"/>
      <c r="B10" s="906"/>
      <c r="C10" s="908"/>
      <c r="D10" s="352" t="s">
        <v>52</v>
      </c>
      <c r="E10" s="463" t="s">
        <v>53</v>
      </c>
      <c r="F10" s="464">
        <v>2</v>
      </c>
      <c r="G10" s="465">
        <v>2</v>
      </c>
      <c r="H10" s="911"/>
      <c r="I10" s="911"/>
      <c r="J10" s="911"/>
      <c r="K10" s="971"/>
      <c r="L10" s="840" t="s">
        <v>47</v>
      </c>
      <c r="M10" s="913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</row>
    <row r="11" spans="1:21" ht="21" customHeight="1">
      <c r="A11" s="874"/>
      <c r="B11" s="906"/>
      <c r="C11" s="908"/>
      <c r="D11" s="352" t="s">
        <v>54</v>
      </c>
      <c r="E11" s="463" t="s">
        <v>55</v>
      </c>
      <c r="F11" s="464">
        <v>3</v>
      </c>
      <c r="G11" s="465">
        <v>3</v>
      </c>
      <c r="H11" s="911"/>
      <c r="I11" s="911"/>
      <c r="J11" s="911"/>
      <c r="K11" s="971"/>
      <c r="L11" s="840" t="s">
        <v>47</v>
      </c>
      <c r="M11" s="913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</row>
    <row r="12" spans="1:21" ht="21" customHeight="1">
      <c r="A12" s="874"/>
      <c r="B12" s="906"/>
      <c r="C12" s="908"/>
      <c r="D12" s="352" t="s">
        <v>56</v>
      </c>
      <c r="E12" s="463" t="s">
        <v>57</v>
      </c>
      <c r="F12" s="464">
        <v>2</v>
      </c>
      <c r="G12" s="465">
        <v>2</v>
      </c>
      <c r="H12" s="911"/>
      <c r="I12" s="911"/>
      <c r="J12" s="911"/>
      <c r="K12" s="971"/>
      <c r="L12" s="840" t="s">
        <v>47</v>
      </c>
      <c r="M12" s="913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</row>
    <row r="13" spans="1:21" ht="21" customHeight="1">
      <c r="A13" s="874"/>
      <c r="B13" s="906"/>
      <c r="C13" s="908"/>
      <c r="D13" s="352" t="s">
        <v>58</v>
      </c>
      <c r="E13" s="463" t="s">
        <v>59</v>
      </c>
      <c r="F13" s="464">
        <v>2</v>
      </c>
      <c r="G13" s="465">
        <v>2</v>
      </c>
      <c r="H13" s="911"/>
      <c r="I13" s="911"/>
      <c r="J13" s="911"/>
      <c r="K13" s="971"/>
      <c r="L13" s="840" t="s">
        <v>47</v>
      </c>
      <c r="M13" s="913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</row>
    <row r="14" spans="1:21" ht="21" customHeight="1">
      <c r="A14" s="874"/>
      <c r="B14" s="906"/>
      <c r="C14" s="908"/>
      <c r="D14" s="352" t="s">
        <v>60</v>
      </c>
      <c r="E14" s="463" t="s">
        <v>61</v>
      </c>
      <c r="F14" s="464">
        <v>1</v>
      </c>
      <c r="G14" s="465">
        <v>1</v>
      </c>
      <c r="H14" s="911"/>
      <c r="I14" s="911"/>
      <c r="J14" s="911"/>
      <c r="K14" s="971"/>
      <c r="L14" s="840" t="s">
        <v>47</v>
      </c>
      <c r="M14" s="913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</row>
    <row r="15" spans="1:21" ht="21" customHeight="1">
      <c r="A15" s="874"/>
      <c r="B15" s="906"/>
      <c r="C15" s="908"/>
      <c r="D15" s="352" t="s">
        <v>62</v>
      </c>
      <c r="E15" s="463" t="s">
        <v>63</v>
      </c>
      <c r="F15" s="464">
        <v>2</v>
      </c>
      <c r="G15" s="465">
        <v>2</v>
      </c>
      <c r="H15" s="911"/>
      <c r="I15" s="911"/>
      <c r="J15" s="911"/>
      <c r="K15" s="971"/>
      <c r="L15" s="840" t="s">
        <v>47</v>
      </c>
      <c r="M15" s="913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</row>
    <row r="16" spans="1:21" ht="21" customHeight="1">
      <c r="A16" s="874"/>
      <c r="B16" s="846"/>
      <c r="C16" s="902"/>
      <c r="D16" s="352" t="s">
        <v>64</v>
      </c>
      <c r="E16" s="463" t="s">
        <v>65</v>
      </c>
      <c r="F16" s="468">
        <v>2</v>
      </c>
      <c r="G16" s="469">
        <v>2</v>
      </c>
      <c r="H16" s="912"/>
      <c r="I16" s="912"/>
      <c r="J16" s="912"/>
      <c r="K16" s="972"/>
      <c r="L16" s="840" t="s">
        <v>47</v>
      </c>
      <c r="M16" s="860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</row>
    <row r="17" spans="1:21" ht="21" customHeight="1">
      <c r="A17" s="874"/>
      <c r="B17" s="907" t="s">
        <v>66</v>
      </c>
      <c r="C17" s="901">
        <v>1</v>
      </c>
      <c r="D17" s="776" t="s">
        <v>38</v>
      </c>
      <c r="E17" s="475" t="s">
        <v>39</v>
      </c>
      <c r="F17" s="353">
        <v>6</v>
      </c>
      <c r="G17" s="353">
        <v>5</v>
      </c>
      <c r="H17" s="858">
        <v>46064</v>
      </c>
      <c r="I17" s="858">
        <v>46065</v>
      </c>
      <c r="J17" s="858">
        <v>46064</v>
      </c>
      <c r="K17" s="922">
        <v>46064</v>
      </c>
      <c r="L17" s="905" t="s">
        <v>67</v>
      </c>
      <c r="M17" s="914" t="s">
        <v>68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</row>
    <row r="18" spans="1:21" ht="21" customHeight="1">
      <c r="A18" s="874"/>
      <c r="B18" s="907"/>
      <c r="C18" s="902"/>
      <c r="D18" s="776" t="s">
        <v>42</v>
      </c>
      <c r="E18" s="476" t="s">
        <v>43</v>
      </c>
      <c r="F18" s="353">
        <v>5</v>
      </c>
      <c r="G18" s="353">
        <v>5</v>
      </c>
      <c r="H18" s="858"/>
      <c r="I18" s="858"/>
      <c r="J18" s="858"/>
      <c r="K18" s="923"/>
      <c r="L18" s="966"/>
      <c r="M18" s="914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</row>
    <row r="19" spans="1:21" ht="21" customHeight="1">
      <c r="A19" s="875"/>
      <c r="B19" s="915" t="s">
        <v>69</v>
      </c>
      <c r="C19" s="917">
        <v>2</v>
      </c>
      <c r="D19" s="367" t="s">
        <v>38</v>
      </c>
      <c r="E19" s="477" t="s">
        <v>39</v>
      </c>
      <c r="F19" s="353">
        <v>3</v>
      </c>
      <c r="G19" s="478">
        <v>3</v>
      </c>
      <c r="H19" s="858">
        <v>46056</v>
      </c>
      <c r="I19" s="858">
        <v>46057</v>
      </c>
      <c r="J19" s="858">
        <v>46056</v>
      </c>
      <c r="K19" s="922">
        <v>46060</v>
      </c>
      <c r="L19" s="967" t="s">
        <v>67</v>
      </c>
      <c r="M19" s="920" t="s">
        <v>70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</row>
    <row r="20" spans="1:21" ht="21" customHeight="1">
      <c r="A20" s="874"/>
      <c r="B20" s="916"/>
      <c r="C20" s="918"/>
      <c r="D20" s="368" t="s">
        <v>42</v>
      </c>
      <c r="E20" s="479" t="s">
        <v>43</v>
      </c>
      <c r="F20" s="470">
        <v>3</v>
      </c>
      <c r="G20" s="526">
        <v>3</v>
      </c>
      <c r="H20" s="919"/>
      <c r="I20" s="919"/>
      <c r="J20" s="919"/>
      <c r="K20" s="922"/>
      <c r="L20" s="967"/>
      <c r="M20" s="921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</row>
    <row r="21" spans="1:21" ht="21" customHeight="1">
      <c r="A21" s="875"/>
      <c r="B21" s="845" t="s">
        <v>71</v>
      </c>
      <c r="C21" s="901">
        <v>3</v>
      </c>
      <c r="D21" s="363" t="s">
        <v>38</v>
      </c>
      <c r="E21" s="524" t="s">
        <v>39</v>
      </c>
      <c r="F21" s="465">
        <v>1</v>
      </c>
      <c r="G21" s="465">
        <v>1</v>
      </c>
      <c r="H21" s="888">
        <v>46071</v>
      </c>
      <c r="I21" s="888">
        <v>46073</v>
      </c>
      <c r="J21" s="888">
        <v>46071</v>
      </c>
      <c r="K21" s="888">
        <v>46071</v>
      </c>
      <c r="L21" s="851" t="s">
        <v>67</v>
      </c>
      <c r="M21" s="859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</row>
    <row r="22" spans="1:21" ht="21" customHeight="1">
      <c r="A22" s="874"/>
      <c r="B22" s="846"/>
      <c r="C22" s="902"/>
      <c r="D22" s="364" t="s">
        <v>42</v>
      </c>
      <c r="E22" s="525" t="s">
        <v>43</v>
      </c>
      <c r="F22" s="465">
        <v>4</v>
      </c>
      <c r="G22" s="465">
        <v>4</v>
      </c>
      <c r="H22" s="888"/>
      <c r="I22" s="888"/>
      <c r="J22" s="888"/>
      <c r="K22" s="888"/>
      <c r="L22" s="851"/>
      <c r="M22" s="913"/>
      <c r="N22" s="802">
        <v>4</v>
      </c>
      <c r="O22" s="802">
        <v>4</v>
      </c>
      <c r="P22" s="802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</row>
    <row r="23" spans="1:21" ht="21" customHeight="1">
      <c r="A23" s="874"/>
      <c r="B23" s="845" t="s">
        <v>72</v>
      </c>
      <c r="C23" s="847">
        <v>4</v>
      </c>
      <c r="D23" s="363" t="s">
        <v>38</v>
      </c>
      <c r="E23" s="524" t="s">
        <v>39</v>
      </c>
      <c r="F23" s="465">
        <v>0</v>
      </c>
      <c r="G23" s="465">
        <v>1</v>
      </c>
      <c r="H23" s="849">
        <v>46073</v>
      </c>
      <c r="I23" s="849">
        <v>46074</v>
      </c>
      <c r="J23" s="849">
        <v>46073</v>
      </c>
      <c r="K23" s="849">
        <v>46073</v>
      </c>
      <c r="L23" s="851" t="s">
        <v>67</v>
      </c>
      <c r="M23" s="852" t="s">
        <v>73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</row>
    <row r="24" spans="1:21" ht="41.25" customHeight="1">
      <c r="A24" s="903"/>
      <c r="B24" s="846"/>
      <c r="C24" s="848"/>
      <c r="D24" s="363" t="s">
        <v>42</v>
      </c>
      <c r="E24" s="476" t="s">
        <v>43</v>
      </c>
      <c r="F24" s="527">
        <v>2</v>
      </c>
      <c r="G24" s="528">
        <v>3</v>
      </c>
      <c r="H24" s="850"/>
      <c r="I24" s="850"/>
      <c r="J24" s="850"/>
      <c r="K24" s="850"/>
      <c r="L24" s="851"/>
      <c r="M24" s="853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</row>
    <row r="25" spans="1:21" s="537" customFormat="1" ht="42">
      <c r="A25" s="842" t="s">
        <v>74</v>
      </c>
      <c r="B25" s="607" t="s">
        <v>75</v>
      </c>
      <c r="C25" s="603">
        <v>1</v>
      </c>
      <c r="D25" s="608" t="s">
        <v>76</v>
      </c>
      <c r="E25" s="531" t="s">
        <v>63</v>
      </c>
      <c r="F25" s="532">
        <v>2</v>
      </c>
      <c r="G25" s="384">
        <v>2</v>
      </c>
      <c r="H25" s="778">
        <v>46076</v>
      </c>
      <c r="I25" s="778">
        <v>46075</v>
      </c>
      <c r="J25" s="778">
        <v>46076</v>
      </c>
      <c r="K25" s="777">
        <v>46076</v>
      </c>
      <c r="L25" s="653" t="s">
        <v>67</v>
      </c>
      <c r="M25" s="533" t="s">
        <v>77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</row>
    <row r="26" spans="1:21" ht="21" customHeight="1">
      <c r="A26" s="843"/>
      <c r="B26" s="895" t="s">
        <v>78</v>
      </c>
      <c r="C26" s="856">
        <v>5</v>
      </c>
      <c r="D26" s="587" t="s">
        <v>38</v>
      </c>
      <c r="E26" s="475" t="s">
        <v>39</v>
      </c>
      <c r="F26" s="470">
        <v>6</v>
      </c>
      <c r="G26" s="353">
        <v>6</v>
      </c>
      <c r="H26" s="858">
        <v>46090</v>
      </c>
      <c r="I26" s="858">
        <v>46092</v>
      </c>
      <c r="J26" s="654">
        <v>46094</v>
      </c>
      <c r="K26" s="669">
        <v>46094</v>
      </c>
      <c r="L26" s="655" t="s">
        <v>67</v>
      </c>
      <c r="M26" s="859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</row>
    <row r="27" spans="1:21" ht="21" customHeight="1">
      <c r="A27" s="843"/>
      <c r="B27" s="896"/>
      <c r="C27" s="857"/>
      <c r="D27" s="588" t="s">
        <v>42</v>
      </c>
      <c r="E27" s="476" t="s">
        <v>43</v>
      </c>
      <c r="F27" s="470">
        <v>1</v>
      </c>
      <c r="G27" s="353">
        <v>1</v>
      </c>
      <c r="H27" s="858"/>
      <c r="I27" s="858"/>
      <c r="J27" s="654">
        <v>46090</v>
      </c>
      <c r="K27" s="782">
        <v>46092</v>
      </c>
      <c r="L27" s="655" t="s">
        <v>67</v>
      </c>
      <c r="M27" s="860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</row>
    <row r="28" spans="1:21" ht="21" customHeight="1">
      <c r="A28" s="843"/>
      <c r="B28" s="880" t="s">
        <v>79</v>
      </c>
      <c r="C28" s="882">
        <v>2</v>
      </c>
      <c r="D28" s="568" t="s">
        <v>38</v>
      </c>
      <c r="E28" s="475" t="s">
        <v>39</v>
      </c>
      <c r="F28" s="470">
        <v>5</v>
      </c>
      <c r="G28" s="353">
        <v>5</v>
      </c>
      <c r="H28" s="865">
        <v>46078</v>
      </c>
      <c r="I28" s="865">
        <v>46081</v>
      </c>
      <c r="J28" s="865">
        <v>46078</v>
      </c>
      <c r="K28" s="865">
        <v>46085</v>
      </c>
      <c r="L28" s="935" t="s">
        <v>67</v>
      </c>
      <c r="M28" s="854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</row>
    <row r="29" spans="1:21" ht="21" customHeight="1">
      <c r="A29" s="843"/>
      <c r="B29" s="881"/>
      <c r="C29" s="883"/>
      <c r="D29" s="569" t="s">
        <v>42</v>
      </c>
      <c r="E29" s="476" t="s">
        <v>43</v>
      </c>
      <c r="F29" s="470">
        <v>1</v>
      </c>
      <c r="G29" s="353">
        <v>1</v>
      </c>
      <c r="H29" s="866"/>
      <c r="I29" s="866"/>
      <c r="J29" s="866"/>
      <c r="K29" s="865"/>
      <c r="L29" s="936"/>
      <c r="M29" s="855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</row>
    <row r="30" spans="1:21" ht="21" customHeight="1">
      <c r="A30" s="843"/>
      <c r="B30" s="869" t="s">
        <v>80</v>
      </c>
      <c r="C30" s="871">
        <v>4</v>
      </c>
      <c r="D30" s="580" t="s">
        <v>38</v>
      </c>
      <c r="E30" s="475" t="s">
        <v>39</v>
      </c>
      <c r="F30" s="470">
        <v>5</v>
      </c>
      <c r="G30" s="353">
        <v>5</v>
      </c>
      <c r="H30" s="865">
        <v>46083</v>
      </c>
      <c r="I30" s="865">
        <v>46086</v>
      </c>
      <c r="J30" s="927">
        <v>46087</v>
      </c>
      <c r="K30" s="779">
        <v>46087</v>
      </c>
      <c r="L30" s="925" t="s">
        <v>67</v>
      </c>
      <c r="M30" s="867" t="s">
        <v>81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</row>
    <row r="31" spans="1:21" ht="21" customHeight="1">
      <c r="A31" s="843"/>
      <c r="B31" s="870"/>
      <c r="C31" s="872"/>
      <c r="D31" s="581" t="s">
        <v>42</v>
      </c>
      <c r="E31" s="476" t="s">
        <v>43</v>
      </c>
      <c r="F31" s="470">
        <v>1</v>
      </c>
      <c r="G31" s="353">
        <v>2</v>
      </c>
      <c r="H31" s="866"/>
      <c r="I31" s="866"/>
      <c r="J31" s="975"/>
      <c r="K31" s="779">
        <v>46087</v>
      </c>
      <c r="L31" s="926"/>
      <c r="M31" s="868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</row>
    <row r="32" spans="1:21" ht="21" customHeight="1">
      <c r="A32" s="843"/>
      <c r="B32" s="861" t="s">
        <v>82</v>
      </c>
      <c r="C32" s="863">
        <v>1</v>
      </c>
      <c r="D32" s="600" t="s">
        <v>38</v>
      </c>
      <c r="E32" s="475" t="s">
        <v>39</v>
      </c>
      <c r="F32" s="470">
        <v>4</v>
      </c>
      <c r="G32" s="353">
        <v>4</v>
      </c>
      <c r="H32" s="865">
        <v>46076</v>
      </c>
      <c r="I32" s="865">
        <v>46079</v>
      </c>
      <c r="J32" s="865">
        <v>46076</v>
      </c>
      <c r="K32" s="865">
        <v>46080</v>
      </c>
      <c r="L32" s="935" t="s">
        <v>67</v>
      </c>
      <c r="M32" s="867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</row>
    <row r="33" spans="1:21" ht="21" customHeight="1">
      <c r="A33" s="843"/>
      <c r="B33" s="862"/>
      <c r="C33" s="864"/>
      <c r="D33" s="601" t="s">
        <v>42</v>
      </c>
      <c r="E33" s="476" t="s">
        <v>43</v>
      </c>
      <c r="F33" s="470">
        <v>1</v>
      </c>
      <c r="G33" s="353">
        <v>1</v>
      </c>
      <c r="H33" s="866"/>
      <c r="I33" s="866"/>
      <c r="J33" s="866"/>
      <c r="K33" s="865"/>
      <c r="L33" s="936"/>
      <c r="M33" s="868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</row>
    <row r="34" spans="1:21" ht="21" customHeight="1">
      <c r="A34" s="843"/>
      <c r="B34" s="884" t="s">
        <v>83</v>
      </c>
      <c r="C34" s="886">
        <v>3</v>
      </c>
      <c r="D34" s="594" t="s">
        <v>38</v>
      </c>
      <c r="E34" s="475" t="s">
        <v>39</v>
      </c>
      <c r="F34" s="470">
        <v>4</v>
      </c>
      <c r="G34" s="353">
        <v>5</v>
      </c>
      <c r="H34" s="865">
        <v>46080</v>
      </c>
      <c r="I34" s="865">
        <v>46083</v>
      </c>
      <c r="J34" s="927">
        <v>46080</v>
      </c>
      <c r="K34" s="924">
        <v>46087</v>
      </c>
      <c r="L34" s="925" t="s">
        <v>67</v>
      </c>
      <c r="M34" s="867" t="s">
        <v>84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</row>
    <row r="35" spans="1:21" ht="21" customHeight="1">
      <c r="A35" s="843"/>
      <c r="B35" s="885"/>
      <c r="C35" s="887"/>
      <c r="D35" s="595" t="s">
        <v>42</v>
      </c>
      <c r="E35" s="476" t="s">
        <v>43</v>
      </c>
      <c r="F35" s="470">
        <v>1</v>
      </c>
      <c r="G35" s="353">
        <v>1</v>
      </c>
      <c r="H35" s="865"/>
      <c r="I35" s="866"/>
      <c r="J35" s="927"/>
      <c r="K35" s="924"/>
      <c r="L35" s="926"/>
      <c r="M35" s="868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</row>
    <row r="36" spans="1:21" ht="21" customHeight="1">
      <c r="A36" s="843"/>
      <c r="B36" s="570" t="s">
        <v>79</v>
      </c>
      <c r="C36" s="571">
        <v>2</v>
      </c>
      <c r="D36" s="568" t="s">
        <v>38</v>
      </c>
      <c r="E36" s="475" t="s">
        <v>39</v>
      </c>
      <c r="F36" s="470">
        <v>3</v>
      </c>
      <c r="G36" s="495">
        <v>4</v>
      </c>
      <c r="H36" s="779">
        <v>46078</v>
      </c>
      <c r="I36" s="503">
        <v>46081</v>
      </c>
      <c r="J36" s="779">
        <v>46078</v>
      </c>
      <c r="K36" s="779">
        <v>46087</v>
      </c>
      <c r="L36" s="501" t="s">
        <v>67</v>
      </c>
      <c r="M36" s="621" t="s">
        <v>85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</row>
    <row r="37" spans="1:21" ht="21" customHeight="1">
      <c r="A37" s="843"/>
      <c r="B37" s="884" t="s">
        <v>83</v>
      </c>
      <c r="C37" s="886">
        <v>3</v>
      </c>
      <c r="D37" s="594" t="s">
        <v>38</v>
      </c>
      <c r="E37" s="475" t="s">
        <v>39</v>
      </c>
      <c r="F37" s="470">
        <v>3</v>
      </c>
      <c r="G37" s="495">
        <v>3</v>
      </c>
      <c r="H37" s="888">
        <v>46080</v>
      </c>
      <c r="I37" s="889">
        <v>46083</v>
      </c>
      <c r="J37" s="928">
        <v>46080</v>
      </c>
      <c r="K37" s="924">
        <v>46087</v>
      </c>
      <c r="L37" s="925" t="s">
        <v>67</v>
      </c>
      <c r="M37" s="867" t="s">
        <v>86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</row>
    <row r="38" spans="1:21" ht="21" customHeight="1">
      <c r="A38" s="843"/>
      <c r="B38" s="885"/>
      <c r="C38" s="887"/>
      <c r="D38" s="595" t="s">
        <v>42</v>
      </c>
      <c r="E38" s="476" t="s">
        <v>43</v>
      </c>
      <c r="F38" s="470">
        <v>1</v>
      </c>
      <c r="G38" s="495">
        <v>1</v>
      </c>
      <c r="H38" s="888"/>
      <c r="I38" s="890"/>
      <c r="J38" s="928"/>
      <c r="K38" s="924"/>
      <c r="L38" s="926"/>
      <c r="M38" s="868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</row>
    <row r="39" spans="1:21" ht="21" customHeight="1">
      <c r="A39" s="843"/>
      <c r="B39" s="589" t="s">
        <v>78</v>
      </c>
      <c r="C39" s="590">
        <v>5</v>
      </c>
      <c r="D39" s="587" t="s">
        <v>38</v>
      </c>
      <c r="E39" s="475" t="s">
        <v>39</v>
      </c>
      <c r="F39" s="470">
        <v>3</v>
      </c>
      <c r="G39" s="353">
        <v>3</v>
      </c>
      <c r="H39" s="768">
        <v>46090</v>
      </c>
      <c r="I39" s="768">
        <v>46092</v>
      </c>
      <c r="J39" s="782">
        <v>46090</v>
      </c>
      <c r="K39" s="782">
        <v>46092</v>
      </c>
      <c r="L39" s="501" t="s">
        <v>67</v>
      </c>
      <c r="M39" s="480" t="s">
        <v>87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5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</row>
    <row r="40" spans="1:21" ht="21" customHeight="1">
      <c r="A40" s="843"/>
      <c r="B40" s="931" t="s">
        <v>88</v>
      </c>
      <c r="C40" s="933">
        <v>6</v>
      </c>
      <c r="D40" s="636" t="s">
        <v>38</v>
      </c>
      <c r="E40" s="475" t="s">
        <v>39</v>
      </c>
      <c r="F40" s="470">
        <v>2</v>
      </c>
      <c r="G40" s="495">
        <v>3</v>
      </c>
      <c r="H40" s="779">
        <v>46097</v>
      </c>
      <c r="I40" s="779">
        <v>46098</v>
      </c>
      <c r="J40" s="772">
        <v>46097</v>
      </c>
      <c r="K40" s="772">
        <v>46098</v>
      </c>
      <c r="L40" s="781" t="s">
        <v>67</v>
      </c>
      <c r="M40" s="867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5"/>
        <v>Switch</v>
      </c>
      <c r="T40" s="507">
        <f>$H$40</f>
        <v>46097</v>
      </c>
      <c r="U40" s="507">
        <f>$J$40</f>
        <v>46097</v>
      </c>
    </row>
    <row r="41" spans="1:21" ht="21" customHeight="1">
      <c r="A41" s="843"/>
      <c r="B41" s="932"/>
      <c r="C41" s="934"/>
      <c r="D41" s="637" t="s">
        <v>42</v>
      </c>
      <c r="E41" s="476" t="s">
        <v>43</v>
      </c>
      <c r="F41" s="470">
        <v>1</v>
      </c>
      <c r="G41" s="495">
        <v>1</v>
      </c>
      <c r="H41" s="779">
        <v>46097</v>
      </c>
      <c r="I41" s="779">
        <v>46098</v>
      </c>
      <c r="J41" s="659">
        <v>46094</v>
      </c>
      <c r="K41" s="659">
        <v>46094</v>
      </c>
      <c r="L41" s="655" t="s">
        <v>67</v>
      </c>
      <c r="M41" s="860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5"/>
        <v>Switch</v>
      </c>
      <c r="T41" s="507">
        <f>$H$40</f>
        <v>46097</v>
      </c>
      <c r="U41" s="507">
        <f>$J$41</f>
        <v>46094</v>
      </c>
    </row>
    <row r="42" spans="1:21" ht="21" customHeight="1">
      <c r="A42" s="843"/>
      <c r="B42" s="602" t="s">
        <v>82</v>
      </c>
      <c r="C42" s="603">
        <v>1</v>
      </c>
      <c r="D42" s="604" t="s">
        <v>38</v>
      </c>
      <c r="E42" s="475" t="s">
        <v>39</v>
      </c>
      <c r="F42" s="470">
        <v>2</v>
      </c>
      <c r="G42" s="353">
        <v>2</v>
      </c>
      <c r="H42" s="782">
        <v>46076</v>
      </c>
      <c r="I42" s="772">
        <v>46079</v>
      </c>
      <c r="J42" s="782">
        <v>46076</v>
      </c>
      <c r="K42" s="599">
        <v>46078</v>
      </c>
      <c r="L42" s="780" t="s">
        <v>67</v>
      </c>
      <c r="M42" s="480" t="s">
        <v>89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5"/>
        <v>Switch</v>
      </c>
      <c r="T42" s="507">
        <f>$H$42</f>
        <v>46076</v>
      </c>
      <c r="U42" s="507">
        <f>$J$42</f>
        <v>46076</v>
      </c>
    </row>
    <row r="43" spans="1:21" ht="21" customHeight="1">
      <c r="A43" s="843"/>
      <c r="B43" s="582" t="s">
        <v>80</v>
      </c>
      <c r="C43" s="583">
        <v>4</v>
      </c>
      <c r="D43" s="584" t="s">
        <v>38</v>
      </c>
      <c r="E43" s="475" t="s">
        <v>39</v>
      </c>
      <c r="F43" s="470">
        <v>2</v>
      </c>
      <c r="G43" s="353">
        <v>1</v>
      </c>
      <c r="H43" s="782">
        <v>46083</v>
      </c>
      <c r="I43" s="504">
        <v>46086</v>
      </c>
      <c r="J43" s="782">
        <v>46087</v>
      </c>
      <c r="K43" s="782">
        <v>46087</v>
      </c>
      <c r="L43" s="609" t="s">
        <v>67</v>
      </c>
      <c r="M43" s="480" t="s">
        <v>90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5"/>
        <v>Switch</v>
      </c>
      <c r="T43" s="507">
        <f>$H$43</f>
        <v>46083</v>
      </c>
      <c r="U43" s="507">
        <f>$J$43</f>
        <v>46087</v>
      </c>
    </row>
    <row r="44" spans="1:21" ht="21" customHeight="1">
      <c r="A44" s="843"/>
      <c r="B44" s="897" t="s">
        <v>91</v>
      </c>
      <c r="C44" s="929">
        <v>7</v>
      </c>
      <c r="D44" s="641" t="s">
        <v>38</v>
      </c>
      <c r="E44" s="475" t="s">
        <v>39</v>
      </c>
      <c r="F44" s="470">
        <v>1</v>
      </c>
      <c r="G44" s="353">
        <v>1</v>
      </c>
      <c r="H44" s="865">
        <v>46097</v>
      </c>
      <c r="I44" s="865">
        <v>46098</v>
      </c>
      <c r="J44" s="865">
        <v>46100</v>
      </c>
      <c r="K44" s="865">
        <v>46101</v>
      </c>
      <c r="L44" s="935" t="s">
        <v>67</v>
      </c>
      <c r="M44" s="867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5"/>
        <v>Switch</v>
      </c>
      <c r="T44" s="507">
        <f>$H$44</f>
        <v>46097</v>
      </c>
      <c r="U44" s="507">
        <f>$J$44</f>
        <v>46100</v>
      </c>
    </row>
    <row r="45" spans="1:21" ht="21" customHeight="1">
      <c r="A45" s="843"/>
      <c r="B45" s="898"/>
      <c r="C45" s="930"/>
      <c r="D45" s="642" t="s">
        <v>42</v>
      </c>
      <c r="E45" s="476" t="s">
        <v>43</v>
      </c>
      <c r="F45" s="470">
        <v>2</v>
      </c>
      <c r="G45" s="353">
        <v>2</v>
      </c>
      <c r="H45" s="866"/>
      <c r="I45" s="866"/>
      <c r="J45" s="866"/>
      <c r="K45" s="866"/>
      <c r="L45" s="936"/>
      <c r="M45" s="868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5"/>
        <v>Switch</v>
      </c>
      <c r="T45" s="507">
        <f>$H$44</f>
        <v>46097</v>
      </c>
      <c r="U45" s="507">
        <f>$J$44</f>
        <v>46100</v>
      </c>
    </row>
    <row r="46" spans="1:21" ht="21" customHeight="1">
      <c r="A46" s="843"/>
      <c r="B46" s="880" t="s">
        <v>92</v>
      </c>
      <c r="C46" s="882">
        <v>2</v>
      </c>
      <c r="D46" s="568" t="s">
        <v>38</v>
      </c>
      <c r="E46" s="475" t="s">
        <v>39</v>
      </c>
      <c r="F46" s="470">
        <v>2</v>
      </c>
      <c r="G46" s="623">
        <v>0</v>
      </c>
      <c r="H46" s="865">
        <v>46078</v>
      </c>
      <c r="I46" s="865">
        <v>46081</v>
      </c>
      <c r="J46" s="865">
        <v>46078</v>
      </c>
      <c r="K46" s="865">
        <v>46080</v>
      </c>
      <c r="L46" s="935" t="s">
        <v>67</v>
      </c>
      <c r="M46" s="937" t="s">
        <v>93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5"/>
        <v>Switch</v>
      </c>
      <c r="T46" s="507">
        <f>$H$46</f>
        <v>46078</v>
      </c>
      <c r="U46" s="507">
        <f>$J$46</f>
        <v>46078</v>
      </c>
    </row>
    <row r="47" spans="1:21" ht="21" customHeight="1">
      <c r="A47" s="843"/>
      <c r="B47" s="881"/>
      <c r="C47" s="883"/>
      <c r="D47" s="572" t="s">
        <v>42</v>
      </c>
      <c r="E47" s="476" t="s">
        <v>43</v>
      </c>
      <c r="F47" s="481">
        <v>3</v>
      </c>
      <c r="G47" s="353">
        <v>4</v>
      </c>
      <c r="H47" s="866"/>
      <c r="I47" s="866"/>
      <c r="J47" s="866"/>
      <c r="K47" s="866"/>
      <c r="L47" s="936"/>
      <c r="M47" s="938"/>
      <c r="N47" s="632">
        <v>4</v>
      </c>
      <c r="O47" s="632">
        <v>4</v>
      </c>
      <c r="P47" s="632">
        <v>4</v>
      </c>
      <c r="Q47" s="460">
        <f t="shared" si="3"/>
        <v>1</v>
      </c>
      <c r="R47" s="789"/>
      <c r="S47" s="201" t="str">
        <f t="shared" si="5"/>
        <v>Switch</v>
      </c>
      <c r="T47" s="507">
        <f>$H$46</f>
        <v>46078</v>
      </c>
      <c r="U47" s="507">
        <f>$J$46</f>
        <v>46078</v>
      </c>
    </row>
    <row r="48" spans="1:21" ht="21" customHeight="1">
      <c r="A48" s="843"/>
      <c r="B48" s="861" t="s">
        <v>94</v>
      </c>
      <c r="C48" s="863">
        <v>1</v>
      </c>
      <c r="D48" s="600" t="s">
        <v>38</v>
      </c>
      <c r="E48" s="475" t="s">
        <v>39</v>
      </c>
      <c r="F48" s="470">
        <v>1</v>
      </c>
      <c r="G48" s="353">
        <v>1</v>
      </c>
      <c r="H48" s="865">
        <v>46076</v>
      </c>
      <c r="I48" s="865">
        <v>46079</v>
      </c>
      <c r="J48" s="865">
        <v>46076</v>
      </c>
      <c r="K48" s="944">
        <v>46078</v>
      </c>
      <c r="L48" s="935" t="s">
        <v>67</v>
      </c>
      <c r="M48" s="867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5"/>
        <v>Switch</v>
      </c>
      <c r="T48" s="507">
        <f>$H$48</f>
        <v>46076</v>
      </c>
      <c r="U48" s="507">
        <f>$J$48</f>
        <v>46076</v>
      </c>
    </row>
    <row r="49" spans="1:21" ht="21" customHeight="1">
      <c r="A49" s="843"/>
      <c r="B49" s="862"/>
      <c r="C49" s="864"/>
      <c r="D49" s="605" t="s">
        <v>42</v>
      </c>
      <c r="E49" s="476" t="s">
        <v>43</v>
      </c>
      <c r="F49" s="481">
        <v>2</v>
      </c>
      <c r="G49" s="353">
        <v>2</v>
      </c>
      <c r="H49" s="866"/>
      <c r="I49" s="866"/>
      <c r="J49" s="866"/>
      <c r="K49" s="945"/>
      <c r="L49" s="936"/>
      <c r="M49" s="868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5"/>
        <v>Switch</v>
      </c>
      <c r="T49" s="507">
        <f>$H$48</f>
        <v>46076</v>
      </c>
      <c r="U49" s="507">
        <f>$J$48</f>
        <v>46076</v>
      </c>
    </row>
    <row r="50" spans="1:21" ht="42" customHeight="1">
      <c r="A50" s="843"/>
      <c r="B50" s="591" t="s">
        <v>95</v>
      </c>
      <c r="C50" s="592">
        <v>5</v>
      </c>
      <c r="D50" s="593" t="s">
        <v>42</v>
      </c>
      <c r="E50" s="476" t="s">
        <v>43</v>
      </c>
      <c r="F50" s="577">
        <v>9</v>
      </c>
      <c r="G50" s="353">
        <v>8</v>
      </c>
      <c r="H50" s="782">
        <v>46092</v>
      </c>
      <c r="I50" s="782">
        <v>46094</v>
      </c>
      <c r="J50" s="782">
        <v>46092</v>
      </c>
      <c r="K50" s="782">
        <v>46092</v>
      </c>
      <c r="L50" s="501" t="s">
        <v>67</v>
      </c>
      <c r="M50" s="480" t="s">
        <v>96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5"/>
        <v>Switch</v>
      </c>
      <c r="T50" s="507">
        <f>$H$50</f>
        <v>46092</v>
      </c>
      <c r="U50" s="507">
        <f>$J$50</f>
        <v>46092</v>
      </c>
    </row>
    <row r="51" spans="1:21" ht="21" customHeight="1">
      <c r="A51" s="843"/>
      <c r="B51" s="573" t="s">
        <v>97</v>
      </c>
      <c r="C51" s="574">
        <v>2</v>
      </c>
      <c r="D51" s="575" t="s">
        <v>42</v>
      </c>
      <c r="E51" s="576" t="s">
        <v>43</v>
      </c>
      <c r="F51" s="643">
        <v>6</v>
      </c>
      <c r="G51" s="578">
        <v>5</v>
      </c>
      <c r="H51" s="769">
        <v>46078</v>
      </c>
      <c r="I51" s="773">
        <v>46081</v>
      </c>
      <c r="J51" s="782">
        <v>46078</v>
      </c>
      <c r="K51" s="782">
        <v>46080</v>
      </c>
      <c r="L51" s="501" t="s">
        <v>67</v>
      </c>
      <c r="M51" s="622" t="s">
        <v>98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5"/>
        <v>Switch</v>
      </c>
      <c r="T51" s="507">
        <f>$H$51</f>
        <v>46078</v>
      </c>
      <c r="U51" s="507">
        <f>$J$51</f>
        <v>46078</v>
      </c>
    </row>
    <row r="52" spans="1:21" ht="21" customHeight="1">
      <c r="A52" s="843"/>
      <c r="B52" s="596" t="s">
        <v>99</v>
      </c>
      <c r="C52" s="597">
        <v>3</v>
      </c>
      <c r="D52" s="598" t="s">
        <v>42</v>
      </c>
      <c r="E52" s="476" t="s">
        <v>43</v>
      </c>
      <c r="F52" s="577">
        <v>6</v>
      </c>
      <c r="G52" s="578">
        <v>6</v>
      </c>
      <c r="H52" s="782">
        <v>46080</v>
      </c>
      <c r="I52" s="503">
        <v>46083</v>
      </c>
      <c r="J52" s="782">
        <v>46080</v>
      </c>
      <c r="K52" s="567">
        <v>46084</v>
      </c>
      <c r="L52" s="501" t="s">
        <v>67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5"/>
        <v>Switch</v>
      </c>
      <c r="T52" s="507">
        <f>$H$52</f>
        <v>46080</v>
      </c>
      <c r="U52" s="507">
        <f>$J$52</f>
        <v>46080</v>
      </c>
    </row>
    <row r="53" spans="1:21" ht="21" customHeight="1">
      <c r="A53" s="843"/>
      <c r="B53" s="582" t="s">
        <v>100</v>
      </c>
      <c r="C53" s="585">
        <v>4</v>
      </c>
      <c r="D53" s="586" t="s">
        <v>42</v>
      </c>
      <c r="E53" s="476" t="s">
        <v>43</v>
      </c>
      <c r="F53" s="577">
        <v>6</v>
      </c>
      <c r="G53" s="353">
        <v>6</v>
      </c>
      <c r="H53" s="782">
        <v>46083</v>
      </c>
      <c r="I53" s="504">
        <v>46086</v>
      </c>
      <c r="J53" s="782">
        <v>46085</v>
      </c>
      <c r="K53" s="782">
        <v>46085</v>
      </c>
      <c r="L53" s="501" t="s">
        <v>67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5"/>
        <v>Switch</v>
      </c>
      <c r="T53" s="507">
        <f>$H$53</f>
        <v>46083</v>
      </c>
      <c r="U53" s="507">
        <f>$J$53</f>
        <v>46085</v>
      </c>
    </row>
    <row r="54" spans="1:21" ht="21" customHeight="1">
      <c r="A54" s="843"/>
      <c r="B54" s="602" t="s">
        <v>101</v>
      </c>
      <c r="C54" s="603">
        <v>1</v>
      </c>
      <c r="D54" s="606" t="s">
        <v>42</v>
      </c>
      <c r="E54" s="476" t="s">
        <v>43</v>
      </c>
      <c r="F54" s="527">
        <v>3</v>
      </c>
      <c r="G54" s="353">
        <v>3</v>
      </c>
      <c r="H54" s="782">
        <v>46076</v>
      </c>
      <c r="I54" s="503">
        <v>46079</v>
      </c>
      <c r="J54" s="782">
        <v>46076</v>
      </c>
      <c r="K54" s="567">
        <v>46078</v>
      </c>
      <c r="L54" s="501" t="s">
        <v>67</v>
      </c>
      <c r="M54" s="480" t="s">
        <v>102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5"/>
        <v>Switch</v>
      </c>
      <c r="T54" s="507">
        <f>$H$54</f>
        <v>46076</v>
      </c>
      <c r="U54" s="507">
        <f>$J$54</f>
        <v>46076</v>
      </c>
    </row>
    <row r="55" spans="1:21" ht="21" customHeight="1">
      <c r="A55" s="843"/>
      <c r="B55" s="633" t="s">
        <v>103</v>
      </c>
      <c r="C55" s="634">
        <v>6</v>
      </c>
      <c r="D55" s="635" t="s">
        <v>42</v>
      </c>
      <c r="E55" s="476" t="s">
        <v>43</v>
      </c>
      <c r="F55" s="577">
        <v>2</v>
      </c>
      <c r="G55" s="353">
        <v>2</v>
      </c>
      <c r="H55" s="782">
        <v>46097</v>
      </c>
      <c r="I55" s="782">
        <v>46098</v>
      </c>
      <c r="J55" s="782">
        <v>46097</v>
      </c>
      <c r="K55" s="782">
        <v>46098</v>
      </c>
      <c r="L55" s="501" t="s">
        <v>67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5"/>
        <v>Switch</v>
      </c>
      <c r="T55" s="507">
        <f>$H$55</f>
        <v>46097</v>
      </c>
      <c r="U55" s="507">
        <f>$J$55</f>
        <v>46097</v>
      </c>
    </row>
    <row r="56" spans="1:21" ht="21" customHeight="1">
      <c r="A56" s="843"/>
      <c r="B56" s="638" t="s">
        <v>91</v>
      </c>
      <c r="C56" s="639">
        <v>7</v>
      </c>
      <c r="D56" s="640" t="s">
        <v>42</v>
      </c>
      <c r="E56" s="476" t="s">
        <v>43</v>
      </c>
      <c r="F56" s="527">
        <v>2</v>
      </c>
      <c r="G56" s="353">
        <v>2</v>
      </c>
      <c r="H56" s="782">
        <v>46097</v>
      </c>
      <c r="I56" s="782">
        <v>46098</v>
      </c>
      <c r="J56" s="782">
        <v>46100</v>
      </c>
      <c r="K56" s="782">
        <v>46101</v>
      </c>
      <c r="L56" s="501" t="s">
        <v>67</v>
      </c>
      <c r="M56" s="480" t="s">
        <v>104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5"/>
        <v>Switch</v>
      </c>
      <c r="T56" s="507">
        <f>$H$56</f>
        <v>46097</v>
      </c>
      <c r="U56" s="507">
        <f>$J$56</f>
        <v>46100</v>
      </c>
    </row>
    <row r="57" spans="1:21" ht="21" customHeight="1">
      <c r="A57" s="844"/>
      <c r="B57" s="596" t="s">
        <v>105</v>
      </c>
      <c r="C57" s="597">
        <v>3</v>
      </c>
      <c r="D57" s="598" t="s">
        <v>42</v>
      </c>
      <c r="E57" s="476" t="s">
        <v>43</v>
      </c>
      <c r="F57" s="577">
        <v>1</v>
      </c>
      <c r="G57" s="578">
        <v>1</v>
      </c>
      <c r="H57" s="782">
        <v>46080</v>
      </c>
      <c r="I57" s="503">
        <v>46083</v>
      </c>
      <c r="J57" s="782">
        <v>46080</v>
      </c>
      <c r="K57" s="567">
        <v>46084</v>
      </c>
      <c r="L57" s="501" t="s">
        <v>67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5"/>
        <v>Switch</v>
      </c>
      <c r="T57" s="507">
        <f>$H$57</f>
        <v>46080</v>
      </c>
      <c r="U57" s="507">
        <f>$J$57</f>
        <v>46080</v>
      </c>
    </row>
    <row r="58" spans="1:21" ht="21" customHeight="1">
      <c r="A58" s="873" t="s">
        <v>106</v>
      </c>
      <c r="B58" s="939" t="s">
        <v>107</v>
      </c>
      <c r="C58" s="941">
        <v>1</v>
      </c>
      <c r="D58" s="722" t="s">
        <v>38</v>
      </c>
      <c r="E58" s="475" t="s">
        <v>39</v>
      </c>
      <c r="F58" s="470">
        <v>3</v>
      </c>
      <c r="G58" s="353">
        <v>3</v>
      </c>
      <c r="H58" s="943">
        <v>46105</v>
      </c>
      <c r="I58" s="943">
        <v>46092</v>
      </c>
      <c r="J58" s="943">
        <v>46102</v>
      </c>
      <c r="K58" s="943">
        <v>46106</v>
      </c>
      <c r="L58" s="946" t="s">
        <v>67</v>
      </c>
      <c r="M58" s="867" t="s">
        <v>108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5"/>
        <v>Switch</v>
      </c>
      <c r="T58" s="507">
        <f>$H$58</f>
        <v>46105</v>
      </c>
      <c r="U58" s="507">
        <f>$J$58</f>
        <v>46102</v>
      </c>
    </row>
    <row r="59" spans="1:21" ht="21" customHeight="1">
      <c r="A59" s="874"/>
      <c r="B59" s="940"/>
      <c r="C59" s="942"/>
      <c r="D59" s="723" t="s">
        <v>42</v>
      </c>
      <c r="E59" s="476" t="s">
        <v>43</v>
      </c>
      <c r="F59" s="470">
        <v>1</v>
      </c>
      <c r="G59" s="353">
        <v>1</v>
      </c>
      <c r="H59" s="866"/>
      <c r="I59" s="866"/>
      <c r="J59" s="866"/>
      <c r="K59" s="866"/>
      <c r="L59" s="936"/>
      <c r="M59" s="868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5"/>
        <v>Switch</v>
      </c>
      <c r="T59" s="507">
        <f>$H$58</f>
        <v>46105</v>
      </c>
      <c r="U59" s="507">
        <f>$J$58</f>
        <v>46102</v>
      </c>
    </row>
    <row r="60" spans="1:21" ht="21" customHeight="1">
      <c r="A60" s="875"/>
      <c r="B60" s="939" t="s">
        <v>109</v>
      </c>
      <c r="C60" s="941">
        <v>1</v>
      </c>
      <c r="D60" s="722" t="s">
        <v>38</v>
      </c>
      <c r="E60" s="475" t="s">
        <v>39</v>
      </c>
      <c r="F60" s="470">
        <v>1</v>
      </c>
      <c r="G60" s="353">
        <v>2</v>
      </c>
      <c r="H60" s="865">
        <v>46105</v>
      </c>
      <c r="I60" s="865">
        <v>46092</v>
      </c>
      <c r="J60" s="865">
        <v>46102</v>
      </c>
      <c r="K60" s="865">
        <v>46102</v>
      </c>
      <c r="L60" s="935" t="s">
        <v>67</v>
      </c>
      <c r="M60" s="867" t="s">
        <v>110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5"/>
        <v>Switch</v>
      </c>
      <c r="T60" s="507">
        <f>$H$60</f>
        <v>46105</v>
      </c>
      <c r="U60" s="507">
        <f>$J$60</f>
        <v>46102</v>
      </c>
    </row>
    <row r="61" spans="1:21" ht="21" customHeight="1">
      <c r="A61" s="874"/>
      <c r="B61" s="940"/>
      <c r="C61" s="942"/>
      <c r="D61" s="723" t="s">
        <v>42</v>
      </c>
      <c r="E61" s="475" t="s">
        <v>43</v>
      </c>
      <c r="F61" s="470">
        <v>1</v>
      </c>
      <c r="G61" s="353">
        <v>1</v>
      </c>
      <c r="H61" s="866"/>
      <c r="I61" s="866"/>
      <c r="J61" s="866"/>
      <c r="K61" s="866"/>
      <c r="L61" s="936"/>
      <c r="M61" s="868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5"/>
        <v>Switch</v>
      </c>
      <c r="T61" s="507">
        <f>$H$60</f>
        <v>46105</v>
      </c>
      <c r="U61" s="507">
        <f>$J$60</f>
        <v>46102</v>
      </c>
    </row>
    <row r="62" spans="1:21" ht="21" customHeight="1">
      <c r="A62" s="875"/>
      <c r="B62" s="939" t="s">
        <v>111</v>
      </c>
      <c r="C62" s="941">
        <v>2</v>
      </c>
      <c r="D62" s="722" t="s">
        <v>38</v>
      </c>
      <c r="E62" s="475" t="s">
        <v>39</v>
      </c>
      <c r="F62" s="470">
        <v>1</v>
      </c>
      <c r="G62" s="353">
        <v>2</v>
      </c>
      <c r="H62" s="865">
        <v>46106</v>
      </c>
      <c r="I62" s="865">
        <v>46092</v>
      </c>
      <c r="J62" s="865">
        <v>46104</v>
      </c>
      <c r="K62" s="947">
        <v>46104</v>
      </c>
      <c r="L62" s="935" t="s">
        <v>67</v>
      </c>
      <c r="M62" s="867" t="s">
        <v>112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5"/>
        <v>Switch</v>
      </c>
      <c r="T62" s="507">
        <f>$H$62</f>
        <v>46106</v>
      </c>
      <c r="U62" s="507">
        <f>$J$62</f>
        <v>46104</v>
      </c>
    </row>
    <row r="63" spans="1:21" ht="21" customHeight="1">
      <c r="A63" s="876"/>
      <c r="B63" s="940"/>
      <c r="C63" s="942"/>
      <c r="D63" s="723" t="s">
        <v>42</v>
      </c>
      <c r="E63" s="475" t="s">
        <v>43</v>
      </c>
      <c r="F63" s="470">
        <v>1</v>
      </c>
      <c r="G63" s="353">
        <v>0</v>
      </c>
      <c r="H63" s="866"/>
      <c r="I63" s="866"/>
      <c r="J63" s="866"/>
      <c r="K63" s="948"/>
      <c r="L63" s="936"/>
      <c r="M63" s="868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5"/>
        <v>Switch</v>
      </c>
      <c r="T63" s="507">
        <f>$H$62</f>
        <v>46106</v>
      </c>
      <c r="U63" s="507">
        <f>$J$62</f>
        <v>46104</v>
      </c>
    </row>
    <row r="64" spans="1:21" ht="21" customHeight="1">
      <c r="A64" s="873" t="s">
        <v>113</v>
      </c>
      <c r="B64" s="891" t="s">
        <v>114</v>
      </c>
      <c r="C64" s="893">
        <v>2</v>
      </c>
      <c r="D64" s="731" t="s">
        <v>38</v>
      </c>
      <c r="E64" s="475" t="s">
        <v>39</v>
      </c>
      <c r="F64" s="470">
        <v>4</v>
      </c>
      <c r="G64" s="353">
        <v>4</v>
      </c>
      <c r="H64" s="865">
        <v>46113</v>
      </c>
      <c r="I64" s="865">
        <v>46093</v>
      </c>
      <c r="J64" s="865">
        <v>46113</v>
      </c>
      <c r="K64" s="865">
        <v>46113</v>
      </c>
      <c r="L64" s="935" t="s">
        <v>67</v>
      </c>
      <c r="M64" s="867" t="s">
        <v>115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5"/>
        <v>Switch</v>
      </c>
      <c r="T64" s="507">
        <f>$H$64</f>
        <v>46113</v>
      </c>
      <c r="U64" s="507">
        <f>$J$64</f>
        <v>46113</v>
      </c>
    </row>
    <row r="65" spans="1:21" ht="21" customHeight="1">
      <c r="A65" s="874"/>
      <c r="B65" s="892"/>
      <c r="C65" s="894"/>
      <c r="D65" s="732" t="s">
        <v>42</v>
      </c>
      <c r="E65" s="476" t="s">
        <v>43</v>
      </c>
      <c r="F65" s="470">
        <v>2</v>
      </c>
      <c r="G65" s="353">
        <v>2</v>
      </c>
      <c r="H65" s="866"/>
      <c r="I65" s="866"/>
      <c r="J65" s="866"/>
      <c r="K65" s="866"/>
      <c r="L65" s="936"/>
      <c r="M65" s="868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5"/>
        <v>Switch</v>
      </c>
      <c r="T65" s="507">
        <f>$H$64</f>
        <v>46113</v>
      </c>
      <c r="U65" s="507">
        <f>$J$64</f>
        <v>46113</v>
      </c>
    </row>
    <row r="66" spans="1:21" ht="21" customHeight="1">
      <c r="A66" s="875"/>
      <c r="B66" s="891" t="s">
        <v>116</v>
      </c>
      <c r="C66" s="893">
        <v>2</v>
      </c>
      <c r="D66" s="731" t="s">
        <v>38</v>
      </c>
      <c r="E66" s="475" t="s">
        <v>39</v>
      </c>
      <c r="F66" s="470">
        <v>3</v>
      </c>
      <c r="G66" s="353">
        <v>2</v>
      </c>
      <c r="H66" s="865">
        <v>46113</v>
      </c>
      <c r="I66" s="865">
        <v>46093</v>
      </c>
      <c r="J66" s="865">
        <v>46113</v>
      </c>
      <c r="K66" s="865">
        <v>46113</v>
      </c>
      <c r="L66" s="935" t="s">
        <v>67</v>
      </c>
      <c r="M66" s="867" t="s">
        <v>117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5"/>
        <v>Switch</v>
      </c>
      <c r="T66" s="507">
        <f>$H$66</f>
        <v>46113</v>
      </c>
      <c r="U66" s="507">
        <f>$J$66</f>
        <v>46113</v>
      </c>
    </row>
    <row r="67" spans="1:21" ht="21" customHeight="1">
      <c r="A67" s="876"/>
      <c r="B67" s="892"/>
      <c r="C67" s="894"/>
      <c r="D67" s="732" t="s">
        <v>42</v>
      </c>
      <c r="E67" s="476" t="s">
        <v>43</v>
      </c>
      <c r="F67" s="470">
        <v>2</v>
      </c>
      <c r="G67" s="353">
        <v>1</v>
      </c>
      <c r="H67" s="866"/>
      <c r="I67" s="866"/>
      <c r="J67" s="866"/>
      <c r="K67" s="866"/>
      <c r="L67" s="936"/>
      <c r="M67" s="868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5"/>
        <v>Switch</v>
      </c>
      <c r="T67" s="507">
        <f>$H$66</f>
        <v>46113</v>
      </c>
      <c r="U67" s="507">
        <f>$J$66</f>
        <v>46113</v>
      </c>
    </row>
    <row r="68" spans="1:21" ht="21" customHeight="1">
      <c r="A68" s="837" t="s">
        <v>118</v>
      </c>
      <c r="B68" s="838" t="s">
        <v>119</v>
      </c>
      <c r="C68" s="370">
        <v>1</v>
      </c>
      <c r="D68" s="363" t="s">
        <v>38</v>
      </c>
      <c r="E68" s="475" t="s">
        <v>39</v>
      </c>
      <c r="F68" s="470">
        <v>2</v>
      </c>
      <c r="G68" s="839">
        <v>3</v>
      </c>
      <c r="H68" s="782">
        <v>46108</v>
      </c>
      <c r="I68" s="503">
        <v>46094</v>
      </c>
      <c r="J68" s="782"/>
      <c r="K68" s="500"/>
      <c r="L68" s="501" t="s">
        <v>67</v>
      </c>
      <c r="M68" s="480" t="s">
        <v>120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5"/>
        <v>Switch</v>
      </c>
      <c r="T68" s="507">
        <f>$H$68</f>
        <v>46108</v>
      </c>
      <c r="U68" s="507">
        <f>$J$68</f>
        <v>0</v>
      </c>
    </row>
    <row r="69" spans="1:21" ht="21" customHeight="1">
      <c r="A69" s="369" t="s">
        <v>121</v>
      </c>
      <c r="B69" s="734" t="s">
        <v>69</v>
      </c>
      <c r="C69" s="735">
        <v>1</v>
      </c>
      <c r="D69" s="731" t="s">
        <v>38</v>
      </c>
      <c r="E69" s="475" t="s">
        <v>39</v>
      </c>
      <c r="F69" s="470">
        <v>1</v>
      </c>
      <c r="G69" s="353">
        <v>1</v>
      </c>
      <c r="H69" s="782">
        <v>46108</v>
      </c>
      <c r="I69" s="503">
        <v>46094</v>
      </c>
      <c r="J69" s="782">
        <v>46113</v>
      </c>
      <c r="K69" s="500"/>
      <c r="L69" s="501" t="s">
        <v>67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5"/>
        <v>Switch</v>
      </c>
      <c r="T69" s="507">
        <f>$H$69</f>
        <v>46108</v>
      </c>
      <c r="U69" s="507">
        <f>$J$69</f>
        <v>46113</v>
      </c>
    </row>
    <row r="70" spans="1:21" ht="21" customHeight="1">
      <c r="A70" s="873" t="s">
        <v>122</v>
      </c>
      <c r="B70" s="845" t="s">
        <v>123</v>
      </c>
      <c r="C70" s="901">
        <v>1</v>
      </c>
      <c r="D70" s="363" t="s">
        <v>38</v>
      </c>
      <c r="E70" s="475" t="s">
        <v>39</v>
      </c>
      <c r="F70" s="470">
        <v>1</v>
      </c>
      <c r="G70" s="353">
        <v>1</v>
      </c>
      <c r="H70" s="865">
        <v>46108</v>
      </c>
      <c r="I70" s="865">
        <v>46094</v>
      </c>
      <c r="J70" s="865">
        <v>46106</v>
      </c>
      <c r="K70" s="865">
        <v>46107</v>
      </c>
      <c r="L70" s="935" t="s">
        <v>67</v>
      </c>
      <c r="M70" s="867" t="s">
        <v>124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5"/>
        <v>Switch</v>
      </c>
      <c r="T70" s="507">
        <f>$H$70</f>
        <v>46108</v>
      </c>
      <c r="U70" s="507">
        <f>$J$70</f>
        <v>46106</v>
      </c>
    </row>
    <row r="71" spans="1:21" ht="21" customHeight="1">
      <c r="A71" s="876"/>
      <c r="B71" s="846"/>
      <c r="C71" s="902"/>
      <c r="D71" s="364" t="s">
        <v>42</v>
      </c>
      <c r="E71" s="476" t="s">
        <v>43</v>
      </c>
      <c r="F71" s="470">
        <v>1</v>
      </c>
      <c r="G71" s="353">
        <v>1</v>
      </c>
      <c r="H71" s="866"/>
      <c r="I71" s="866"/>
      <c r="J71" s="866"/>
      <c r="K71" s="866"/>
      <c r="L71" s="936"/>
      <c r="M71" s="868"/>
      <c r="N71" s="466">
        <v>1</v>
      </c>
      <c r="O71" s="466">
        <v>1</v>
      </c>
      <c r="P71" s="466">
        <v>1</v>
      </c>
      <c r="Q71" s="460">
        <f t="shared" ref="Q71:Q83" si="6">IF($G71=0,1,(N71+O71+P71)/($G71*3))</f>
        <v>1</v>
      </c>
      <c r="R71" s="201"/>
      <c r="S71" s="201" t="str">
        <f t="shared" si="5"/>
        <v>Switch</v>
      </c>
      <c r="T71" s="507">
        <f>$H$70</f>
        <v>46108</v>
      </c>
      <c r="U71" s="507">
        <f>$J$70</f>
        <v>46106</v>
      </c>
    </row>
    <row r="72" spans="1:21" ht="21" customHeight="1">
      <c r="A72" s="873" t="s">
        <v>125</v>
      </c>
      <c r="B72" s="845" t="s">
        <v>126</v>
      </c>
      <c r="C72" s="901">
        <v>1</v>
      </c>
      <c r="D72" s="363" t="s">
        <v>38</v>
      </c>
      <c r="E72" s="475" t="s">
        <v>39</v>
      </c>
      <c r="F72" s="470">
        <v>1</v>
      </c>
      <c r="G72" s="353">
        <v>1</v>
      </c>
      <c r="H72" s="865">
        <v>46115</v>
      </c>
      <c r="I72" s="865">
        <v>46094</v>
      </c>
      <c r="J72" s="949">
        <v>46108</v>
      </c>
      <c r="K72" s="949">
        <v>46108</v>
      </c>
      <c r="L72" s="935" t="s">
        <v>67</v>
      </c>
      <c r="M72" s="867" t="s">
        <v>127</v>
      </c>
      <c r="N72" s="466">
        <v>1</v>
      </c>
      <c r="O72" s="466">
        <v>1</v>
      </c>
      <c r="P72" s="466">
        <v>1</v>
      </c>
      <c r="Q72" s="460">
        <f t="shared" si="6"/>
        <v>1</v>
      </c>
      <c r="R72" s="201"/>
      <c r="S72" s="201" t="str">
        <f t="shared" si="5"/>
        <v>Switch</v>
      </c>
      <c r="T72" s="507">
        <f>$H$72</f>
        <v>46115</v>
      </c>
      <c r="U72" s="507">
        <f>$J$72</f>
        <v>46108</v>
      </c>
    </row>
    <row r="73" spans="1:21" ht="21" customHeight="1">
      <c r="A73" s="876"/>
      <c r="B73" s="846"/>
      <c r="C73" s="902"/>
      <c r="D73" s="364" t="s">
        <v>42</v>
      </c>
      <c r="E73" s="476" t="s">
        <v>43</v>
      </c>
      <c r="F73" s="470">
        <v>1</v>
      </c>
      <c r="G73" s="353">
        <v>1</v>
      </c>
      <c r="H73" s="866"/>
      <c r="I73" s="866"/>
      <c r="J73" s="866"/>
      <c r="K73" s="866"/>
      <c r="L73" s="936"/>
      <c r="M73" s="868"/>
      <c r="N73" s="466">
        <v>1</v>
      </c>
      <c r="O73" s="466">
        <v>1</v>
      </c>
      <c r="P73" s="466">
        <v>1</v>
      </c>
      <c r="Q73" s="460">
        <f t="shared" si="6"/>
        <v>1</v>
      </c>
      <c r="R73" s="201"/>
      <c r="S73" s="201" t="str">
        <f t="shared" si="5"/>
        <v>Switch</v>
      </c>
      <c r="T73" s="507">
        <f>$H$72</f>
        <v>46115</v>
      </c>
      <c r="U73" s="507">
        <f>$J$72</f>
        <v>46108</v>
      </c>
    </row>
    <row r="74" spans="1:21" ht="21" customHeight="1">
      <c r="A74" s="873" t="s">
        <v>128</v>
      </c>
      <c r="B74" s="845" t="s">
        <v>129</v>
      </c>
      <c r="C74" s="901">
        <v>1</v>
      </c>
      <c r="D74" s="363" t="s">
        <v>38</v>
      </c>
      <c r="E74" s="475" t="s">
        <v>39</v>
      </c>
      <c r="F74" s="470">
        <v>1</v>
      </c>
      <c r="G74" s="353">
        <v>1</v>
      </c>
      <c r="H74" s="865">
        <v>46118</v>
      </c>
      <c r="I74" s="865">
        <v>46094</v>
      </c>
      <c r="J74" s="865">
        <v>46108</v>
      </c>
      <c r="K74" s="865">
        <v>46108</v>
      </c>
      <c r="L74" s="935" t="s">
        <v>67</v>
      </c>
      <c r="M74" s="867"/>
      <c r="N74" s="466">
        <v>1</v>
      </c>
      <c r="O74" s="466">
        <v>1</v>
      </c>
      <c r="P74" s="466">
        <v>1</v>
      </c>
      <c r="Q74" s="460">
        <f t="shared" si="6"/>
        <v>1</v>
      </c>
      <c r="R74" s="201"/>
      <c r="S74" s="201" t="str">
        <f t="shared" si="5"/>
        <v>Switch</v>
      </c>
      <c r="T74" s="507">
        <f>$H$74</f>
        <v>46118</v>
      </c>
      <c r="U74" s="507">
        <f>$J$74</f>
        <v>46108</v>
      </c>
    </row>
    <row r="75" spans="1:21" ht="21" customHeight="1">
      <c r="A75" s="876"/>
      <c r="B75" s="846"/>
      <c r="C75" s="902"/>
      <c r="D75" s="364" t="s">
        <v>42</v>
      </c>
      <c r="E75" s="476" t="s">
        <v>43</v>
      </c>
      <c r="F75" s="470">
        <v>1</v>
      </c>
      <c r="G75" s="353">
        <v>1</v>
      </c>
      <c r="H75" s="866"/>
      <c r="I75" s="866"/>
      <c r="J75" s="866"/>
      <c r="K75" s="866"/>
      <c r="L75" s="936"/>
      <c r="M75" s="868"/>
      <c r="N75" s="466">
        <v>1</v>
      </c>
      <c r="O75" s="466">
        <v>1</v>
      </c>
      <c r="P75" s="466">
        <v>1</v>
      </c>
      <c r="Q75" s="460">
        <f t="shared" si="6"/>
        <v>1</v>
      </c>
      <c r="R75" s="201"/>
      <c r="S75" s="201" t="str">
        <f t="shared" si="5"/>
        <v>Switch</v>
      </c>
      <c r="T75" s="507">
        <f>$H$74</f>
        <v>46118</v>
      </c>
      <c r="U75" s="507">
        <f>$J$74</f>
        <v>46108</v>
      </c>
    </row>
    <row r="76" spans="1:21" ht="21" customHeight="1">
      <c r="A76" s="873" t="s">
        <v>130</v>
      </c>
      <c r="B76" s="845" t="s">
        <v>129</v>
      </c>
      <c r="C76" s="901">
        <v>1</v>
      </c>
      <c r="D76" s="363" t="s">
        <v>38</v>
      </c>
      <c r="E76" s="475" t="s">
        <v>39</v>
      </c>
      <c r="F76" s="470">
        <v>1</v>
      </c>
      <c r="G76" s="353">
        <v>1</v>
      </c>
      <c r="H76" s="865">
        <v>46118</v>
      </c>
      <c r="I76" s="865">
        <v>46094</v>
      </c>
      <c r="J76" s="865">
        <v>46108</v>
      </c>
      <c r="K76" s="865">
        <v>46108</v>
      </c>
      <c r="L76" s="935" t="s">
        <v>67</v>
      </c>
      <c r="M76" s="867"/>
      <c r="N76" s="466">
        <v>1</v>
      </c>
      <c r="O76" s="466">
        <v>1</v>
      </c>
      <c r="P76" s="466">
        <v>1</v>
      </c>
      <c r="Q76" s="460">
        <f t="shared" si="6"/>
        <v>1</v>
      </c>
      <c r="R76" s="201"/>
      <c r="S76" s="201" t="str">
        <f t="shared" si="5"/>
        <v>Switch</v>
      </c>
      <c r="T76" s="507">
        <f>$H$76</f>
        <v>46118</v>
      </c>
      <c r="U76" s="507">
        <f>$J$76</f>
        <v>46108</v>
      </c>
    </row>
    <row r="77" spans="1:21" ht="21" customHeight="1">
      <c r="A77" s="876"/>
      <c r="B77" s="846"/>
      <c r="C77" s="902"/>
      <c r="D77" s="364" t="s">
        <v>42</v>
      </c>
      <c r="E77" s="476" t="s">
        <v>43</v>
      </c>
      <c r="F77" s="470">
        <v>1</v>
      </c>
      <c r="G77" s="353">
        <v>1</v>
      </c>
      <c r="H77" s="866"/>
      <c r="I77" s="866"/>
      <c r="J77" s="866"/>
      <c r="K77" s="866"/>
      <c r="L77" s="936"/>
      <c r="M77" s="868"/>
      <c r="N77" s="466">
        <v>1</v>
      </c>
      <c r="O77" s="466">
        <v>1</v>
      </c>
      <c r="P77" s="466">
        <v>1</v>
      </c>
      <c r="Q77" s="460">
        <f t="shared" si="6"/>
        <v>1</v>
      </c>
      <c r="R77" s="201"/>
      <c r="S77" s="201" t="str">
        <f t="shared" si="5"/>
        <v>Switch</v>
      </c>
      <c r="T77" s="507">
        <f>$H$76</f>
        <v>46118</v>
      </c>
      <c r="U77" s="507">
        <f>$J$76</f>
        <v>46108</v>
      </c>
    </row>
    <row r="78" spans="1:21" ht="21" customHeight="1">
      <c r="A78" s="369" t="s">
        <v>131</v>
      </c>
      <c r="B78" s="776" t="s">
        <v>132</v>
      </c>
      <c r="C78" s="370">
        <v>1</v>
      </c>
      <c r="D78" s="363" t="s">
        <v>38</v>
      </c>
      <c r="E78" s="475" t="s">
        <v>39</v>
      </c>
      <c r="F78" s="470">
        <v>1</v>
      </c>
      <c r="G78" s="353">
        <v>1</v>
      </c>
      <c r="H78" s="782">
        <v>46119</v>
      </c>
      <c r="I78" s="503">
        <v>46094</v>
      </c>
      <c r="J78" s="782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6"/>
        <v>0</v>
      </c>
      <c r="R78" s="201"/>
      <c r="S78" s="201" t="str">
        <f t="shared" si="5"/>
        <v>Switch</v>
      </c>
      <c r="T78" s="507">
        <f>$H$78</f>
        <v>46119</v>
      </c>
      <c r="U78" s="507">
        <f>$J$78</f>
        <v>0</v>
      </c>
    </row>
    <row r="79" spans="1:21" ht="21" customHeight="1">
      <c r="A79" s="873" t="s">
        <v>133</v>
      </c>
      <c r="B79" s="845" t="s">
        <v>69</v>
      </c>
      <c r="C79" s="901">
        <v>1</v>
      </c>
      <c r="D79" s="363" t="s">
        <v>38</v>
      </c>
      <c r="E79" s="475" t="s">
        <v>39</v>
      </c>
      <c r="F79" s="470">
        <v>1</v>
      </c>
      <c r="G79" s="353">
        <v>1</v>
      </c>
      <c r="H79" s="865">
        <v>46119</v>
      </c>
      <c r="I79" s="865">
        <v>46094</v>
      </c>
      <c r="J79" s="865">
        <v>46112</v>
      </c>
      <c r="K79" s="865">
        <v>46112</v>
      </c>
      <c r="L79" s="935" t="s">
        <v>67</v>
      </c>
      <c r="M79" s="867" t="s">
        <v>134</v>
      </c>
      <c r="N79" s="466">
        <v>1</v>
      </c>
      <c r="O79" s="466">
        <v>1</v>
      </c>
      <c r="P79" s="466">
        <v>1</v>
      </c>
      <c r="Q79" s="200">
        <f t="shared" si="6"/>
        <v>1</v>
      </c>
      <c r="R79" s="201"/>
      <c r="S79" s="201" t="str">
        <f t="shared" si="5"/>
        <v>Switch</v>
      </c>
      <c r="T79" s="507">
        <f>$H$79</f>
        <v>46119</v>
      </c>
      <c r="U79" s="507">
        <f>$J$79</f>
        <v>46112</v>
      </c>
    </row>
    <row r="80" spans="1:21" ht="21" customHeight="1">
      <c r="A80" s="874"/>
      <c r="B80" s="846"/>
      <c r="C80" s="902"/>
      <c r="D80" s="364" t="s">
        <v>42</v>
      </c>
      <c r="E80" s="476" t="s">
        <v>43</v>
      </c>
      <c r="F80" s="470">
        <v>1</v>
      </c>
      <c r="G80" s="353">
        <v>1</v>
      </c>
      <c r="H80" s="866"/>
      <c r="I80" s="866"/>
      <c r="J80" s="866"/>
      <c r="K80" s="866"/>
      <c r="L80" s="936"/>
      <c r="M80" s="868"/>
      <c r="N80" s="466">
        <v>1</v>
      </c>
      <c r="O80" s="466">
        <v>1</v>
      </c>
      <c r="P80" s="466">
        <v>1</v>
      </c>
      <c r="Q80" s="200">
        <f t="shared" si="6"/>
        <v>1</v>
      </c>
      <c r="R80" s="201"/>
      <c r="S80" s="201" t="str">
        <f t="shared" si="5"/>
        <v>Switch</v>
      </c>
      <c r="T80" s="507">
        <f>$H$79</f>
        <v>46119</v>
      </c>
      <c r="U80" s="507">
        <f>$J$79</f>
        <v>46112</v>
      </c>
    </row>
    <row r="81" spans="1:21" ht="21" customHeight="1">
      <c r="A81" s="903"/>
      <c r="B81" s="776" t="s">
        <v>135</v>
      </c>
      <c r="C81" s="353">
        <v>1</v>
      </c>
      <c r="D81" s="363" t="s">
        <v>42</v>
      </c>
      <c r="E81" s="476" t="s">
        <v>43</v>
      </c>
      <c r="F81" s="470">
        <v>1</v>
      </c>
      <c r="G81" s="353">
        <v>1</v>
      </c>
      <c r="H81" s="782">
        <v>46120</v>
      </c>
      <c r="I81" s="503">
        <v>46094</v>
      </c>
      <c r="J81" s="782">
        <v>46112</v>
      </c>
      <c r="K81" s="782">
        <v>46112</v>
      </c>
      <c r="L81" s="501" t="s">
        <v>67</v>
      </c>
      <c r="M81" s="480" t="s">
        <v>136</v>
      </c>
      <c r="N81" s="466">
        <v>1</v>
      </c>
      <c r="O81" s="466">
        <v>1</v>
      </c>
      <c r="P81" s="466">
        <v>1</v>
      </c>
      <c r="Q81" s="200">
        <f t="shared" si="6"/>
        <v>1</v>
      </c>
      <c r="R81" s="201"/>
      <c r="S81" s="201" t="str">
        <f t="shared" si="5"/>
        <v>Switch</v>
      </c>
      <c r="T81" s="507">
        <f>$H$81</f>
        <v>46120</v>
      </c>
      <c r="U81" s="507">
        <f>$J$81</f>
        <v>46112</v>
      </c>
    </row>
    <row r="82" spans="1:21" ht="21" customHeight="1">
      <c r="A82" s="873" t="s">
        <v>137</v>
      </c>
      <c r="B82" s="724" t="s">
        <v>109</v>
      </c>
      <c r="C82" s="725">
        <v>1</v>
      </c>
      <c r="D82" s="722" t="s">
        <v>42</v>
      </c>
      <c r="E82" s="476" t="s">
        <v>43</v>
      </c>
      <c r="F82" s="470">
        <v>2</v>
      </c>
      <c r="G82" s="353">
        <v>2</v>
      </c>
      <c r="H82" s="782">
        <v>46120</v>
      </c>
      <c r="I82" s="503">
        <v>46094</v>
      </c>
      <c r="J82" s="782">
        <v>46102</v>
      </c>
      <c r="K82" s="782">
        <v>46102</v>
      </c>
      <c r="L82" s="501" t="s">
        <v>67</v>
      </c>
      <c r="M82" s="480" t="s">
        <v>138</v>
      </c>
      <c r="N82" s="466">
        <v>2</v>
      </c>
      <c r="O82" s="466">
        <v>2</v>
      </c>
      <c r="P82" s="466">
        <v>2</v>
      </c>
      <c r="Q82" s="200">
        <f t="shared" si="6"/>
        <v>1</v>
      </c>
      <c r="R82" s="201"/>
      <c r="S82" s="201" t="str">
        <f t="shared" si="5"/>
        <v>Switch</v>
      </c>
      <c r="T82" s="507">
        <f>$H$82</f>
        <v>46120</v>
      </c>
      <c r="U82" s="507">
        <f>$J$82</f>
        <v>46102</v>
      </c>
    </row>
    <row r="83" spans="1:21" ht="42" customHeight="1">
      <c r="A83" s="903"/>
      <c r="B83" s="724" t="s">
        <v>139</v>
      </c>
      <c r="C83" s="725">
        <v>2</v>
      </c>
      <c r="D83" s="722" t="s">
        <v>42</v>
      </c>
      <c r="E83" s="476" t="s">
        <v>43</v>
      </c>
      <c r="F83" s="577">
        <v>4</v>
      </c>
      <c r="G83" s="353">
        <v>4</v>
      </c>
      <c r="H83" s="782">
        <v>46122</v>
      </c>
      <c r="I83" s="503">
        <f>H83+2</f>
        <v>46124</v>
      </c>
      <c r="J83" s="782">
        <v>46102</v>
      </c>
      <c r="K83" s="782">
        <v>46102</v>
      </c>
      <c r="L83" s="501" t="s">
        <v>67</v>
      </c>
      <c r="M83" s="480" t="s">
        <v>138</v>
      </c>
      <c r="N83" s="466">
        <v>4</v>
      </c>
      <c r="O83" s="466">
        <v>4</v>
      </c>
      <c r="P83" s="466">
        <v>4</v>
      </c>
      <c r="Q83" s="200">
        <f t="shared" si="6"/>
        <v>1</v>
      </c>
      <c r="R83" s="201"/>
      <c r="S83" s="201" t="str">
        <f t="shared" si="5"/>
        <v>Switch</v>
      </c>
      <c r="T83" s="507">
        <f>$H$83</f>
        <v>46122</v>
      </c>
      <c r="U83" s="507">
        <f>$J$83</f>
        <v>46102</v>
      </c>
    </row>
    <row r="84" spans="1:21" ht="21" customHeight="1">
      <c r="A84" s="842" t="s">
        <v>140</v>
      </c>
      <c r="B84" s="867" t="s">
        <v>141</v>
      </c>
      <c r="C84" s="370">
        <v>1</v>
      </c>
      <c r="D84" s="363" t="s">
        <v>38</v>
      </c>
      <c r="E84" s="475" t="s">
        <v>39</v>
      </c>
      <c r="F84" s="527">
        <v>0</v>
      </c>
      <c r="G84" s="353">
        <v>1</v>
      </c>
      <c r="H84" s="943">
        <v>46122</v>
      </c>
      <c r="I84" s="943">
        <f>H84+2</f>
        <v>46124</v>
      </c>
      <c r="J84" s="943">
        <v>46113</v>
      </c>
      <c r="K84" s="953"/>
      <c r="L84" s="946" t="s">
        <v>142</v>
      </c>
      <c r="M84" s="977" t="s">
        <v>143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144</v>
      </c>
      <c r="S84" s="201" t="str">
        <f t="shared" si="5"/>
        <v>Switch</v>
      </c>
      <c r="T84" s="507">
        <f>$H$83</f>
        <v>46122</v>
      </c>
      <c r="U84" s="507">
        <f>$J$83</f>
        <v>46102</v>
      </c>
    </row>
    <row r="85" spans="1:21" ht="42" customHeight="1">
      <c r="A85" s="844"/>
      <c r="B85" s="868"/>
      <c r="C85" s="353">
        <v>1</v>
      </c>
      <c r="D85" s="363" t="s">
        <v>42</v>
      </c>
      <c r="E85" s="476" t="s">
        <v>43</v>
      </c>
      <c r="F85" s="470">
        <v>1</v>
      </c>
      <c r="G85" s="353">
        <v>1</v>
      </c>
      <c r="H85" s="950"/>
      <c r="I85" s="950"/>
      <c r="J85" s="950"/>
      <c r="K85" s="954"/>
      <c r="L85" s="979"/>
      <c r="M85" s="978"/>
      <c r="N85" s="466">
        <v>1</v>
      </c>
      <c r="O85" s="466">
        <v>1</v>
      </c>
      <c r="P85" s="466">
        <v>0</v>
      </c>
      <c r="Q85" s="200">
        <f t="shared" ref="Q85:Q89" si="7">IF($G85=0,1,(N85+O85+P85)/($G85*3))</f>
        <v>0.66666666666666663</v>
      </c>
      <c r="R85" s="201" t="s">
        <v>144</v>
      </c>
      <c r="S85" s="201" t="str">
        <f t="shared" si="5"/>
        <v>Switch</v>
      </c>
      <c r="T85" s="507">
        <f>$H$84</f>
        <v>46122</v>
      </c>
      <c r="U85" s="507">
        <f>$J$84</f>
        <v>46113</v>
      </c>
    </row>
    <row r="86" spans="1:21" ht="21" customHeight="1">
      <c r="A86" s="371" t="s">
        <v>145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507"/>
      <c r="U86" s="507"/>
    </row>
    <row r="87" spans="1:21" ht="21" customHeight="1">
      <c r="A87" s="951" t="s">
        <v>113</v>
      </c>
      <c r="B87" s="891" t="s">
        <v>146</v>
      </c>
      <c r="C87" s="893">
        <v>2</v>
      </c>
      <c r="D87" s="733" t="s">
        <v>38</v>
      </c>
      <c r="E87" s="475" t="s">
        <v>39</v>
      </c>
      <c r="F87" s="486" t="s">
        <v>40</v>
      </c>
      <c r="G87" s="353">
        <v>1</v>
      </c>
      <c r="H87" s="943">
        <v>46113</v>
      </c>
      <c r="I87" s="943">
        <v>46093</v>
      </c>
      <c r="J87" s="943">
        <v>46113</v>
      </c>
      <c r="K87" s="943">
        <v>46113</v>
      </c>
      <c r="L87" s="946" t="s">
        <v>67</v>
      </c>
      <c r="M87" s="867" t="s">
        <v>147</v>
      </c>
      <c r="N87" s="466">
        <v>1</v>
      </c>
      <c r="O87" s="466">
        <v>1</v>
      </c>
      <c r="P87" s="466">
        <v>1</v>
      </c>
      <c r="Q87" s="200">
        <f t="shared" si="7"/>
        <v>1</v>
      </c>
      <c r="R87" s="201"/>
      <c r="S87" s="201" t="str">
        <f t="shared" si="5"/>
        <v>Switch</v>
      </c>
      <c r="T87" s="507">
        <f>$H$87</f>
        <v>46113</v>
      </c>
      <c r="U87" s="507">
        <f>$J$87</f>
        <v>46113</v>
      </c>
    </row>
    <row r="88" spans="1:21" ht="21" customHeight="1">
      <c r="A88" s="952"/>
      <c r="B88" s="892"/>
      <c r="C88" s="894"/>
      <c r="D88" s="732" t="s">
        <v>42</v>
      </c>
      <c r="E88" s="487" t="s">
        <v>43</v>
      </c>
      <c r="F88" s="488" t="s">
        <v>40</v>
      </c>
      <c r="G88" s="353">
        <v>2</v>
      </c>
      <c r="H88" s="950"/>
      <c r="I88" s="950"/>
      <c r="J88" s="950"/>
      <c r="K88" s="950"/>
      <c r="L88" s="936"/>
      <c r="M88" s="868"/>
      <c r="N88" s="466">
        <v>2</v>
      </c>
      <c r="O88" s="466">
        <v>2</v>
      </c>
      <c r="P88" s="466">
        <v>2</v>
      </c>
      <c r="Q88" s="200">
        <f t="shared" si="7"/>
        <v>1</v>
      </c>
      <c r="R88" s="201"/>
      <c r="S88" s="201" t="str">
        <f t="shared" si="5"/>
        <v>Switch</v>
      </c>
      <c r="T88" s="507">
        <f>$H$87</f>
        <v>46113</v>
      </c>
      <c r="U88" s="507">
        <f>$J$87</f>
        <v>46113</v>
      </c>
    </row>
    <row r="89" spans="1:21" s="537" customFormat="1" ht="42" customHeight="1">
      <c r="A89" s="624" t="s">
        <v>74</v>
      </c>
      <c r="B89" s="625" t="s">
        <v>148</v>
      </c>
      <c r="C89" s="626">
        <v>2</v>
      </c>
      <c r="D89" s="627" t="s">
        <v>38</v>
      </c>
      <c r="E89" s="628" t="s">
        <v>39</v>
      </c>
      <c r="F89" s="629" t="s">
        <v>40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67</v>
      </c>
      <c r="M89" s="621" t="s">
        <v>147</v>
      </c>
      <c r="N89" s="631">
        <v>1</v>
      </c>
      <c r="O89" s="631">
        <v>1</v>
      </c>
      <c r="P89" s="631">
        <v>1</v>
      </c>
      <c r="Q89" s="7">
        <f t="shared" si="7"/>
        <v>1</v>
      </c>
      <c r="R89" s="8"/>
      <c r="S89" s="201" t="str">
        <f t="shared" si="5"/>
        <v>Switch</v>
      </c>
      <c r="T89" s="536">
        <f>$H$89</f>
        <v>46078</v>
      </c>
      <c r="U89" s="536">
        <f>$J$89</f>
        <v>0</v>
      </c>
    </row>
    <row r="90" spans="1:21" ht="21" customHeight="1">
      <c r="E90" s="489" t="s">
        <v>149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</row>
    <row r="91" spans="1:21" ht="2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</row>
    <row r="92" spans="1:21" ht="21">
      <c r="M92" s="492" t="s">
        <v>150</v>
      </c>
    </row>
    <row r="93" spans="1:21" ht="21">
      <c r="M93" s="493">
        <f>SUM(P17:P89)</f>
        <v>162</v>
      </c>
    </row>
    <row r="94" spans="1:21" ht="21">
      <c r="M94" s="494">
        <f>M93/170</f>
        <v>0.95294117647058818</v>
      </c>
    </row>
    <row r="95" spans="1:21" ht="24" customHeight="1">
      <c r="N95" s="194">
        <v>170</v>
      </c>
    </row>
    <row r="96" spans="1:21" ht="24" customHeight="1">
      <c r="N96" s="721">
        <f>N95-M93</f>
        <v>8</v>
      </c>
    </row>
  </sheetData>
  <autoFilter ref="A1:U96" xr:uid="{EE30FD31-2E01-4AF4-9806-0C27F692DB33}">
    <filterColumn colId="7" showButton="0"/>
  </autoFilter>
  <mergeCells count="242">
    <mergeCell ref="J87:J88"/>
    <mergeCell ref="J84:J85"/>
    <mergeCell ref="J46:J47"/>
    <mergeCell ref="J48:J49"/>
    <mergeCell ref="J58:J59"/>
    <mergeCell ref="J60:J61"/>
    <mergeCell ref="J62:J63"/>
    <mergeCell ref="L84:L85"/>
    <mergeCell ref="J64:J65"/>
    <mergeCell ref="J66:J67"/>
    <mergeCell ref="J70:J71"/>
    <mergeCell ref="J72:J73"/>
    <mergeCell ref="J74:J75"/>
    <mergeCell ref="J76:J77"/>
    <mergeCell ref="J79:J80"/>
    <mergeCell ref="J1:J2"/>
    <mergeCell ref="J3:J4"/>
    <mergeCell ref="J5:J16"/>
    <mergeCell ref="J19:J20"/>
    <mergeCell ref="J21:J22"/>
    <mergeCell ref="J28:J29"/>
    <mergeCell ref="J30:J31"/>
    <mergeCell ref="J32:J33"/>
    <mergeCell ref="P1:P2"/>
    <mergeCell ref="K32:K33"/>
    <mergeCell ref="L32:L33"/>
    <mergeCell ref="K28:K29"/>
    <mergeCell ref="M21:M22"/>
    <mergeCell ref="K21:K22"/>
    <mergeCell ref="M1:M2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I87:I88"/>
    <mergeCell ref="M87:M88"/>
    <mergeCell ref="A82:A83"/>
    <mergeCell ref="A87:A88"/>
    <mergeCell ref="B87:B88"/>
    <mergeCell ref="C87:C88"/>
    <mergeCell ref="H87:H88"/>
    <mergeCell ref="M76:M77"/>
    <mergeCell ref="A79:A81"/>
    <mergeCell ref="B79:B80"/>
    <mergeCell ref="C79:C80"/>
    <mergeCell ref="H79:H80"/>
    <mergeCell ref="I79:I80"/>
    <mergeCell ref="M79:M80"/>
    <mergeCell ref="A76:A77"/>
    <mergeCell ref="B76:B77"/>
    <mergeCell ref="C76:C77"/>
    <mergeCell ref="H76:H77"/>
    <mergeCell ref="I76:I77"/>
    <mergeCell ref="K76:K77"/>
    <mergeCell ref="K79:K80"/>
    <mergeCell ref="H84:H85"/>
    <mergeCell ref="I84:I85"/>
    <mergeCell ref="K84:K85"/>
    <mergeCell ref="A74:A75"/>
    <mergeCell ref="B74:B75"/>
    <mergeCell ref="C74:C75"/>
    <mergeCell ref="H74:H75"/>
    <mergeCell ref="I74:I75"/>
    <mergeCell ref="M74:M75"/>
    <mergeCell ref="A72:A73"/>
    <mergeCell ref="B72:B73"/>
    <mergeCell ref="C72:C73"/>
    <mergeCell ref="H72:H73"/>
    <mergeCell ref="I72:I73"/>
    <mergeCell ref="K72:K73"/>
    <mergeCell ref="K74:K75"/>
    <mergeCell ref="I64:I65"/>
    <mergeCell ref="M64:M65"/>
    <mergeCell ref="B62:B63"/>
    <mergeCell ref="C62:C63"/>
    <mergeCell ref="H62:H63"/>
    <mergeCell ref="I62:I63"/>
    <mergeCell ref="M62:M63"/>
    <mergeCell ref="B70:B71"/>
    <mergeCell ref="C70:C71"/>
    <mergeCell ref="H70:H71"/>
    <mergeCell ref="I70:I71"/>
    <mergeCell ref="M70:M71"/>
    <mergeCell ref="B66:B67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B46:B47"/>
    <mergeCell ref="C46:C47"/>
    <mergeCell ref="H46:H47"/>
    <mergeCell ref="I46:I47"/>
    <mergeCell ref="M46:M47"/>
    <mergeCell ref="B60:B61"/>
    <mergeCell ref="C60:C61"/>
    <mergeCell ref="H60:H61"/>
    <mergeCell ref="I60:I61"/>
    <mergeCell ref="M60:M61"/>
    <mergeCell ref="B58:B59"/>
    <mergeCell ref="C58:C59"/>
    <mergeCell ref="H58:H59"/>
    <mergeCell ref="I58:I59"/>
    <mergeCell ref="M58:M59"/>
    <mergeCell ref="K46:K47"/>
    <mergeCell ref="K48:K49"/>
    <mergeCell ref="K58:K59"/>
    <mergeCell ref="K60:K61"/>
    <mergeCell ref="L46:L47"/>
    <mergeCell ref="L48:L49"/>
    <mergeCell ref="L58:L59"/>
    <mergeCell ref="L60:L61"/>
    <mergeCell ref="C44:C45"/>
    <mergeCell ref="H44:H45"/>
    <mergeCell ref="I44:I45"/>
    <mergeCell ref="M44:M45"/>
    <mergeCell ref="B40:B41"/>
    <mergeCell ref="C40:C41"/>
    <mergeCell ref="M40:M41"/>
    <mergeCell ref="K44:K45"/>
    <mergeCell ref="L44:L45"/>
    <mergeCell ref="J44:J45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I21:I22"/>
    <mergeCell ref="H17:H18"/>
    <mergeCell ref="I17:I18"/>
    <mergeCell ref="M17:M18"/>
    <mergeCell ref="B19:B20"/>
    <mergeCell ref="C19:C20"/>
    <mergeCell ref="H19:H20"/>
    <mergeCell ref="I19:I20"/>
    <mergeCell ref="M19:M20"/>
    <mergeCell ref="K17:K18"/>
    <mergeCell ref="K19:K20"/>
    <mergeCell ref="J17:J18"/>
    <mergeCell ref="I3:I4"/>
    <mergeCell ref="M3:M4"/>
    <mergeCell ref="B5:B16"/>
    <mergeCell ref="C5:C16"/>
    <mergeCell ref="H5:H16"/>
    <mergeCell ref="I5:I16"/>
    <mergeCell ref="M5:M16"/>
    <mergeCell ref="B17:B18"/>
    <mergeCell ref="C17:C18"/>
    <mergeCell ref="B1:B2"/>
    <mergeCell ref="C1:C2"/>
    <mergeCell ref="D1:D2"/>
    <mergeCell ref="E1:E2"/>
    <mergeCell ref="F1:F2"/>
    <mergeCell ref="A1:A2"/>
    <mergeCell ref="B21:B22"/>
    <mergeCell ref="C21:C22"/>
    <mergeCell ref="H21:H22"/>
    <mergeCell ref="A3:A24"/>
    <mergeCell ref="B3:B4"/>
    <mergeCell ref="C3:C4"/>
    <mergeCell ref="H3:H4"/>
    <mergeCell ref="A58:A63"/>
    <mergeCell ref="A64:A67"/>
    <mergeCell ref="A70:A71"/>
    <mergeCell ref="B84:B85"/>
    <mergeCell ref="A84:A85"/>
    <mergeCell ref="G1:G2"/>
    <mergeCell ref="H1:I1"/>
    <mergeCell ref="B28:B29"/>
    <mergeCell ref="C28:C29"/>
    <mergeCell ref="H28:H29"/>
    <mergeCell ref="I28:I29"/>
    <mergeCell ref="B37:B38"/>
    <mergeCell ref="C37:C38"/>
    <mergeCell ref="H37:H38"/>
    <mergeCell ref="I37:I38"/>
    <mergeCell ref="B48:B49"/>
    <mergeCell ref="C48:C49"/>
    <mergeCell ref="H48:H49"/>
    <mergeCell ref="I48:I49"/>
    <mergeCell ref="B64:B65"/>
    <mergeCell ref="C64:C65"/>
    <mergeCell ref="H64:H65"/>
    <mergeCell ref="B26:B27"/>
    <mergeCell ref="B44:B45"/>
    <mergeCell ref="A25:A57"/>
    <mergeCell ref="B23:B24"/>
    <mergeCell ref="C23:C24"/>
    <mergeCell ref="H23:H24"/>
    <mergeCell ref="I23:I24"/>
    <mergeCell ref="J23:J24"/>
    <mergeCell ref="K23:K24"/>
    <mergeCell ref="L23:L24"/>
    <mergeCell ref="M23:M24"/>
    <mergeCell ref="M28:M29"/>
    <mergeCell ref="C26:C27"/>
    <mergeCell ref="H26:H27"/>
    <mergeCell ref="I26:I27"/>
    <mergeCell ref="M26:M27"/>
    <mergeCell ref="B32:B33"/>
    <mergeCell ref="C32:C33"/>
    <mergeCell ref="H32:H33"/>
    <mergeCell ref="I32:I33"/>
    <mergeCell ref="M32:M33"/>
    <mergeCell ref="B30:B31"/>
    <mergeCell ref="C30:C31"/>
    <mergeCell ref="H30:H31"/>
    <mergeCell ref="I30:I31"/>
    <mergeCell ref="M30:M31"/>
  </mergeCells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tabSelected="1" topLeftCell="E1" zoomScale="91" zoomScaleNormal="91" workbookViewId="0">
      <pane ySplit="1" topLeftCell="A97" activePane="bottomLeft" state="frozen"/>
      <selection pane="bottomLeft" activeCell="T116" sqref="T116:T117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20" width="17.6640625" style="220" customWidth="1"/>
    <col min="21" max="16384" width="71.44140625" style="68"/>
  </cols>
  <sheetData>
    <row r="1" spans="1:20" ht="21">
      <c r="A1" s="385" t="s">
        <v>15</v>
      </c>
      <c r="B1" s="774" t="s">
        <v>17</v>
      </c>
      <c r="C1" s="784" t="s">
        <v>16</v>
      </c>
      <c r="D1" s="771" t="s">
        <v>151</v>
      </c>
      <c r="E1" s="783" t="s">
        <v>152</v>
      </c>
      <c r="F1" s="783" t="s">
        <v>153</v>
      </c>
      <c r="G1" s="783" t="s">
        <v>154</v>
      </c>
      <c r="H1" s="797" t="s">
        <v>155</v>
      </c>
      <c r="I1" s="497" t="s">
        <v>23</v>
      </c>
      <c r="J1" s="497" t="s">
        <v>24</v>
      </c>
      <c r="K1" s="771" t="s">
        <v>151</v>
      </c>
      <c r="L1" s="783" t="s">
        <v>152</v>
      </c>
      <c r="M1" s="783" t="s">
        <v>153</v>
      </c>
      <c r="N1" s="783" t="s">
        <v>154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9" t="s">
        <v>32</v>
      </c>
    </row>
    <row r="2" spans="1:20" ht="21">
      <c r="A2" s="988" t="s">
        <v>74</v>
      </c>
      <c r="B2" s="984">
        <v>1</v>
      </c>
      <c r="C2" s="79" t="s">
        <v>156</v>
      </c>
      <c r="D2" s="8">
        <v>1</v>
      </c>
      <c r="E2" s="8">
        <v>1</v>
      </c>
      <c r="F2" s="386">
        <v>0</v>
      </c>
      <c r="G2" s="815" t="s">
        <v>157</v>
      </c>
      <c r="H2" s="991">
        <v>244403</v>
      </c>
      <c r="I2" s="496"/>
      <c r="J2" s="496"/>
      <c r="K2" s="8">
        <v>1</v>
      </c>
      <c r="L2" s="8">
        <v>1</v>
      </c>
      <c r="M2" s="386">
        <v>0</v>
      </c>
      <c r="N2" s="815" t="s">
        <v>157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7">
        <f>$H$2</f>
        <v>244403</v>
      </c>
    </row>
    <row r="3" spans="1:20" ht="21">
      <c r="A3" s="988"/>
      <c r="B3" s="984"/>
      <c r="C3" s="79" t="s">
        <v>158</v>
      </c>
      <c r="D3" s="8">
        <v>1</v>
      </c>
      <c r="E3" s="8">
        <v>1</v>
      </c>
      <c r="F3" s="386">
        <v>0</v>
      </c>
      <c r="G3" s="815" t="s">
        <v>157</v>
      </c>
      <c r="H3" s="992"/>
      <c r="I3" s="79"/>
      <c r="J3" s="79"/>
      <c r="K3" s="8">
        <v>1</v>
      </c>
      <c r="L3" s="8">
        <v>1</v>
      </c>
      <c r="M3" s="386">
        <v>0</v>
      </c>
      <c r="N3" s="815" t="s">
        <v>157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7">
        <f t="shared" ref="T3:U11" si="1">$H$2</f>
        <v>244403</v>
      </c>
    </row>
    <row r="4" spans="1:20" ht="21">
      <c r="A4" s="988"/>
      <c r="B4" s="984"/>
      <c r="C4" s="79" t="s">
        <v>159</v>
      </c>
      <c r="D4" s="8">
        <v>1</v>
      </c>
      <c r="E4" s="8">
        <v>1</v>
      </c>
      <c r="F4" s="386">
        <v>0</v>
      </c>
      <c r="G4" s="815" t="s">
        <v>157</v>
      </c>
      <c r="H4" s="992"/>
      <c r="I4" s="79"/>
      <c r="J4" s="79"/>
      <c r="K4" s="8">
        <v>1</v>
      </c>
      <c r="L4" s="8">
        <v>1</v>
      </c>
      <c r="M4" s="386">
        <v>0</v>
      </c>
      <c r="N4" s="815" t="s">
        <v>157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7">
        <f t="shared" si="1"/>
        <v>244403</v>
      </c>
    </row>
    <row r="5" spans="1:20" ht="21">
      <c r="A5" s="988"/>
      <c r="B5" s="984"/>
      <c r="C5" s="79" t="s">
        <v>160</v>
      </c>
      <c r="D5" s="8">
        <v>1</v>
      </c>
      <c r="E5" s="8">
        <v>1</v>
      </c>
      <c r="F5" s="386">
        <v>0</v>
      </c>
      <c r="G5" s="815" t="s">
        <v>157</v>
      </c>
      <c r="H5" s="992"/>
      <c r="I5" s="79"/>
      <c r="J5" s="79"/>
      <c r="K5" s="8">
        <v>1</v>
      </c>
      <c r="L5" s="8">
        <v>1</v>
      </c>
      <c r="M5" s="386">
        <v>0</v>
      </c>
      <c r="N5" s="815" t="s">
        <v>157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7">
        <f t="shared" si="1"/>
        <v>244403</v>
      </c>
    </row>
    <row r="6" spans="1:20" ht="21">
      <c r="A6" s="988"/>
      <c r="B6" s="984"/>
      <c r="C6" s="79" t="s">
        <v>161</v>
      </c>
      <c r="D6" s="8">
        <v>1</v>
      </c>
      <c r="E6" s="8">
        <v>1</v>
      </c>
      <c r="F6" s="386">
        <v>0</v>
      </c>
      <c r="G6" s="815" t="s">
        <v>157</v>
      </c>
      <c r="H6" s="992"/>
      <c r="I6" s="79"/>
      <c r="J6" s="79"/>
      <c r="K6" s="8">
        <v>1</v>
      </c>
      <c r="L6" s="8">
        <v>1</v>
      </c>
      <c r="M6" s="386">
        <v>0</v>
      </c>
      <c r="N6" s="815" t="s">
        <v>157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7">
        <f t="shared" si="1"/>
        <v>244403</v>
      </c>
    </row>
    <row r="7" spans="1:20" ht="21">
      <c r="A7" s="988"/>
      <c r="B7" s="984"/>
      <c r="C7" s="79" t="s">
        <v>162</v>
      </c>
      <c r="D7" s="8">
        <v>1</v>
      </c>
      <c r="E7" s="8">
        <v>1</v>
      </c>
      <c r="F7" s="386">
        <v>0</v>
      </c>
      <c r="G7" s="815" t="s">
        <v>157</v>
      </c>
      <c r="H7" s="992"/>
      <c r="I7" s="79"/>
      <c r="J7" s="79"/>
      <c r="K7" s="8">
        <v>1</v>
      </c>
      <c r="L7" s="8">
        <v>1</v>
      </c>
      <c r="M7" s="386">
        <v>0</v>
      </c>
      <c r="N7" s="815" t="s">
        <v>157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7">
        <f t="shared" si="1"/>
        <v>244403</v>
      </c>
    </row>
    <row r="8" spans="1:20" ht="21">
      <c r="A8" s="988"/>
      <c r="B8" s="984"/>
      <c r="C8" s="79" t="s">
        <v>163</v>
      </c>
      <c r="D8" s="8">
        <v>1</v>
      </c>
      <c r="E8" s="8">
        <v>1</v>
      </c>
      <c r="F8" s="386">
        <v>0</v>
      </c>
      <c r="G8" s="815" t="s">
        <v>157</v>
      </c>
      <c r="H8" s="992"/>
      <c r="I8" s="79"/>
      <c r="J8" s="79"/>
      <c r="K8" s="8">
        <v>1</v>
      </c>
      <c r="L8" s="8">
        <v>1</v>
      </c>
      <c r="M8" s="386">
        <v>0</v>
      </c>
      <c r="N8" s="815" t="s">
        <v>157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7">
        <f t="shared" si="1"/>
        <v>244403</v>
      </c>
    </row>
    <row r="9" spans="1:20" ht="21">
      <c r="A9" s="988"/>
      <c r="B9" s="984"/>
      <c r="C9" s="79" t="s">
        <v>164</v>
      </c>
      <c r="D9" s="8">
        <v>1</v>
      </c>
      <c r="E9" s="8">
        <v>1</v>
      </c>
      <c r="F9" s="386">
        <v>0</v>
      </c>
      <c r="G9" s="815" t="s">
        <v>157</v>
      </c>
      <c r="H9" s="992"/>
      <c r="I9" s="79"/>
      <c r="J9" s="79"/>
      <c r="K9" s="8">
        <v>1</v>
      </c>
      <c r="L9" s="8">
        <v>1</v>
      </c>
      <c r="M9" s="386">
        <v>0</v>
      </c>
      <c r="N9" s="815" t="s">
        <v>157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7">
        <f t="shared" si="1"/>
        <v>244403</v>
      </c>
    </row>
    <row r="10" spans="1:20" ht="21">
      <c r="A10" s="988"/>
      <c r="B10" s="984"/>
      <c r="C10" s="79" t="s">
        <v>165</v>
      </c>
      <c r="D10" s="8">
        <v>1</v>
      </c>
      <c r="E10" s="8">
        <v>1</v>
      </c>
      <c r="F10" s="386">
        <v>0</v>
      </c>
      <c r="G10" s="815" t="s">
        <v>157</v>
      </c>
      <c r="H10" s="993"/>
      <c r="I10" s="79"/>
      <c r="J10" s="79"/>
      <c r="K10" s="8">
        <v>1</v>
      </c>
      <c r="L10" s="8">
        <v>1</v>
      </c>
      <c r="M10" s="386">
        <v>0</v>
      </c>
      <c r="N10" s="815" t="s">
        <v>157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7">
        <f t="shared" si="1"/>
        <v>244403</v>
      </c>
    </row>
    <row r="11" spans="1:20" ht="21">
      <c r="A11" s="988"/>
      <c r="B11" s="984">
        <v>2</v>
      </c>
      <c r="C11" s="79" t="s">
        <v>166</v>
      </c>
      <c r="D11" s="8">
        <v>2</v>
      </c>
      <c r="E11" s="8">
        <v>2</v>
      </c>
      <c r="F11" s="386">
        <v>0</v>
      </c>
      <c r="G11" s="815" t="s">
        <v>157</v>
      </c>
      <c r="H11" s="980">
        <v>46082</v>
      </c>
      <c r="I11" s="79"/>
      <c r="J11" s="79"/>
      <c r="K11" s="8">
        <v>2</v>
      </c>
      <c r="L11" s="8">
        <v>2</v>
      </c>
      <c r="M11" s="386">
        <v>0</v>
      </c>
      <c r="N11" s="815" t="s">
        <v>157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7">
        <f>$H$11</f>
        <v>46082</v>
      </c>
    </row>
    <row r="12" spans="1:20" ht="21">
      <c r="A12" s="988"/>
      <c r="B12" s="984"/>
      <c r="C12" s="79" t="s">
        <v>167</v>
      </c>
      <c r="D12" s="8">
        <v>1</v>
      </c>
      <c r="E12" s="8">
        <v>1</v>
      </c>
      <c r="F12" s="386">
        <v>0</v>
      </c>
      <c r="G12" s="815" t="s">
        <v>157</v>
      </c>
      <c r="H12" s="982"/>
      <c r="I12" s="79"/>
      <c r="J12" s="79"/>
      <c r="K12" s="8">
        <v>1</v>
      </c>
      <c r="L12" s="8">
        <v>1</v>
      </c>
      <c r="M12" s="386">
        <v>0</v>
      </c>
      <c r="N12" s="815" t="s">
        <v>157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7">
        <f t="shared" ref="T12:T26" si="2">$H$11</f>
        <v>46082</v>
      </c>
    </row>
    <row r="13" spans="1:20" ht="21">
      <c r="A13" s="988"/>
      <c r="B13" s="984"/>
      <c r="C13" s="79" t="s">
        <v>168</v>
      </c>
      <c r="D13" s="8">
        <v>1</v>
      </c>
      <c r="E13" s="8">
        <v>1</v>
      </c>
      <c r="F13" s="386">
        <v>0</v>
      </c>
      <c r="G13" s="815" t="s">
        <v>157</v>
      </c>
      <c r="H13" s="982"/>
      <c r="I13" s="79"/>
      <c r="J13" s="79"/>
      <c r="K13" s="8">
        <v>1</v>
      </c>
      <c r="L13" s="8">
        <v>1</v>
      </c>
      <c r="M13" s="386">
        <v>0</v>
      </c>
      <c r="N13" s="815" t="s">
        <v>157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7">
        <f t="shared" si="2"/>
        <v>46082</v>
      </c>
    </row>
    <row r="14" spans="1:20" ht="21">
      <c r="A14" s="988"/>
      <c r="B14" s="984"/>
      <c r="C14" s="79" t="s">
        <v>169</v>
      </c>
      <c r="D14" s="8">
        <v>1</v>
      </c>
      <c r="E14" s="8">
        <v>1</v>
      </c>
      <c r="F14" s="386">
        <v>0</v>
      </c>
      <c r="G14" s="815" t="s">
        <v>157</v>
      </c>
      <c r="H14" s="982"/>
      <c r="I14" s="79"/>
      <c r="J14" s="79"/>
      <c r="K14" s="8">
        <v>1</v>
      </c>
      <c r="L14" s="8">
        <v>1</v>
      </c>
      <c r="M14" s="386">
        <v>0</v>
      </c>
      <c r="N14" s="815" t="s">
        <v>157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7">
        <f t="shared" si="2"/>
        <v>46082</v>
      </c>
    </row>
    <row r="15" spans="1:20" ht="21">
      <c r="A15" s="988"/>
      <c r="B15" s="984"/>
      <c r="C15" s="79" t="s">
        <v>170</v>
      </c>
      <c r="D15" s="8">
        <v>2</v>
      </c>
      <c r="E15" s="8">
        <v>2</v>
      </c>
      <c r="F15" s="386">
        <v>0</v>
      </c>
      <c r="G15" s="815" t="s">
        <v>157</v>
      </c>
      <c r="H15" s="982"/>
      <c r="I15" s="79"/>
      <c r="J15" s="79"/>
      <c r="K15" s="8">
        <v>2</v>
      </c>
      <c r="L15" s="8">
        <v>2</v>
      </c>
      <c r="M15" s="386">
        <v>0</v>
      </c>
      <c r="N15" s="815" t="s">
        <v>157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7">
        <f t="shared" si="2"/>
        <v>46082</v>
      </c>
    </row>
    <row r="16" spans="1:20" ht="21">
      <c r="A16" s="988"/>
      <c r="B16" s="984"/>
      <c r="C16" s="79" t="s">
        <v>171</v>
      </c>
      <c r="D16" s="8">
        <v>1</v>
      </c>
      <c r="E16" s="8">
        <v>1</v>
      </c>
      <c r="F16" s="386">
        <v>0</v>
      </c>
      <c r="G16" s="815" t="s">
        <v>157</v>
      </c>
      <c r="H16" s="982"/>
      <c r="I16" s="79"/>
      <c r="J16" s="79"/>
      <c r="K16" s="8">
        <v>1</v>
      </c>
      <c r="L16" s="8">
        <v>1</v>
      </c>
      <c r="M16" s="386">
        <v>0</v>
      </c>
      <c r="N16" s="815" t="s">
        <v>157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7">
        <f t="shared" si="2"/>
        <v>46082</v>
      </c>
    </row>
    <row r="17" spans="1:20" ht="21">
      <c r="A17" s="988"/>
      <c r="B17" s="984"/>
      <c r="C17" s="79" t="s">
        <v>172</v>
      </c>
      <c r="D17" s="8">
        <v>1</v>
      </c>
      <c r="E17" s="8">
        <v>1</v>
      </c>
      <c r="F17" s="386">
        <v>0</v>
      </c>
      <c r="G17" s="815" t="s">
        <v>157</v>
      </c>
      <c r="H17" s="982"/>
      <c r="I17" s="79"/>
      <c r="J17" s="79"/>
      <c r="K17" s="8">
        <v>1</v>
      </c>
      <c r="L17" s="8">
        <v>1</v>
      </c>
      <c r="M17" s="386">
        <v>0</v>
      </c>
      <c r="N17" s="815" t="s">
        <v>157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7">
        <f t="shared" si="2"/>
        <v>46082</v>
      </c>
    </row>
    <row r="18" spans="1:20" ht="21">
      <c r="A18" s="988"/>
      <c r="B18" s="984"/>
      <c r="C18" s="79" t="s">
        <v>173</v>
      </c>
      <c r="D18" s="8">
        <v>1</v>
      </c>
      <c r="E18" s="8">
        <v>1</v>
      </c>
      <c r="F18" s="386">
        <v>0</v>
      </c>
      <c r="G18" s="815" t="s">
        <v>157</v>
      </c>
      <c r="H18" s="982"/>
      <c r="I18" s="79"/>
      <c r="J18" s="79"/>
      <c r="K18" s="8">
        <v>1</v>
      </c>
      <c r="L18" s="8">
        <v>1</v>
      </c>
      <c r="M18" s="386">
        <v>0</v>
      </c>
      <c r="N18" s="815" t="s">
        <v>157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7">
        <f t="shared" si="2"/>
        <v>46082</v>
      </c>
    </row>
    <row r="19" spans="1:20" ht="21">
      <c r="A19" s="988"/>
      <c r="B19" s="984"/>
      <c r="C19" s="79" t="s">
        <v>174</v>
      </c>
      <c r="D19" s="8">
        <v>1</v>
      </c>
      <c r="E19" s="8">
        <v>1</v>
      </c>
      <c r="F19" s="386">
        <v>0</v>
      </c>
      <c r="G19" s="815" t="s">
        <v>157</v>
      </c>
      <c r="H19" s="982"/>
      <c r="I19" s="79"/>
      <c r="J19" s="79"/>
      <c r="K19" s="8">
        <v>1</v>
      </c>
      <c r="L19" s="8">
        <v>1</v>
      </c>
      <c r="M19" s="386">
        <v>0</v>
      </c>
      <c r="N19" s="815" t="s">
        <v>157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7">
        <f t="shared" si="2"/>
        <v>46082</v>
      </c>
    </row>
    <row r="20" spans="1:20" ht="21">
      <c r="A20" s="988"/>
      <c r="B20" s="984"/>
      <c r="C20" s="79" t="s">
        <v>175</v>
      </c>
      <c r="D20" s="8">
        <v>1</v>
      </c>
      <c r="E20" s="8">
        <v>1</v>
      </c>
      <c r="F20" s="386">
        <v>0</v>
      </c>
      <c r="G20" s="815" t="s">
        <v>157</v>
      </c>
      <c r="H20" s="982"/>
      <c r="I20" s="79"/>
      <c r="J20" s="79"/>
      <c r="K20" s="8">
        <v>1</v>
      </c>
      <c r="L20" s="8">
        <v>1</v>
      </c>
      <c r="M20" s="386">
        <v>0</v>
      </c>
      <c r="N20" s="815" t="s">
        <v>157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7">
        <f t="shared" si="2"/>
        <v>46082</v>
      </c>
    </row>
    <row r="21" spans="1:20" ht="21">
      <c r="A21" s="988"/>
      <c r="B21" s="984"/>
      <c r="C21" s="79" t="s">
        <v>176</v>
      </c>
      <c r="D21" s="8">
        <v>1</v>
      </c>
      <c r="E21" s="8">
        <v>1</v>
      </c>
      <c r="F21" s="386">
        <v>0</v>
      </c>
      <c r="G21" s="815" t="s">
        <v>157</v>
      </c>
      <c r="H21" s="982"/>
      <c r="I21" s="79"/>
      <c r="J21" s="79"/>
      <c r="K21" s="8">
        <v>1</v>
      </c>
      <c r="L21" s="8">
        <v>1</v>
      </c>
      <c r="M21" s="386">
        <v>0</v>
      </c>
      <c r="N21" s="815" t="s">
        <v>157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7">
        <f t="shared" si="2"/>
        <v>46082</v>
      </c>
    </row>
    <row r="22" spans="1:20" ht="21">
      <c r="A22" s="988"/>
      <c r="B22" s="984"/>
      <c r="C22" s="79" t="s">
        <v>177</v>
      </c>
      <c r="D22" s="8">
        <v>2</v>
      </c>
      <c r="E22" s="8">
        <v>2</v>
      </c>
      <c r="F22" s="386">
        <v>0</v>
      </c>
      <c r="G22" s="815" t="s">
        <v>157</v>
      </c>
      <c r="H22" s="982"/>
      <c r="I22" s="79"/>
      <c r="J22" s="79"/>
      <c r="K22" s="8">
        <v>2</v>
      </c>
      <c r="L22" s="8">
        <v>2</v>
      </c>
      <c r="M22" s="386">
        <v>0</v>
      </c>
      <c r="N22" s="815" t="s">
        <v>157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7">
        <f t="shared" si="2"/>
        <v>46082</v>
      </c>
    </row>
    <row r="23" spans="1:20" ht="21">
      <c r="A23" s="988"/>
      <c r="B23" s="984"/>
      <c r="C23" s="79" t="s">
        <v>129</v>
      </c>
      <c r="D23" s="8">
        <v>1</v>
      </c>
      <c r="E23" s="8">
        <v>0</v>
      </c>
      <c r="F23" s="386">
        <v>1</v>
      </c>
      <c r="G23" s="815" t="s">
        <v>157</v>
      </c>
      <c r="H23" s="982"/>
      <c r="I23" s="79"/>
      <c r="J23" s="79"/>
      <c r="K23" s="8">
        <v>1</v>
      </c>
      <c r="L23" s="8">
        <v>0</v>
      </c>
      <c r="M23" s="386">
        <v>1</v>
      </c>
      <c r="N23" s="815" t="s">
        <v>157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7">
        <f t="shared" si="2"/>
        <v>46082</v>
      </c>
    </row>
    <row r="24" spans="1:20" ht="21">
      <c r="A24" s="988"/>
      <c r="B24" s="984"/>
      <c r="C24" s="79" t="s">
        <v>178</v>
      </c>
      <c r="D24" s="8">
        <v>1</v>
      </c>
      <c r="E24" s="8">
        <v>0</v>
      </c>
      <c r="F24" s="386">
        <v>1</v>
      </c>
      <c r="G24" s="815" t="s">
        <v>157</v>
      </c>
      <c r="H24" s="982"/>
      <c r="I24" s="79"/>
      <c r="J24" s="79"/>
      <c r="K24" s="8">
        <v>1</v>
      </c>
      <c r="L24" s="8">
        <v>0</v>
      </c>
      <c r="M24" s="386">
        <v>1</v>
      </c>
      <c r="N24" s="815" t="s">
        <v>157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7">
        <f t="shared" si="2"/>
        <v>46082</v>
      </c>
    </row>
    <row r="25" spans="1:20" ht="21">
      <c r="A25" s="988"/>
      <c r="B25" s="984"/>
      <c r="C25" s="79" t="s">
        <v>158</v>
      </c>
      <c r="D25" s="8">
        <v>1</v>
      </c>
      <c r="E25" s="8">
        <v>0</v>
      </c>
      <c r="F25" s="386">
        <v>1</v>
      </c>
      <c r="G25" s="815" t="s">
        <v>157</v>
      </c>
      <c r="H25" s="982"/>
      <c r="I25" s="79"/>
      <c r="J25" s="79"/>
      <c r="K25" s="8">
        <v>1</v>
      </c>
      <c r="L25" s="8">
        <v>0</v>
      </c>
      <c r="M25" s="386">
        <v>1</v>
      </c>
      <c r="N25" s="815" t="s">
        <v>157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7">
        <f t="shared" si="2"/>
        <v>46082</v>
      </c>
    </row>
    <row r="26" spans="1:20" ht="21">
      <c r="A26" s="988"/>
      <c r="B26" s="984"/>
      <c r="C26" s="79" t="s">
        <v>179</v>
      </c>
      <c r="D26" s="8">
        <v>1</v>
      </c>
      <c r="E26" s="8">
        <v>0</v>
      </c>
      <c r="F26" s="386">
        <v>1</v>
      </c>
      <c r="G26" s="815" t="s">
        <v>157</v>
      </c>
      <c r="H26" s="983"/>
      <c r="I26" s="79"/>
      <c r="J26" s="79"/>
      <c r="K26" s="8">
        <v>1</v>
      </c>
      <c r="L26" s="8">
        <v>0</v>
      </c>
      <c r="M26" s="386">
        <v>1</v>
      </c>
      <c r="N26" s="815" t="s">
        <v>157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7">
        <f t="shared" si="2"/>
        <v>46082</v>
      </c>
    </row>
    <row r="27" spans="1:20" ht="21">
      <c r="A27" s="988"/>
      <c r="B27" s="984">
        <v>3</v>
      </c>
      <c r="C27" s="79" t="s">
        <v>180</v>
      </c>
      <c r="D27" s="8">
        <v>1</v>
      </c>
      <c r="E27" s="8">
        <v>1</v>
      </c>
      <c r="F27" s="386">
        <v>0</v>
      </c>
      <c r="G27" s="815" t="s">
        <v>157</v>
      </c>
      <c r="H27" s="980">
        <v>46085</v>
      </c>
      <c r="I27" s="79"/>
      <c r="J27" s="79"/>
      <c r="K27" s="8">
        <v>1</v>
      </c>
      <c r="L27" s="8">
        <v>1</v>
      </c>
      <c r="M27" s="386">
        <v>0</v>
      </c>
      <c r="N27" s="815" t="s">
        <v>157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7">
        <f>$H$27</f>
        <v>46085</v>
      </c>
    </row>
    <row r="28" spans="1:20" ht="21">
      <c r="A28" s="988"/>
      <c r="B28" s="984"/>
      <c r="C28" s="79" t="s">
        <v>181</v>
      </c>
      <c r="D28" s="8">
        <v>1</v>
      </c>
      <c r="E28" s="8">
        <v>1</v>
      </c>
      <c r="F28" s="386">
        <v>0</v>
      </c>
      <c r="G28" s="815" t="s">
        <v>157</v>
      </c>
      <c r="H28" s="982"/>
      <c r="I28" s="79"/>
      <c r="J28" s="79"/>
      <c r="K28" s="8">
        <v>1</v>
      </c>
      <c r="L28" s="8">
        <v>1</v>
      </c>
      <c r="M28" s="386">
        <v>0</v>
      </c>
      <c r="N28" s="815" t="s">
        <v>157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7">
        <f t="shared" ref="T28:T34" si="3">$H$27</f>
        <v>46085</v>
      </c>
    </row>
    <row r="29" spans="1:20" ht="21">
      <c r="A29" s="988"/>
      <c r="B29" s="984"/>
      <c r="C29" s="79" t="s">
        <v>182</v>
      </c>
      <c r="D29" s="8">
        <v>1</v>
      </c>
      <c r="E29" s="8">
        <v>1</v>
      </c>
      <c r="F29" s="386">
        <v>0</v>
      </c>
      <c r="G29" s="815" t="s">
        <v>157</v>
      </c>
      <c r="H29" s="982"/>
      <c r="I29" s="79"/>
      <c r="J29" s="79"/>
      <c r="K29" s="8">
        <v>1</v>
      </c>
      <c r="L29" s="8">
        <v>1</v>
      </c>
      <c r="M29" s="386">
        <v>0</v>
      </c>
      <c r="N29" s="815" t="s">
        <v>157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7">
        <f t="shared" si="3"/>
        <v>46085</v>
      </c>
    </row>
    <row r="30" spans="1:20" ht="21">
      <c r="A30" s="988"/>
      <c r="B30" s="984"/>
      <c r="C30" s="79" t="s">
        <v>183</v>
      </c>
      <c r="D30" s="8">
        <v>1</v>
      </c>
      <c r="E30" s="8">
        <v>1</v>
      </c>
      <c r="F30" s="386">
        <v>0</v>
      </c>
      <c r="G30" s="815" t="s">
        <v>157</v>
      </c>
      <c r="H30" s="982"/>
      <c r="I30" s="79"/>
      <c r="J30" s="79"/>
      <c r="K30" s="8">
        <v>1</v>
      </c>
      <c r="L30" s="8">
        <v>1</v>
      </c>
      <c r="M30" s="386">
        <v>0</v>
      </c>
      <c r="N30" s="815" t="s">
        <v>157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7">
        <f t="shared" si="3"/>
        <v>46085</v>
      </c>
    </row>
    <row r="31" spans="1:20" ht="21">
      <c r="A31" s="988"/>
      <c r="B31" s="984"/>
      <c r="C31" s="79" t="s">
        <v>184</v>
      </c>
      <c r="D31" s="8">
        <v>1</v>
      </c>
      <c r="E31" s="8">
        <v>1</v>
      </c>
      <c r="F31" s="386">
        <v>0</v>
      </c>
      <c r="G31" s="815" t="s">
        <v>157</v>
      </c>
      <c r="H31" s="982"/>
      <c r="I31" s="79"/>
      <c r="J31" s="79"/>
      <c r="K31" s="8">
        <v>1</v>
      </c>
      <c r="L31" s="8">
        <v>1</v>
      </c>
      <c r="M31" s="386">
        <v>0</v>
      </c>
      <c r="N31" s="815" t="s">
        <v>157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7">
        <f t="shared" si="3"/>
        <v>46085</v>
      </c>
    </row>
    <row r="32" spans="1:20" ht="21">
      <c r="A32" s="988"/>
      <c r="B32" s="984"/>
      <c r="C32" s="79" t="s">
        <v>185</v>
      </c>
      <c r="D32" s="8">
        <v>5</v>
      </c>
      <c r="E32" s="8">
        <v>5</v>
      </c>
      <c r="F32" s="386">
        <v>0</v>
      </c>
      <c r="G32" s="815" t="s">
        <v>157</v>
      </c>
      <c r="H32" s="982"/>
      <c r="I32" s="79"/>
      <c r="J32" s="79"/>
      <c r="K32" s="8">
        <v>5</v>
      </c>
      <c r="L32" s="8">
        <v>5</v>
      </c>
      <c r="M32" s="386">
        <v>0</v>
      </c>
      <c r="N32" s="815" t="s">
        <v>157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7">
        <f t="shared" si="3"/>
        <v>46085</v>
      </c>
    </row>
    <row r="33" spans="1:20" ht="21">
      <c r="A33" s="988"/>
      <c r="B33" s="984"/>
      <c r="C33" s="79" t="s">
        <v>186</v>
      </c>
      <c r="D33" s="8">
        <v>3</v>
      </c>
      <c r="E33" s="8">
        <v>3</v>
      </c>
      <c r="F33" s="386">
        <v>0</v>
      </c>
      <c r="G33" s="815" t="s">
        <v>157</v>
      </c>
      <c r="H33" s="982"/>
      <c r="I33" s="79"/>
      <c r="J33" s="79"/>
      <c r="K33" s="8">
        <v>3</v>
      </c>
      <c r="L33" s="8">
        <v>3</v>
      </c>
      <c r="M33" s="386">
        <v>0</v>
      </c>
      <c r="N33" s="815" t="s">
        <v>157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7">
        <f t="shared" si="3"/>
        <v>46085</v>
      </c>
    </row>
    <row r="34" spans="1:20" ht="21">
      <c r="A34" s="988"/>
      <c r="B34" s="984"/>
      <c r="C34" s="79" t="s">
        <v>129</v>
      </c>
      <c r="D34" s="8">
        <v>1</v>
      </c>
      <c r="E34" s="8">
        <v>0</v>
      </c>
      <c r="F34" s="386">
        <v>1</v>
      </c>
      <c r="G34" s="815" t="s">
        <v>157</v>
      </c>
      <c r="H34" s="983"/>
      <c r="I34" s="79"/>
      <c r="J34" s="79"/>
      <c r="K34" s="8">
        <v>1</v>
      </c>
      <c r="L34" s="8">
        <v>0</v>
      </c>
      <c r="M34" s="386">
        <v>1</v>
      </c>
      <c r="N34" s="815" t="s">
        <v>157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7">
        <f t="shared" si="3"/>
        <v>46085</v>
      </c>
    </row>
    <row r="35" spans="1:20" ht="21">
      <c r="A35" s="988"/>
      <c r="B35" s="984">
        <v>4</v>
      </c>
      <c r="C35" s="79" t="s">
        <v>187</v>
      </c>
      <c r="D35" s="8">
        <v>3</v>
      </c>
      <c r="E35" s="8">
        <v>3</v>
      </c>
      <c r="F35" s="386">
        <v>0</v>
      </c>
      <c r="G35" s="815" t="s">
        <v>157</v>
      </c>
      <c r="H35" s="985">
        <v>46087</v>
      </c>
      <c r="I35" s="79"/>
      <c r="J35" s="79"/>
      <c r="K35" s="8">
        <v>3</v>
      </c>
      <c r="L35" s="8">
        <v>3</v>
      </c>
      <c r="M35" s="386">
        <v>0</v>
      </c>
      <c r="N35" s="815" t="s">
        <v>157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7">
        <f>$H$35</f>
        <v>46087</v>
      </c>
    </row>
    <row r="36" spans="1:20" ht="21">
      <c r="A36" s="988"/>
      <c r="B36" s="984"/>
      <c r="C36" s="79" t="s">
        <v>188</v>
      </c>
      <c r="D36" s="8">
        <v>8</v>
      </c>
      <c r="E36" s="8">
        <v>8</v>
      </c>
      <c r="F36" s="386">
        <v>0</v>
      </c>
      <c r="G36" s="815" t="s">
        <v>157</v>
      </c>
      <c r="H36" s="986"/>
      <c r="I36" s="79"/>
      <c r="J36" s="79"/>
      <c r="K36" s="8">
        <v>8</v>
      </c>
      <c r="L36" s="8">
        <v>8</v>
      </c>
      <c r="M36" s="386">
        <v>0</v>
      </c>
      <c r="N36" s="815" t="s">
        <v>157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7">
        <f t="shared" ref="T36:T38" si="5">$H$35</f>
        <v>46087</v>
      </c>
    </row>
    <row r="37" spans="1:20" ht="21">
      <c r="A37" s="988"/>
      <c r="B37" s="984"/>
      <c r="C37" s="79" t="s">
        <v>189</v>
      </c>
      <c r="D37" s="8">
        <v>1</v>
      </c>
      <c r="E37" s="8">
        <v>1</v>
      </c>
      <c r="F37" s="386">
        <v>0</v>
      </c>
      <c r="G37" s="815" t="s">
        <v>157</v>
      </c>
      <c r="H37" s="986"/>
      <c r="I37" s="79"/>
      <c r="J37" s="79"/>
      <c r="K37" s="8">
        <v>1</v>
      </c>
      <c r="L37" s="8">
        <v>1</v>
      </c>
      <c r="M37" s="386">
        <v>0</v>
      </c>
      <c r="N37" s="815" t="s">
        <v>157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7">
        <f t="shared" si="5"/>
        <v>46087</v>
      </c>
    </row>
    <row r="38" spans="1:20" ht="21">
      <c r="A38" s="988"/>
      <c r="B38" s="984"/>
      <c r="C38" s="79" t="s">
        <v>129</v>
      </c>
      <c r="D38" s="8">
        <v>2</v>
      </c>
      <c r="E38" s="8">
        <v>0</v>
      </c>
      <c r="F38" s="386">
        <v>2</v>
      </c>
      <c r="G38" s="815" t="s">
        <v>157</v>
      </c>
      <c r="H38" s="987"/>
      <c r="I38" s="79"/>
      <c r="J38" s="79"/>
      <c r="K38" s="8">
        <v>2</v>
      </c>
      <c r="L38" s="8">
        <v>0</v>
      </c>
      <c r="M38" s="386">
        <v>2</v>
      </c>
      <c r="N38" s="815" t="s">
        <v>157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7">
        <f t="shared" si="5"/>
        <v>46087</v>
      </c>
    </row>
    <row r="39" spans="1:20" ht="21">
      <c r="A39" s="988"/>
      <c r="B39" s="984">
        <v>5</v>
      </c>
      <c r="C39" s="79" t="s">
        <v>190</v>
      </c>
      <c r="D39" s="8">
        <v>1</v>
      </c>
      <c r="E39" s="8">
        <v>1</v>
      </c>
      <c r="F39" s="386">
        <v>0</v>
      </c>
      <c r="G39" s="815" t="s">
        <v>157</v>
      </c>
      <c r="H39" s="985">
        <v>46090</v>
      </c>
      <c r="I39" s="79"/>
      <c r="J39" s="79"/>
      <c r="K39" s="8">
        <v>1</v>
      </c>
      <c r="L39" s="8">
        <v>1</v>
      </c>
      <c r="M39" s="386">
        <v>0</v>
      </c>
      <c r="N39" s="815" t="s">
        <v>157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7">
        <f>$H$39</f>
        <v>46090</v>
      </c>
    </row>
    <row r="40" spans="1:20" ht="21">
      <c r="A40" s="988"/>
      <c r="B40" s="984"/>
      <c r="C40" s="79" t="s">
        <v>191</v>
      </c>
      <c r="D40" s="8">
        <v>1</v>
      </c>
      <c r="E40" s="8">
        <v>1</v>
      </c>
      <c r="F40" s="386">
        <v>0</v>
      </c>
      <c r="G40" s="815" t="s">
        <v>157</v>
      </c>
      <c r="H40" s="986"/>
      <c r="I40" s="79"/>
      <c r="J40" s="79"/>
      <c r="K40" s="8">
        <v>1</v>
      </c>
      <c r="L40" s="8">
        <v>1</v>
      </c>
      <c r="M40" s="386">
        <v>0</v>
      </c>
      <c r="N40" s="815" t="s">
        <v>157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7">
        <f t="shared" ref="T40:T49" si="6">$H$39</f>
        <v>46090</v>
      </c>
    </row>
    <row r="41" spans="1:20" ht="21">
      <c r="A41" s="988"/>
      <c r="B41" s="984"/>
      <c r="C41" s="79" t="s">
        <v>192</v>
      </c>
      <c r="D41" s="8">
        <v>1</v>
      </c>
      <c r="E41" s="8">
        <v>1</v>
      </c>
      <c r="F41" s="386">
        <v>0</v>
      </c>
      <c r="G41" s="815" t="s">
        <v>157</v>
      </c>
      <c r="H41" s="986"/>
      <c r="I41" s="79"/>
      <c r="J41" s="79"/>
      <c r="K41" s="8">
        <v>1</v>
      </c>
      <c r="L41" s="8">
        <v>1</v>
      </c>
      <c r="M41" s="386">
        <v>0</v>
      </c>
      <c r="N41" s="815" t="s">
        <v>157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7">
        <f t="shared" si="6"/>
        <v>46090</v>
      </c>
    </row>
    <row r="42" spans="1:20" ht="21">
      <c r="A42" s="988"/>
      <c r="B42" s="984"/>
      <c r="C42" s="79" t="s">
        <v>193</v>
      </c>
      <c r="D42" s="8">
        <v>1</v>
      </c>
      <c r="E42" s="8">
        <v>1</v>
      </c>
      <c r="F42" s="386">
        <v>0</v>
      </c>
      <c r="G42" s="815" t="s">
        <v>157</v>
      </c>
      <c r="H42" s="986"/>
      <c r="I42" s="79"/>
      <c r="J42" s="79"/>
      <c r="K42" s="8">
        <v>1</v>
      </c>
      <c r="L42" s="8">
        <v>1</v>
      </c>
      <c r="M42" s="386">
        <v>0</v>
      </c>
      <c r="N42" s="815" t="s">
        <v>157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7">
        <f t="shared" si="6"/>
        <v>46090</v>
      </c>
    </row>
    <row r="43" spans="1:20" ht="21">
      <c r="A43" s="988"/>
      <c r="B43" s="984"/>
      <c r="C43" s="79" t="s">
        <v>194</v>
      </c>
      <c r="D43" s="8">
        <v>1</v>
      </c>
      <c r="E43" s="8">
        <v>1</v>
      </c>
      <c r="F43" s="386">
        <v>0</v>
      </c>
      <c r="G43" s="815" t="s">
        <v>157</v>
      </c>
      <c r="H43" s="986"/>
      <c r="I43" s="79"/>
      <c r="J43" s="79"/>
      <c r="K43" s="8">
        <v>1</v>
      </c>
      <c r="L43" s="8">
        <v>1</v>
      </c>
      <c r="M43" s="386">
        <v>0</v>
      </c>
      <c r="N43" s="815" t="s">
        <v>157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7">
        <f t="shared" si="6"/>
        <v>46090</v>
      </c>
    </row>
    <row r="44" spans="1:20" ht="21">
      <c r="A44" s="988"/>
      <c r="B44" s="984"/>
      <c r="C44" s="79" t="s">
        <v>195</v>
      </c>
      <c r="D44" s="8">
        <v>1</v>
      </c>
      <c r="E44" s="8">
        <v>1</v>
      </c>
      <c r="F44" s="386">
        <v>0</v>
      </c>
      <c r="G44" s="815" t="s">
        <v>157</v>
      </c>
      <c r="H44" s="986"/>
      <c r="I44" s="79"/>
      <c r="J44" s="79"/>
      <c r="K44" s="8">
        <v>1</v>
      </c>
      <c r="L44" s="8">
        <v>1</v>
      </c>
      <c r="M44" s="386">
        <v>0</v>
      </c>
      <c r="N44" s="815" t="s">
        <v>157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7">
        <f t="shared" si="6"/>
        <v>46090</v>
      </c>
    </row>
    <row r="45" spans="1:20" ht="21">
      <c r="A45" s="988"/>
      <c r="B45" s="984"/>
      <c r="C45" s="79" t="s">
        <v>196</v>
      </c>
      <c r="D45" s="8">
        <v>1</v>
      </c>
      <c r="E45" s="8">
        <v>1</v>
      </c>
      <c r="F45" s="386">
        <v>0</v>
      </c>
      <c r="G45" s="815" t="s">
        <v>157</v>
      </c>
      <c r="H45" s="986"/>
      <c r="I45" s="79"/>
      <c r="J45" s="79"/>
      <c r="K45" s="8">
        <v>1</v>
      </c>
      <c r="L45" s="8">
        <v>1</v>
      </c>
      <c r="M45" s="386">
        <v>0</v>
      </c>
      <c r="N45" s="815" t="s">
        <v>157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7">
        <f t="shared" si="6"/>
        <v>46090</v>
      </c>
    </row>
    <row r="46" spans="1:20" ht="21">
      <c r="A46" s="988"/>
      <c r="B46" s="984"/>
      <c r="C46" s="79" t="s">
        <v>197</v>
      </c>
      <c r="D46" s="8">
        <v>1</v>
      </c>
      <c r="E46" s="8">
        <v>1</v>
      </c>
      <c r="F46" s="386">
        <v>0</v>
      </c>
      <c r="G46" s="815" t="s">
        <v>157</v>
      </c>
      <c r="H46" s="986"/>
      <c r="I46" s="79"/>
      <c r="J46" s="79"/>
      <c r="K46" s="8">
        <v>1</v>
      </c>
      <c r="L46" s="8">
        <v>1</v>
      </c>
      <c r="M46" s="386">
        <v>0</v>
      </c>
      <c r="N46" s="815" t="s">
        <v>157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7">
        <f t="shared" si="6"/>
        <v>46090</v>
      </c>
    </row>
    <row r="47" spans="1:20" ht="21">
      <c r="A47" s="988"/>
      <c r="B47" s="984"/>
      <c r="C47" s="79" t="s">
        <v>198</v>
      </c>
      <c r="D47" s="8">
        <v>2</v>
      </c>
      <c r="E47" s="8">
        <v>2</v>
      </c>
      <c r="F47" s="386">
        <v>0</v>
      </c>
      <c r="G47" s="815" t="s">
        <v>157</v>
      </c>
      <c r="H47" s="986"/>
      <c r="I47" s="79"/>
      <c r="J47" s="79"/>
      <c r="K47" s="8">
        <v>2</v>
      </c>
      <c r="L47" s="8">
        <v>2</v>
      </c>
      <c r="M47" s="386">
        <v>0</v>
      </c>
      <c r="N47" s="815" t="s">
        <v>157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7">
        <f t="shared" si="6"/>
        <v>46090</v>
      </c>
    </row>
    <row r="48" spans="1:20" ht="21">
      <c r="A48" s="988"/>
      <c r="B48" s="984"/>
      <c r="C48" s="79" t="s">
        <v>183</v>
      </c>
      <c r="D48" s="8">
        <v>1</v>
      </c>
      <c r="E48" s="8">
        <v>1</v>
      </c>
      <c r="F48" s="386">
        <v>0</v>
      </c>
      <c r="G48" s="815" t="s">
        <v>157</v>
      </c>
      <c r="H48" s="986"/>
      <c r="I48" s="79"/>
      <c r="J48" s="79"/>
      <c r="K48" s="8">
        <v>1</v>
      </c>
      <c r="L48" s="8">
        <v>1</v>
      </c>
      <c r="M48" s="386">
        <v>0</v>
      </c>
      <c r="N48" s="815" t="s">
        <v>157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7">
        <f t="shared" si="6"/>
        <v>46090</v>
      </c>
    </row>
    <row r="49" spans="1:20" ht="21">
      <c r="A49" s="988"/>
      <c r="B49" s="984"/>
      <c r="C49" s="79" t="s">
        <v>129</v>
      </c>
      <c r="D49" s="8">
        <v>2</v>
      </c>
      <c r="E49" s="8">
        <v>0</v>
      </c>
      <c r="F49" s="386">
        <v>2</v>
      </c>
      <c r="G49" s="815" t="s">
        <v>157</v>
      </c>
      <c r="H49" s="987"/>
      <c r="I49" s="79"/>
      <c r="J49" s="79"/>
      <c r="K49" s="8">
        <v>2</v>
      </c>
      <c r="L49" s="8">
        <v>0</v>
      </c>
      <c r="M49" s="386">
        <v>2</v>
      </c>
      <c r="N49" s="815" t="s">
        <v>157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7">
        <f t="shared" si="6"/>
        <v>46090</v>
      </c>
    </row>
    <row r="50" spans="1:20" ht="21">
      <c r="A50" s="988"/>
      <c r="B50" s="984">
        <v>6</v>
      </c>
      <c r="C50" s="79" t="s">
        <v>199</v>
      </c>
      <c r="D50" s="8">
        <v>3</v>
      </c>
      <c r="E50" s="8">
        <v>3</v>
      </c>
      <c r="F50" s="386">
        <v>0</v>
      </c>
      <c r="G50" s="815" t="s">
        <v>157</v>
      </c>
      <c r="H50" s="980">
        <v>46092</v>
      </c>
      <c r="I50" s="79"/>
      <c r="J50" s="79"/>
      <c r="K50" s="8">
        <v>3</v>
      </c>
      <c r="L50" s="8">
        <v>3</v>
      </c>
      <c r="M50" s="386">
        <v>0</v>
      </c>
      <c r="N50" s="815" t="s">
        <v>157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7">
        <f>$H$50</f>
        <v>46092</v>
      </c>
    </row>
    <row r="51" spans="1:20" ht="21">
      <c r="A51" s="988"/>
      <c r="B51" s="984"/>
      <c r="C51" s="79" t="s">
        <v>200</v>
      </c>
      <c r="D51" s="8">
        <v>1</v>
      </c>
      <c r="E51" s="8">
        <v>1</v>
      </c>
      <c r="F51" s="386">
        <v>0</v>
      </c>
      <c r="G51" s="815" t="s">
        <v>157</v>
      </c>
      <c r="H51" s="982"/>
      <c r="I51" s="79"/>
      <c r="J51" s="79"/>
      <c r="K51" s="8">
        <v>1</v>
      </c>
      <c r="L51" s="8">
        <v>1</v>
      </c>
      <c r="M51" s="386">
        <v>0</v>
      </c>
      <c r="N51" s="815" t="s">
        <v>157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7">
        <f t="shared" ref="T51:T65" si="7">$H$50</f>
        <v>46092</v>
      </c>
    </row>
    <row r="52" spans="1:20" ht="21">
      <c r="A52" s="988"/>
      <c r="B52" s="984"/>
      <c r="C52" s="79" t="s">
        <v>201</v>
      </c>
      <c r="D52" s="8">
        <v>1</v>
      </c>
      <c r="E52" s="8">
        <v>1</v>
      </c>
      <c r="F52" s="386">
        <v>0</v>
      </c>
      <c r="G52" s="815" t="s">
        <v>157</v>
      </c>
      <c r="H52" s="982"/>
      <c r="I52" s="79"/>
      <c r="J52" s="79"/>
      <c r="K52" s="8">
        <v>1</v>
      </c>
      <c r="L52" s="8">
        <v>1</v>
      </c>
      <c r="M52" s="386">
        <v>0</v>
      </c>
      <c r="N52" s="815" t="s">
        <v>157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7">
        <f t="shared" si="7"/>
        <v>46092</v>
      </c>
    </row>
    <row r="53" spans="1:20" ht="21">
      <c r="A53" s="988"/>
      <c r="B53" s="984"/>
      <c r="C53" s="79" t="s">
        <v>202</v>
      </c>
      <c r="D53" s="8">
        <v>1</v>
      </c>
      <c r="E53" s="8">
        <v>1</v>
      </c>
      <c r="F53" s="386">
        <v>0</v>
      </c>
      <c r="G53" s="815" t="s">
        <v>157</v>
      </c>
      <c r="H53" s="982"/>
      <c r="I53" s="79"/>
      <c r="J53" s="79"/>
      <c r="K53" s="8">
        <v>1</v>
      </c>
      <c r="L53" s="8">
        <v>1</v>
      </c>
      <c r="M53" s="386">
        <v>0</v>
      </c>
      <c r="N53" s="815" t="s">
        <v>157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7">
        <f t="shared" si="7"/>
        <v>46092</v>
      </c>
    </row>
    <row r="54" spans="1:20" ht="21">
      <c r="A54" s="988"/>
      <c r="B54" s="984"/>
      <c r="C54" s="79" t="s">
        <v>203</v>
      </c>
      <c r="D54" s="8">
        <v>1</v>
      </c>
      <c r="E54" s="8">
        <v>1</v>
      </c>
      <c r="F54" s="386">
        <v>0</v>
      </c>
      <c r="G54" s="815" t="s">
        <v>157</v>
      </c>
      <c r="H54" s="982"/>
      <c r="I54" s="79"/>
      <c r="J54" s="79"/>
      <c r="K54" s="8">
        <v>1</v>
      </c>
      <c r="L54" s="8">
        <v>1</v>
      </c>
      <c r="M54" s="386">
        <v>0</v>
      </c>
      <c r="N54" s="815" t="s">
        <v>157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7">
        <f t="shared" si="7"/>
        <v>46092</v>
      </c>
    </row>
    <row r="55" spans="1:20" ht="21">
      <c r="A55" s="988"/>
      <c r="B55" s="984"/>
      <c r="C55" s="79" t="s">
        <v>204</v>
      </c>
      <c r="D55" s="8">
        <v>1</v>
      </c>
      <c r="E55" s="8">
        <v>1</v>
      </c>
      <c r="F55" s="386">
        <v>0</v>
      </c>
      <c r="G55" s="815" t="s">
        <v>157</v>
      </c>
      <c r="H55" s="982"/>
      <c r="I55" s="79"/>
      <c r="J55" s="79"/>
      <c r="K55" s="8">
        <v>1</v>
      </c>
      <c r="L55" s="8">
        <v>1</v>
      </c>
      <c r="M55" s="386">
        <v>0</v>
      </c>
      <c r="N55" s="815" t="s">
        <v>157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7">
        <f t="shared" si="7"/>
        <v>46092</v>
      </c>
    </row>
    <row r="56" spans="1:20" ht="21">
      <c r="A56" s="988"/>
      <c r="B56" s="984"/>
      <c r="C56" s="79" t="s">
        <v>205</v>
      </c>
      <c r="D56" s="8">
        <v>1</v>
      </c>
      <c r="E56" s="8">
        <v>1</v>
      </c>
      <c r="F56" s="386">
        <v>0</v>
      </c>
      <c r="G56" s="815" t="s">
        <v>157</v>
      </c>
      <c r="H56" s="982"/>
      <c r="I56" s="79"/>
      <c r="J56" s="79"/>
      <c r="K56" s="8">
        <v>1</v>
      </c>
      <c r="L56" s="8">
        <v>1</v>
      </c>
      <c r="M56" s="386">
        <v>0</v>
      </c>
      <c r="N56" s="815" t="s">
        <v>157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7">
        <f t="shared" si="7"/>
        <v>46092</v>
      </c>
    </row>
    <row r="57" spans="1:20" ht="21">
      <c r="A57" s="988"/>
      <c r="B57" s="984"/>
      <c r="C57" s="79" t="s">
        <v>206</v>
      </c>
      <c r="D57" s="8">
        <v>1</v>
      </c>
      <c r="E57" s="8">
        <v>1</v>
      </c>
      <c r="F57" s="386">
        <v>0</v>
      </c>
      <c r="G57" s="815" t="s">
        <v>157</v>
      </c>
      <c r="H57" s="982"/>
      <c r="I57" s="79"/>
      <c r="J57" s="79"/>
      <c r="K57" s="8">
        <v>1</v>
      </c>
      <c r="L57" s="8">
        <v>1</v>
      </c>
      <c r="M57" s="386">
        <v>0</v>
      </c>
      <c r="N57" s="815" t="s">
        <v>157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7">
        <f t="shared" si="7"/>
        <v>46092</v>
      </c>
    </row>
    <row r="58" spans="1:20" ht="21">
      <c r="A58" s="988"/>
      <c r="B58" s="984"/>
      <c r="C58" s="79" t="s">
        <v>207</v>
      </c>
      <c r="D58" s="8">
        <v>1</v>
      </c>
      <c r="E58" s="8">
        <v>1</v>
      </c>
      <c r="F58" s="386">
        <v>0</v>
      </c>
      <c r="G58" s="815" t="s">
        <v>157</v>
      </c>
      <c r="H58" s="982"/>
      <c r="I58" s="79"/>
      <c r="J58" s="79"/>
      <c r="K58" s="8">
        <v>1</v>
      </c>
      <c r="L58" s="8">
        <v>1</v>
      </c>
      <c r="M58" s="386">
        <v>0</v>
      </c>
      <c r="N58" s="815" t="s">
        <v>157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7">
        <f t="shared" si="7"/>
        <v>46092</v>
      </c>
    </row>
    <row r="59" spans="1:20" ht="21">
      <c r="A59" s="988"/>
      <c r="B59" s="984"/>
      <c r="C59" s="79" t="s">
        <v>208</v>
      </c>
      <c r="D59" s="8">
        <v>1</v>
      </c>
      <c r="E59" s="8">
        <v>1</v>
      </c>
      <c r="F59" s="386">
        <v>0</v>
      </c>
      <c r="G59" s="815" t="s">
        <v>157</v>
      </c>
      <c r="H59" s="982"/>
      <c r="I59" s="79"/>
      <c r="J59" s="79"/>
      <c r="K59" s="8">
        <v>1</v>
      </c>
      <c r="L59" s="8">
        <v>1</v>
      </c>
      <c r="M59" s="386">
        <v>0</v>
      </c>
      <c r="N59" s="815" t="s">
        <v>157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7">
        <f t="shared" si="7"/>
        <v>46092</v>
      </c>
    </row>
    <row r="60" spans="1:20" ht="21">
      <c r="A60" s="988"/>
      <c r="B60" s="984"/>
      <c r="C60" s="79" t="s">
        <v>209</v>
      </c>
      <c r="D60" s="8">
        <v>1</v>
      </c>
      <c r="E60" s="8">
        <v>1</v>
      </c>
      <c r="F60" s="386">
        <v>0</v>
      </c>
      <c r="G60" s="815" t="s">
        <v>157</v>
      </c>
      <c r="H60" s="982"/>
      <c r="I60" s="79"/>
      <c r="J60" s="79"/>
      <c r="K60" s="8">
        <v>1</v>
      </c>
      <c r="L60" s="8">
        <v>1</v>
      </c>
      <c r="M60" s="386">
        <v>0</v>
      </c>
      <c r="N60" s="815" t="s">
        <v>157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7">
        <f t="shared" si="7"/>
        <v>46092</v>
      </c>
    </row>
    <row r="61" spans="1:20" ht="21">
      <c r="A61" s="988"/>
      <c r="B61" s="984"/>
      <c r="C61" s="79" t="s">
        <v>210</v>
      </c>
      <c r="D61" s="8">
        <v>1</v>
      </c>
      <c r="E61" s="8">
        <v>1</v>
      </c>
      <c r="F61" s="386">
        <v>0</v>
      </c>
      <c r="G61" s="815" t="s">
        <v>157</v>
      </c>
      <c r="H61" s="982"/>
      <c r="I61" s="79"/>
      <c r="J61" s="79"/>
      <c r="K61" s="8">
        <v>1</v>
      </c>
      <c r="L61" s="8">
        <v>1</v>
      </c>
      <c r="M61" s="386">
        <v>0</v>
      </c>
      <c r="N61" s="815" t="s">
        <v>157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7">
        <f t="shared" si="7"/>
        <v>46092</v>
      </c>
    </row>
    <row r="62" spans="1:20" ht="21">
      <c r="A62" s="988"/>
      <c r="B62" s="984"/>
      <c r="C62" s="79" t="s">
        <v>211</v>
      </c>
      <c r="D62" s="8">
        <v>1</v>
      </c>
      <c r="E62" s="8">
        <v>1</v>
      </c>
      <c r="F62" s="386">
        <v>0</v>
      </c>
      <c r="G62" s="815" t="s">
        <v>157</v>
      </c>
      <c r="H62" s="982"/>
      <c r="I62" s="79"/>
      <c r="J62" s="79"/>
      <c r="K62" s="8">
        <v>1</v>
      </c>
      <c r="L62" s="8">
        <v>1</v>
      </c>
      <c r="M62" s="386">
        <v>0</v>
      </c>
      <c r="N62" s="815" t="s">
        <v>157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7">
        <f t="shared" si="7"/>
        <v>46092</v>
      </c>
    </row>
    <row r="63" spans="1:20" ht="21">
      <c r="A63" s="988"/>
      <c r="B63" s="984"/>
      <c r="C63" s="79" t="s">
        <v>212</v>
      </c>
      <c r="D63" s="8">
        <v>1</v>
      </c>
      <c r="E63" s="8">
        <v>1</v>
      </c>
      <c r="F63" s="386">
        <v>0</v>
      </c>
      <c r="G63" s="815" t="s">
        <v>157</v>
      </c>
      <c r="H63" s="982"/>
      <c r="I63" s="79"/>
      <c r="J63" s="79"/>
      <c r="K63" s="8">
        <v>1</v>
      </c>
      <c r="L63" s="8">
        <v>1</v>
      </c>
      <c r="M63" s="386">
        <v>0</v>
      </c>
      <c r="N63" s="815" t="s">
        <v>157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7">
        <f t="shared" si="7"/>
        <v>46092</v>
      </c>
    </row>
    <row r="64" spans="1:20" ht="21">
      <c r="A64" s="988"/>
      <c r="B64" s="984"/>
      <c r="C64" s="79" t="s">
        <v>213</v>
      </c>
      <c r="D64" s="8">
        <v>2</v>
      </c>
      <c r="E64" s="8">
        <v>2</v>
      </c>
      <c r="F64" s="386">
        <v>0</v>
      </c>
      <c r="G64" s="815" t="s">
        <v>157</v>
      </c>
      <c r="H64" s="982"/>
      <c r="I64" s="79"/>
      <c r="J64" s="79"/>
      <c r="K64" s="8">
        <v>2</v>
      </c>
      <c r="L64" s="8">
        <v>2</v>
      </c>
      <c r="M64" s="386">
        <v>0</v>
      </c>
      <c r="N64" s="815" t="s">
        <v>157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7">
        <f t="shared" si="7"/>
        <v>46092</v>
      </c>
    </row>
    <row r="65" spans="1:20" ht="21">
      <c r="A65" s="988"/>
      <c r="B65" s="984"/>
      <c r="C65" s="79" t="s">
        <v>189</v>
      </c>
      <c r="D65" s="8">
        <v>1</v>
      </c>
      <c r="E65" s="8">
        <v>1</v>
      </c>
      <c r="F65" s="386">
        <v>0</v>
      </c>
      <c r="G65" s="815" t="s">
        <v>157</v>
      </c>
      <c r="H65" s="983"/>
      <c r="I65" s="79"/>
      <c r="J65" s="79"/>
      <c r="K65" s="8">
        <v>1</v>
      </c>
      <c r="L65" s="8">
        <v>1</v>
      </c>
      <c r="M65" s="386">
        <v>0</v>
      </c>
      <c r="N65" s="815" t="s">
        <v>157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7">
        <f t="shared" si="7"/>
        <v>46092</v>
      </c>
    </row>
    <row r="66" spans="1:20" ht="21">
      <c r="A66" s="988"/>
      <c r="B66" s="984">
        <v>7</v>
      </c>
      <c r="C66" s="79" t="s">
        <v>214</v>
      </c>
      <c r="D66" s="8">
        <v>1</v>
      </c>
      <c r="E66" s="8">
        <v>1</v>
      </c>
      <c r="F66" s="386">
        <v>0</v>
      </c>
      <c r="G66" s="815" t="s">
        <v>157</v>
      </c>
      <c r="H66" s="980">
        <v>46094</v>
      </c>
      <c r="I66" s="79"/>
      <c r="J66" s="79"/>
      <c r="K66" s="8">
        <v>1</v>
      </c>
      <c r="L66" s="8">
        <v>1</v>
      </c>
      <c r="M66" s="386">
        <v>0</v>
      </c>
      <c r="N66" s="815" t="s">
        <v>157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7">
        <f>$H$66</f>
        <v>46094</v>
      </c>
    </row>
    <row r="67" spans="1:20" ht="21">
      <c r="A67" s="988"/>
      <c r="B67" s="984"/>
      <c r="C67" s="79" t="s">
        <v>215</v>
      </c>
      <c r="D67" s="8">
        <v>1</v>
      </c>
      <c r="E67" s="8">
        <v>1</v>
      </c>
      <c r="F67" s="386">
        <v>0</v>
      </c>
      <c r="G67" s="815" t="s">
        <v>157</v>
      </c>
      <c r="H67" s="982"/>
      <c r="I67" s="79"/>
      <c r="J67" s="79"/>
      <c r="K67" s="8">
        <v>1</v>
      </c>
      <c r="L67" s="8">
        <v>1</v>
      </c>
      <c r="M67" s="386">
        <v>0</v>
      </c>
      <c r="N67" s="815" t="s">
        <v>157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7">
        <f t="shared" ref="T67:T73" si="9">$H$66</f>
        <v>46094</v>
      </c>
    </row>
    <row r="68" spans="1:20" ht="21">
      <c r="A68" s="988"/>
      <c r="B68" s="984"/>
      <c r="C68" s="79" t="s">
        <v>216</v>
      </c>
      <c r="D68" s="8">
        <v>2</v>
      </c>
      <c r="E68" s="8">
        <v>2</v>
      </c>
      <c r="F68" s="386">
        <v>0</v>
      </c>
      <c r="G68" s="815" t="s">
        <v>157</v>
      </c>
      <c r="H68" s="982"/>
      <c r="I68" s="79"/>
      <c r="J68" s="79"/>
      <c r="K68" s="8">
        <v>2</v>
      </c>
      <c r="L68" s="8">
        <v>2</v>
      </c>
      <c r="M68" s="386">
        <v>0</v>
      </c>
      <c r="N68" s="815" t="s">
        <v>157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7">
        <f t="shared" si="9"/>
        <v>46094</v>
      </c>
    </row>
    <row r="69" spans="1:20" ht="21">
      <c r="A69" s="988"/>
      <c r="B69" s="984"/>
      <c r="C69" s="79" t="s">
        <v>217</v>
      </c>
      <c r="D69" s="8">
        <v>1</v>
      </c>
      <c r="E69" s="8">
        <v>1</v>
      </c>
      <c r="F69" s="386">
        <v>0</v>
      </c>
      <c r="G69" s="815" t="s">
        <v>157</v>
      </c>
      <c r="H69" s="982"/>
      <c r="I69" s="79"/>
      <c r="J69" s="79"/>
      <c r="K69" s="8">
        <v>1</v>
      </c>
      <c r="L69" s="8">
        <v>1</v>
      </c>
      <c r="M69" s="386">
        <v>0</v>
      </c>
      <c r="N69" s="815" t="s">
        <v>157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7">
        <f t="shared" si="9"/>
        <v>46094</v>
      </c>
    </row>
    <row r="70" spans="1:20" ht="21">
      <c r="A70" s="988"/>
      <c r="B70" s="984"/>
      <c r="C70" s="79" t="s">
        <v>218</v>
      </c>
      <c r="D70" s="8">
        <v>1</v>
      </c>
      <c r="E70" s="8">
        <v>1</v>
      </c>
      <c r="F70" s="386">
        <v>0</v>
      </c>
      <c r="G70" s="815" t="s">
        <v>157</v>
      </c>
      <c r="H70" s="982"/>
      <c r="I70" s="79"/>
      <c r="J70" s="79"/>
      <c r="K70" s="8">
        <v>1</v>
      </c>
      <c r="L70" s="8">
        <v>1</v>
      </c>
      <c r="M70" s="386">
        <v>0</v>
      </c>
      <c r="N70" s="815" t="s">
        <v>157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7">
        <f t="shared" si="9"/>
        <v>46094</v>
      </c>
    </row>
    <row r="71" spans="1:20" ht="21">
      <c r="A71" s="988"/>
      <c r="B71" s="984"/>
      <c r="C71" s="79" t="s">
        <v>219</v>
      </c>
      <c r="D71" s="8">
        <v>1</v>
      </c>
      <c r="E71" s="8">
        <v>1</v>
      </c>
      <c r="F71" s="386">
        <v>0</v>
      </c>
      <c r="G71" s="815" t="s">
        <v>157</v>
      </c>
      <c r="H71" s="982"/>
      <c r="I71" s="79"/>
      <c r="J71" s="79"/>
      <c r="K71" s="8">
        <v>1</v>
      </c>
      <c r="L71" s="8">
        <v>1</v>
      </c>
      <c r="M71" s="386">
        <v>0</v>
      </c>
      <c r="N71" s="815" t="s">
        <v>157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7">
        <f t="shared" si="9"/>
        <v>46094</v>
      </c>
    </row>
    <row r="72" spans="1:20" ht="21">
      <c r="A72" s="988"/>
      <c r="B72" s="984"/>
      <c r="C72" s="79" t="s">
        <v>220</v>
      </c>
      <c r="D72" s="8">
        <v>1</v>
      </c>
      <c r="E72" s="8">
        <v>1</v>
      </c>
      <c r="F72" s="386">
        <v>0</v>
      </c>
      <c r="G72" s="815" t="s">
        <v>157</v>
      </c>
      <c r="H72" s="982"/>
      <c r="I72" s="79"/>
      <c r="J72" s="79"/>
      <c r="K72" s="8">
        <v>1</v>
      </c>
      <c r="L72" s="8">
        <v>1</v>
      </c>
      <c r="M72" s="386">
        <v>0</v>
      </c>
      <c r="N72" s="815" t="s">
        <v>157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7">
        <f t="shared" si="9"/>
        <v>46094</v>
      </c>
    </row>
    <row r="73" spans="1:20" ht="21">
      <c r="A73" s="988"/>
      <c r="B73" s="984"/>
      <c r="C73" s="79" t="s">
        <v>189</v>
      </c>
      <c r="D73" s="8">
        <v>1</v>
      </c>
      <c r="E73" s="8">
        <v>1</v>
      </c>
      <c r="F73" s="386">
        <v>0</v>
      </c>
      <c r="G73" s="815" t="s">
        <v>157</v>
      </c>
      <c r="H73" s="983"/>
      <c r="I73" s="79"/>
      <c r="J73" s="79"/>
      <c r="K73" s="8">
        <v>1</v>
      </c>
      <c r="L73" s="8">
        <v>1</v>
      </c>
      <c r="M73" s="386">
        <v>0</v>
      </c>
      <c r="N73" s="815" t="s">
        <v>157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7">
        <f t="shared" si="9"/>
        <v>46094</v>
      </c>
    </row>
    <row r="74" spans="1:20" ht="21">
      <c r="A74" s="989" t="s">
        <v>221</v>
      </c>
      <c r="B74" s="984">
        <v>1</v>
      </c>
      <c r="C74" s="79" t="s">
        <v>222</v>
      </c>
      <c r="D74" s="8">
        <v>2</v>
      </c>
      <c r="E74" s="8">
        <v>2</v>
      </c>
      <c r="F74" s="386">
        <v>0</v>
      </c>
      <c r="G74" s="815" t="s">
        <v>157</v>
      </c>
      <c r="H74" s="980">
        <v>46064</v>
      </c>
      <c r="I74" s="79"/>
      <c r="J74" s="79"/>
      <c r="K74" s="8">
        <v>2</v>
      </c>
      <c r="L74" s="8">
        <v>2</v>
      </c>
      <c r="M74" s="386">
        <v>0</v>
      </c>
      <c r="N74" s="815" t="s">
        <v>157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7">
        <f>$H$74</f>
        <v>46064</v>
      </c>
    </row>
    <row r="75" spans="1:20" ht="21">
      <c r="A75" s="989"/>
      <c r="B75" s="984"/>
      <c r="C75" s="79" t="s">
        <v>223</v>
      </c>
      <c r="D75" s="8">
        <v>1</v>
      </c>
      <c r="E75" s="8">
        <v>1</v>
      </c>
      <c r="F75" s="386">
        <v>0</v>
      </c>
      <c r="G75" s="815" t="s">
        <v>157</v>
      </c>
      <c r="H75" s="982"/>
      <c r="I75" s="79"/>
      <c r="J75" s="79"/>
      <c r="K75" s="8">
        <v>1</v>
      </c>
      <c r="L75" s="8">
        <v>1</v>
      </c>
      <c r="M75" s="386">
        <v>0</v>
      </c>
      <c r="N75" s="815" t="s">
        <v>157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7">
        <f t="shared" ref="T75:T83" si="10">$H$74</f>
        <v>46064</v>
      </c>
    </row>
    <row r="76" spans="1:20" ht="21">
      <c r="A76" s="989"/>
      <c r="B76" s="984"/>
      <c r="C76" s="79" t="s">
        <v>224</v>
      </c>
      <c r="D76" s="8">
        <v>1</v>
      </c>
      <c r="E76" s="8">
        <v>1</v>
      </c>
      <c r="F76" s="386">
        <v>0</v>
      </c>
      <c r="G76" s="815" t="s">
        <v>157</v>
      </c>
      <c r="H76" s="982"/>
      <c r="I76" s="79"/>
      <c r="J76" s="79"/>
      <c r="K76" s="8">
        <v>1</v>
      </c>
      <c r="L76" s="8">
        <v>1</v>
      </c>
      <c r="M76" s="386">
        <v>0</v>
      </c>
      <c r="N76" s="815" t="s">
        <v>157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7">
        <f t="shared" si="10"/>
        <v>46064</v>
      </c>
    </row>
    <row r="77" spans="1:20" ht="21">
      <c r="A77" s="989"/>
      <c r="B77" s="984"/>
      <c r="C77" s="79" t="s">
        <v>225</v>
      </c>
      <c r="D77" s="8">
        <v>1</v>
      </c>
      <c r="E77" s="8">
        <v>1</v>
      </c>
      <c r="F77" s="386">
        <v>0</v>
      </c>
      <c r="G77" s="815" t="s">
        <v>157</v>
      </c>
      <c r="H77" s="982"/>
      <c r="I77" s="79"/>
      <c r="J77" s="79"/>
      <c r="K77" s="8">
        <v>1</v>
      </c>
      <c r="L77" s="8">
        <v>1</v>
      </c>
      <c r="M77" s="386">
        <v>0</v>
      </c>
      <c r="N77" s="815" t="s">
        <v>157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7">
        <f t="shared" si="10"/>
        <v>46064</v>
      </c>
    </row>
    <row r="78" spans="1:20" ht="21">
      <c r="A78" s="989"/>
      <c r="B78" s="984"/>
      <c r="C78" s="79" t="s">
        <v>226</v>
      </c>
      <c r="D78" s="8">
        <v>1</v>
      </c>
      <c r="E78" s="8">
        <v>1</v>
      </c>
      <c r="F78" s="386">
        <v>0</v>
      </c>
      <c r="G78" s="815" t="s">
        <v>157</v>
      </c>
      <c r="H78" s="982"/>
      <c r="I78" s="79"/>
      <c r="J78" s="79"/>
      <c r="K78" s="8">
        <v>1</v>
      </c>
      <c r="L78" s="8">
        <v>1</v>
      </c>
      <c r="M78" s="386">
        <v>0</v>
      </c>
      <c r="N78" s="815" t="s">
        <v>157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7">
        <f t="shared" si="10"/>
        <v>46064</v>
      </c>
    </row>
    <row r="79" spans="1:20" ht="21">
      <c r="A79" s="989"/>
      <c r="B79" s="984"/>
      <c r="C79" s="79" t="s">
        <v>222</v>
      </c>
      <c r="D79" s="8">
        <v>2</v>
      </c>
      <c r="E79" s="8">
        <v>2</v>
      </c>
      <c r="F79" s="386">
        <v>0</v>
      </c>
      <c r="G79" s="815" t="s">
        <v>157</v>
      </c>
      <c r="H79" s="982"/>
      <c r="I79" s="79"/>
      <c r="J79" s="79"/>
      <c r="K79" s="8">
        <v>2</v>
      </c>
      <c r="L79" s="8">
        <v>2</v>
      </c>
      <c r="M79" s="386">
        <v>0</v>
      </c>
      <c r="N79" s="815" t="s">
        <v>157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7">
        <f t="shared" si="10"/>
        <v>46064</v>
      </c>
    </row>
    <row r="80" spans="1:20" ht="21">
      <c r="A80" s="989"/>
      <c r="B80" s="984"/>
      <c r="C80" s="79" t="s">
        <v>227</v>
      </c>
      <c r="D80" s="8">
        <v>1</v>
      </c>
      <c r="E80" s="8">
        <v>1</v>
      </c>
      <c r="F80" s="386">
        <v>0</v>
      </c>
      <c r="G80" s="815" t="s">
        <v>157</v>
      </c>
      <c r="H80" s="982"/>
      <c r="I80" s="79"/>
      <c r="J80" s="79"/>
      <c r="K80" s="8">
        <v>1</v>
      </c>
      <c r="L80" s="8">
        <v>1</v>
      </c>
      <c r="M80" s="386">
        <v>0</v>
      </c>
      <c r="N80" s="815" t="s">
        <v>157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7">
        <f t="shared" si="10"/>
        <v>46064</v>
      </c>
    </row>
    <row r="81" spans="1:20" ht="21">
      <c r="A81" s="989"/>
      <c r="B81" s="984"/>
      <c r="C81" s="79" t="s">
        <v>224</v>
      </c>
      <c r="D81" s="8">
        <v>1</v>
      </c>
      <c r="E81" s="8">
        <v>1</v>
      </c>
      <c r="F81" s="386">
        <v>0</v>
      </c>
      <c r="G81" s="815" t="s">
        <v>157</v>
      </c>
      <c r="H81" s="982"/>
      <c r="I81" s="79"/>
      <c r="J81" s="79"/>
      <c r="K81" s="8">
        <v>1</v>
      </c>
      <c r="L81" s="8">
        <v>1</v>
      </c>
      <c r="M81" s="386">
        <v>0</v>
      </c>
      <c r="N81" s="815" t="s">
        <v>157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7">
        <f t="shared" si="10"/>
        <v>46064</v>
      </c>
    </row>
    <row r="82" spans="1:20" ht="21">
      <c r="A82" s="989"/>
      <c r="B82" s="984"/>
      <c r="C82" s="79" t="s">
        <v>228</v>
      </c>
      <c r="D82" s="8">
        <v>1</v>
      </c>
      <c r="E82" s="8">
        <v>1</v>
      </c>
      <c r="F82" s="386">
        <v>0</v>
      </c>
      <c r="G82" s="815" t="s">
        <v>157</v>
      </c>
      <c r="H82" s="982"/>
      <c r="I82" s="79"/>
      <c r="J82" s="79"/>
      <c r="K82" s="8">
        <v>1</v>
      </c>
      <c r="L82" s="8">
        <v>1</v>
      </c>
      <c r="M82" s="386">
        <v>0</v>
      </c>
      <c r="N82" s="815" t="s">
        <v>157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7">
        <f t="shared" si="10"/>
        <v>46064</v>
      </c>
    </row>
    <row r="83" spans="1:20" ht="21">
      <c r="A83" s="989"/>
      <c r="B83" s="984"/>
      <c r="C83" s="79" t="s">
        <v>189</v>
      </c>
      <c r="D83" s="8">
        <v>1</v>
      </c>
      <c r="E83" s="8">
        <v>1</v>
      </c>
      <c r="F83" s="386">
        <v>0</v>
      </c>
      <c r="G83" s="815" t="s">
        <v>157</v>
      </c>
      <c r="H83" s="983"/>
      <c r="I83" s="79"/>
      <c r="J83" s="79"/>
      <c r="K83" s="8">
        <v>1</v>
      </c>
      <c r="L83" s="8">
        <v>1</v>
      </c>
      <c r="M83" s="386">
        <v>0</v>
      </c>
      <c r="N83" s="815" t="s">
        <v>157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7">
        <f t="shared" si="10"/>
        <v>46064</v>
      </c>
    </row>
    <row r="84" spans="1:20" ht="21">
      <c r="A84" s="989"/>
      <c r="B84" s="984">
        <v>2</v>
      </c>
      <c r="C84" s="79" t="s">
        <v>229</v>
      </c>
      <c r="D84" s="8">
        <v>4</v>
      </c>
      <c r="E84" s="8">
        <v>4</v>
      </c>
      <c r="F84" s="386">
        <v>0</v>
      </c>
      <c r="G84" s="815" t="s">
        <v>157</v>
      </c>
      <c r="H84" s="980">
        <v>46056</v>
      </c>
      <c r="I84" s="79"/>
      <c r="J84" s="79"/>
      <c r="K84" s="8">
        <v>4</v>
      </c>
      <c r="L84" s="8">
        <v>4</v>
      </c>
      <c r="M84" s="386">
        <v>0</v>
      </c>
      <c r="N84" s="815" t="s">
        <v>157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7">
        <f>$H$84</f>
        <v>46056</v>
      </c>
    </row>
    <row r="85" spans="1:20" ht="21">
      <c r="A85" s="989"/>
      <c r="B85" s="984"/>
      <c r="C85" s="79" t="s">
        <v>230</v>
      </c>
      <c r="D85" s="8">
        <v>1</v>
      </c>
      <c r="E85" s="8">
        <v>1</v>
      </c>
      <c r="F85" s="386">
        <v>0</v>
      </c>
      <c r="G85" s="815" t="s">
        <v>157</v>
      </c>
      <c r="H85" s="982"/>
      <c r="I85" s="79"/>
      <c r="J85" s="79"/>
      <c r="K85" s="8">
        <v>1</v>
      </c>
      <c r="L85" s="8">
        <v>1</v>
      </c>
      <c r="M85" s="386">
        <v>0</v>
      </c>
      <c r="N85" s="815" t="s">
        <v>157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7">
        <f t="shared" ref="T85:T87" si="11">$H$84</f>
        <v>46056</v>
      </c>
    </row>
    <row r="86" spans="1:20" ht="21">
      <c r="A86" s="989"/>
      <c r="B86" s="984"/>
      <c r="C86" s="79" t="s">
        <v>231</v>
      </c>
      <c r="D86" s="8">
        <v>1</v>
      </c>
      <c r="E86" s="8">
        <v>0</v>
      </c>
      <c r="F86" s="386">
        <v>1</v>
      </c>
      <c r="G86" s="815" t="s">
        <v>157</v>
      </c>
      <c r="H86" s="982"/>
      <c r="I86" s="79"/>
      <c r="J86" s="79"/>
      <c r="K86" s="8">
        <v>1</v>
      </c>
      <c r="L86" s="8">
        <v>0</v>
      </c>
      <c r="M86" s="386">
        <v>1</v>
      </c>
      <c r="N86" s="815" t="s">
        <v>157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7">
        <f t="shared" si="11"/>
        <v>46056</v>
      </c>
    </row>
    <row r="87" spans="1:20" ht="21">
      <c r="A87" s="989"/>
      <c r="B87" s="984"/>
      <c r="C87" s="79" t="s">
        <v>129</v>
      </c>
      <c r="D87" s="8">
        <v>1</v>
      </c>
      <c r="E87" s="8">
        <v>0</v>
      </c>
      <c r="F87" s="386">
        <v>1</v>
      </c>
      <c r="G87" s="815" t="s">
        <v>157</v>
      </c>
      <c r="H87" s="983"/>
      <c r="I87" s="79"/>
      <c r="J87" s="79"/>
      <c r="K87" s="8">
        <v>1</v>
      </c>
      <c r="L87" s="8">
        <v>0</v>
      </c>
      <c r="M87" s="386">
        <v>1</v>
      </c>
      <c r="N87" s="815" t="s">
        <v>157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7">
        <f t="shared" si="11"/>
        <v>46056</v>
      </c>
    </row>
    <row r="88" spans="1:20" ht="21">
      <c r="A88" s="989"/>
      <c r="B88" s="984">
        <v>3</v>
      </c>
      <c r="C88" s="79" t="s">
        <v>232</v>
      </c>
      <c r="D88" s="8">
        <v>1</v>
      </c>
      <c r="E88" s="8">
        <v>1</v>
      </c>
      <c r="F88" s="386">
        <v>0</v>
      </c>
      <c r="G88" s="815" t="s">
        <v>157</v>
      </c>
      <c r="H88" s="980">
        <v>46071</v>
      </c>
      <c r="I88" s="79"/>
      <c r="J88" s="79"/>
      <c r="K88" s="8">
        <v>1</v>
      </c>
      <c r="L88" s="8">
        <v>1</v>
      </c>
      <c r="M88" s="386">
        <v>0</v>
      </c>
      <c r="N88" s="815" t="s">
        <v>157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7">
        <f>$H$88</f>
        <v>46071</v>
      </c>
    </row>
    <row r="89" spans="1:20" ht="21">
      <c r="A89" s="989"/>
      <c r="B89" s="984"/>
      <c r="C89" s="79" t="s">
        <v>233</v>
      </c>
      <c r="D89" s="8">
        <v>1</v>
      </c>
      <c r="E89" s="8">
        <v>1</v>
      </c>
      <c r="F89" s="386">
        <v>0</v>
      </c>
      <c r="G89" s="815" t="s">
        <v>157</v>
      </c>
      <c r="H89" s="982"/>
      <c r="I89" s="79"/>
      <c r="J89" s="79"/>
      <c r="K89" s="8">
        <v>1</v>
      </c>
      <c r="L89" s="8">
        <v>1</v>
      </c>
      <c r="M89" s="386">
        <v>0</v>
      </c>
      <c r="N89" s="815" t="s">
        <v>157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7">
        <f t="shared" ref="T89:T98" si="12">$H$88</f>
        <v>46071</v>
      </c>
    </row>
    <row r="90" spans="1:20" ht="21">
      <c r="A90" s="989"/>
      <c r="B90" s="984"/>
      <c r="C90" s="79" t="s">
        <v>234</v>
      </c>
      <c r="D90" s="8">
        <v>1</v>
      </c>
      <c r="E90" s="8">
        <v>1</v>
      </c>
      <c r="F90" s="386">
        <v>0</v>
      </c>
      <c r="G90" s="815" t="s">
        <v>157</v>
      </c>
      <c r="H90" s="982"/>
      <c r="I90" s="79"/>
      <c r="J90" s="79"/>
      <c r="K90" s="8">
        <v>1</v>
      </c>
      <c r="L90" s="8">
        <v>1</v>
      </c>
      <c r="M90" s="386">
        <v>0</v>
      </c>
      <c r="N90" s="815" t="s">
        <v>157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7">
        <f t="shared" si="12"/>
        <v>46071</v>
      </c>
    </row>
    <row r="91" spans="1:20" ht="21">
      <c r="A91" s="989"/>
      <c r="B91" s="984"/>
      <c r="C91" s="79" t="s">
        <v>235</v>
      </c>
      <c r="D91" s="8">
        <v>1</v>
      </c>
      <c r="E91" s="8">
        <v>1</v>
      </c>
      <c r="F91" s="386">
        <v>0</v>
      </c>
      <c r="G91" s="815" t="s">
        <v>157</v>
      </c>
      <c r="H91" s="982"/>
      <c r="I91" s="79"/>
      <c r="J91" s="79"/>
      <c r="K91" s="8">
        <v>1</v>
      </c>
      <c r="L91" s="8">
        <v>1</v>
      </c>
      <c r="M91" s="386">
        <v>0</v>
      </c>
      <c r="N91" s="815" t="s">
        <v>157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7">
        <f t="shared" si="12"/>
        <v>46071</v>
      </c>
    </row>
    <row r="92" spans="1:20" ht="21">
      <c r="A92" s="989"/>
      <c r="B92" s="984"/>
      <c r="C92" s="79" t="s">
        <v>189</v>
      </c>
      <c r="D92" s="8">
        <v>1</v>
      </c>
      <c r="E92" s="8">
        <v>1</v>
      </c>
      <c r="F92" s="386">
        <v>0</v>
      </c>
      <c r="G92" s="815" t="s">
        <v>157</v>
      </c>
      <c r="H92" s="982"/>
      <c r="I92" s="79"/>
      <c r="J92" s="79"/>
      <c r="K92" s="8">
        <v>1</v>
      </c>
      <c r="L92" s="8">
        <v>1</v>
      </c>
      <c r="M92" s="386">
        <v>0</v>
      </c>
      <c r="N92" s="815" t="s">
        <v>157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7">
        <f t="shared" si="12"/>
        <v>46071</v>
      </c>
    </row>
    <row r="93" spans="1:20" ht="21">
      <c r="A93" s="989"/>
      <c r="B93" s="984"/>
      <c r="C93" s="79" t="s">
        <v>232</v>
      </c>
      <c r="D93" s="8">
        <v>4</v>
      </c>
      <c r="E93" s="8">
        <v>4</v>
      </c>
      <c r="F93" s="386">
        <v>0</v>
      </c>
      <c r="G93" s="815" t="s">
        <v>157</v>
      </c>
      <c r="H93" s="983"/>
      <c r="I93" s="79"/>
      <c r="J93" s="79"/>
      <c r="K93" s="8">
        <v>4</v>
      </c>
      <c r="L93" s="8">
        <v>4</v>
      </c>
      <c r="M93" s="386">
        <v>0</v>
      </c>
      <c r="N93" s="815" t="s">
        <v>157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7">
        <f t="shared" si="12"/>
        <v>46071</v>
      </c>
    </row>
    <row r="94" spans="1:20" ht="21">
      <c r="A94" s="989"/>
      <c r="B94" s="984">
        <v>4</v>
      </c>
      <c r="C94" s="79" t="s">
        <v>129</v>
      </c>
      <c r="D94" s="8">
        <v>3</v>
      </c>
      <c r="E94" s="8">
        <v>0</v>
      </c>
      <c r="F94" s="386">
        <v>3</v>
      </c>
      <c r="G94" s="815" t="s">
        <v>157</v>
      </c>
      <c r="H94" s="980">
        <v>46073</v>
      </c>
      <c r="I94" s="79"/>
      <c r="J94" s="79"/>
      <c r="K94" s="8">
        <v>3</v>
      </c>
      <c r="L94" s="8">
        <v>0</v>
      </c>
      <c r="M94" s="386">
        <v>3</v>
      </c>
      <c r="N94" s="815" t="s">
        <v>157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7">
        <f>$H$94</f>
        <v>46073</v>
      </c>
    </row>
    <row r="95" spans="1:20" ht="21">
      <c r="A95" s="989"/>
      <c r="B95" s="984"/>
      <c r="C95" s="79" t="s">
        <v>236</v>
      </c>
      <c r="D95" s="8">
        <v>1</v>
      </c>
      <c r="E95" s="8">
        <v>1</v>
      </c>
      <c r="F95" s="386">
        <v>0</v>
      </c>
      <c r="G95" s="815" t="s">
        <v>157</v>
      </c>
      <c r="H95" s="982"/>
      <c r="I95" s="79"/>
      <c r="J95" s="79"/>
      <c r="K95" s="8">
        <v>1</v>
      </c>
      <c r="L95" s="8">
        <v>1</v>
      </c>
      <c r="M95" s="386">
        <v>0</v>
      </c>
      <c r="N95" s="815" t="s">
        <v>157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7">
        <f t="shared" ref="T95:T98" si="13">$H$94</f>
        <v>46073</v>
      </c>
    </row>
    <row r="96" spans="1:20" ht="21">
      <c r="A96" s="989"/>
      <c r="B96" s="984"/>
      <c r="C96" s="79" t="s">
        <v>237</v>
      </c>
      <c r="D96" s="8">
        <v>1</v>
      </c>
      <c r="E96" s="8">
        <v>1</v>
      </c>
      <c r="F96" s="386">
        <v>0</v>
      </c>
      <c r="G96" s="815" t="s">
        <v>157</v>
      </c>
      <c r="H96" s="982"/>
      <c r="I96" s="79"/>
      <c r="J96" s="79"/>
      <c r="K96" s="8">
        <v>1</v>
      </c>
      <c r="L96" s="8">
        <v>1</v>
      </c>
      <c r="M96" s="386">
        <v>0</v>
      </c>
      <c r="N96" s="815" t="s">
        <v>157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7">
        <f t="shared" si="13"/>
        <v>46073</v>
      </c>
    </row>
    <row r="97" spans="1:20" ht="21">
      <c r="A97" s="989"/>
      <c r="B97" s="984"/>
      <c r="C97" s="79" t="s">
        <v>238</v>
      </c>
      <c r="D97" s="8">
        <v>3</v>
      </c>
      <c r="E97" s="8">
        <v>3</v>
      </c>
      <c r="F97" s="386">
        <v>0</v>
      </c>
      <c r="G97" s="815" t="s">
        <v>157</v>
      </c>
      <c r="H97" s="982"/>
      <c r="I97" s="79"/>
      <c r="J97" s="79"/>
      <c r="K97" s="8">
        <v>3</v>
      </c>
      <c r="L97" s="8">
        <v>3</v>
      </c>
      <c r="M97" s="386">
        <v>0</v>
      </c>
      <c r="N97" s="815" t="s">
        <v>157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7">
        <f t="shared" si="13"/>
        <v>46073</v>
      </c>
    </row>
    <row r="98" spans="1:20" ht="21">
      <c r="A98" s="989"/>
      <c r="B98" s="984"/>
      <c r="C98" s="79" t="s">
        <v>189</v>
      </c>
      <c r="D98" s="8">
        <v>1</v>
      </c>
      <c r="E98" s="8">
        <v>1</v>
      </c>
      <c r="F98" s="386">
        <v>0</v>
      </c>
      <c r="G98" s="815" t="s">
        <v>157</v>
      </c>
      <c r="H98" s="983"/>
      <c r="I98" s="79"/>
      <c r="J98" s="79"/>
      <c r="K98" s="8">
        <v>1</v>
      </c>
      <c r="L98" s="8">
        <v>1</v>
      </c>
      <c r="M98" s="386">
        <v>0</v>
      </c>
      <c r="N98" s="815" t="s">
        <v>157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7">
        <f t="shared" si="13"/>
        <v>46073</v>
      </c>
    </row>
    <row r="99" spans="1:20" ht="21">
      <c r="A99" s="787" t="s">
        <v>239</v>
      </c>
      <c r="B99" s="786">
        <v>1</v>
      </c>
      <c r="C99" s="73" t="s">
        <v>122</v>
      </c>
      <c r="D99" s="8">
        <v>1</v>
      </c>
      <c r="E99" s="8">
        <v>1</v>
      </c>
      <c r="F99" s="386">
        <v>0</v>
      </c>
      <c r="G99" s="815" t="s">
        <v>157</v>
      </c>
      <c r="H99" s="785">
        <v>46089</v>
      </c>
      <c r="I99" s="73"/>
      <c r="J99" s="73"/>
      <c r="K99" s="8">
        <v>1</v>
      </c>
      <c r="L99" s="8">
        <v>1</v>
      </c>
      <c r="M99" s="386">
        <v>0</v>
      </c>
      <c r="N99" s="815" t="s">
        <v>157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7">
        <f>$H$99</f>
        <v>46089</v>
      </c>
    </row>
    <row r="100" spans="1:20" ht="21">
      <c r="A100" s="989" t="s">
        <v>240</v>
      </c>
      <c r="B100" s="990">
        <v>1</v>
      </c>
      <c r="C100" s="79" t="s">
        <v>241</v>
      </c>
      <c r="D100" s="8">
        <v>3</v>
      </c>
      <c r="E100" s="8">
        <v>3</v>
      </c>
      <c r="F100" s="386">
        <v>0</v>
      </c>
      <c r="G100" s="815" t="s">
        <v>157</v>
      </c>
      <c r="H100" s="980">
        <v>46087</v>
      </c>
      <c r="I100" s="79"/>
      <c r="J100" s="79"/>
      <c r="K100" s="8">
        <v>3</v>
      </c>
      <c r="L100" s="8">
        <v>3</v>
      </c>
      <c r="M100" s="386">
        <v>0</v>
      </c>
      <c r="N100" s="815" t="s">
        <v>157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7">
        <f>$H$100</f>
        <v>46087</v>
      </c>
    </row>
    <row r="101" spans="1:20" ht="21">
      <c r="A101" s="989"/>
      <c r="B101" s="990"/>
      <c r="C101" s="79" t="s">
        <v>242</v>
      </c>
      <c r="D101" s="8">
        <v>2</v>
      </c>
      <c r="E101" s="8">
        <v>2</v>
      </c>
      <c r="F101" s="386">
        <v>0</v>
      </c>
      <c r="G101" s="815" t="s">
        <v>157</v>
      </c>
      <c r="H101" s="982"/>
      <c r="I101" s="79"/>
      <c r="J101" s="79"/>
      <c r="K101" s="8">
        <v>2</v>
      </c>
      <c r="L101" s="8">
        <v>2</v>
      </c>
      <c r="M101" s="386">
        <v>0</v>
      </c>
      <c r="N101" s="815" t="s">
        <v>157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7">
        <f t="shared" ref="T101:T106" si="15">$H$100</f>
        <v>46087</v>
      </c>
    </row>
    <row r="102" spans="1:20" ht="21">
      <c r="A102" s="989"/>
      <c r="B102" s="984">
        <v>2</v>
      </c>
      <c r="C102" s="79" t="s">
        <v>243</v>
      </c>
      <c r="D102" s="8">
        <v>2</v>
      </c>
      <c r="E102" s="8">
        <v>2</v>
      </c>
      <c r="F102" s="386">
        <v>0</v>
      </c>
      <c r="G102" s="815" t="s">
        <v>157</v>
      </c>
      <c r="H102" s="982"/>
      <c r="I102" s="79"/>
      <c r="J102" s="79"/>
      <c r="K102" s="8">
        <v>2</v>
      </c>
      <c r="L102" s="8">
        <v>2</v>
      </c>
      <c r="M102" s="386">
        <v>0</v>
      </c>
      <c r="N102" s="815" t="s">
        <v>157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7">
        <f t="shared" si="15"/>
        <v>46087</v>
      </c>
    </row>
    <row r="103" spans="1:20" ht="21">
      <c r="A103" s="989"/>
      <c r="B103" s="984"/>
      <c r="C103" s="79" t="s">
        <v>129</v>
      </c>
      <c r="D103" s="815">
        <v>5</v>
      </c>
      <c r="E103" s="815">
        <v>5</v>
      </c>
      <c r="F103" s="386">
        <v>0</v>
      </c>
      <c r="G103" s="815" t="s">
        <v>157</v>
      </c>
      <c r="H103" s="982"/>
      <c r="I103" s="79"/>
      <c r="J103" s="79"/>
      <c r="K103" s="815">
        <v>5</v>
      </c>
      <c r="L103" s="815">
        <v>5</v>
      </c>
      <c r="M103" s="386">
        <v>0</v>
      </c>
      <c r="N103" s="815" t="s">
        <v>157</v>
      </c>
      <c r="O103" s="815">
        <v>5</v>
      </c>
      <c r="P103" s="815">
        <v>5</v>
      </c>
      <c r="Q103" s="815">
        <v>5</v>
      </c>
      <c r="R103" s="7">
        <f t="shared" si="14"/>
        <v>1</v>
      </c>
      <c r="S103" s="384"/>
      <c r="T103" s="507">
        <f t="shared" si="15"/>
        <v>46087</v>
      </c>
    </row>
    <row r="104" spans="1:20" ht="21">
      <c r="A104" s="989"/>
      <c r="B104" s="984"/>
      <c r="C104" s="79" t="s">
        <v>242</v>
      </c>
      <c r="D104" s="815">
        <v>1</v>
      </c>
      <c r="E104" s="815">
        <v>1</v>
      </c>
      <c r="F104" s="386">
        <v>0</v>
      </c>
      <c r="G104" s="815" t="s">
        <v>157</v>
      </c>
      <c r="H104" s="982"/>
      <c r="I104" s="79"/>
      <c r="J104" s="79"/>
      <c r="K104" s="815">
        <v>1</v>
      </c>
      <c r="L104" s="815">
        <v>1</v>
      </c>
      <c r="M104" s="386">
        <v>0</v>
      </c>
      <c r="N104" s="815" t="s">
        <v>157</v>
      </c>
      <c r="O104" s="815">
        <v>1</v>
      </c>
      <c r="P104" s="815">
        <v>1</v>
      </c>
      <c r="Q104" s="815">
        <v>1</v>
      </c>
      <c r="R104" s="7">
        <f t="shared" si="14"/>
        <v>1</v>
      </c>
      <c r="S104" s="384"/>
      <c r="T104" s="507">
        <f t="shared" si="15"/>
        <v>46087</v>
      </c>
    </row>
    <row r="105" spans="1:20" ht="21">
      <c r="A105" s="989"/>
      <c r="B105" s="984"/>
      <c r="C105" s="79" t="s">
        <v>244</v>
      </c>
      <c r="D105" s="815">
        <v>1</v>
      </c>
      <c r="E105" s="815">
        <v>1</v>
      </c>
      <c r="F105" s="386">
        <v>0</v>
      </c>
      <c r="G105" s="815" t="s">
        <v>157</v>
      </c>
      <c r="H105" s="982"/>
      <c r="I105" s="79"/>
      <c r="J105" s="79"/>
      <c r="K105" s="815">
        <v>1</v>
      </c>
      <c r="L105" s="815">
        <v>1</v>
      </c>
      <c r="M105" s="386">
        <v>0</v>
      </c>
      <c r="N105" s="815" t="s">
        <v>157</v>
      </c>
      <c r="O105" s="815">
        <v>1</v>
      </c>
      <c r="P105" s="815">
        <v>1</v>
      </c>
      <c r="Q105" s="815">
        <v>1</v>
      </c>
      <c r="R105" s="7">
        <f t="shared" si="14"/>
        <v>1</v>
      </c>
      <c r="S105" s="384"/>
      <c r="T105" s="507">
        <f t="shared" si="15"/>
        <v>46087</v>
      </c>
    </row>
    <row r="106" spans="1:20" ht="21">
      <c r="A106" s="989"/>
      <c r="B106" s="786">
        <v>3</v>
      </c>
      <c r="C106" s="73" t="s">
        <v>245</v>
      </c>
      <c r="D106" s="815">
        <v>3</v>
      </c>
      <c r="E106" s="815">
        <v>2</v>
      </c>
      <c r="F106" s="386">
        <v>1</v>
      </c>
      <c r="G106" s="815" t="s">
        <v>157</v>
      </c>
      <c r="H106" s="983"/>
      <c r="I106" s="73"/>
      <c r="J106" s="73"/>
      <c r="K106" s="815">
        <v>3</v>
      </c>
      <c r="L106" s="815">
        <v>2</v>
      </c>
      <c r="M106" s="386">
        <v>1</v>
      </c>
      <c r="N106" s="815" t="s">
        <v>157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7">
        <f t="shared" si="15"/>
        <v>46087</v>
      </c>
    </row>
    <row r="107" spans="1:20" ht="21">
      <c r="A107" s="989" t="s">
        <v>133</v>
      </c>
      <c r="B107" s="984">
        <v>1</v>
      </c>
      <c r="C107" s="73" t="s">
        <v>246</v>
      </c>
      <c r="D107" s="8">
        <v>1</v>
      </c>
      <c r="E107" s="8">
        <v>1</v>
      </c>
      <c r="F107" s="386">
        <v>0</v>
      </c>
      <c r="G107" s="815" t="s">
        <v>157</v>
      </c>
      <c r="H107" s="980">
        <v>46090</v>
      </c>
      <c r="I107" s="73"/>
      <c r="J107" s="73"/>
      <c r="K107" s="8">
        <v>1</v>
      </c>
      <c r="L107" s="8">
        <v>1</v>
      </c>
      <c r="M107" s="386">
        <v>0</v>
      </c>
      <c r="N107" s="815" t="s">
        <v>157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7">
        <f>$H$107</f>
        <v>46090</v>
      </c>
    </row>
    <row r="108" spans="1:20" ht="21">
      <c r="A108" s="989"/>
      <c r="B108" s="984"/>
      <c r="C108" s="73" t="s">
        <v>247</v>
      </c>
      <c r="D108" s="8">
        <v>1</v>
      </c>
      <c r="E108" s="8">
        <v>1</v>
      </c>
      <c r="F108" s="386">
        <v>0</v>
      </c>
      <c r="G108" s="815" t="s">
        <v>157</v>
      </c>
      <c r="H108" s="982"/>
      <c r="I108" s="73"/>
      <c r="J108" s="73"/>
      <c r="K108" s="8">
        <v>1</v>
      </c>
      <c r="L108" s="8">
        <v>1</v>
      </c>
      <c r="M108" s="386">
        <v>0</v>
      </c>
      <c r="N108" s="815" t="s">
        <v>157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7">
        <f t="shared" ref="T108:T111" si="16">$H$107</f>
        <v>46090</v>
      </c>
    </row>
    <row r="109" spans="1:20" ht="21">
      <c r="A109" s="989"/>
      <c r="B109" s="984"/>
      <c r="C109" s="73" t="s">
        <v>248</v>
      </c>
      <c r="D109" s="8">
        <v>1</v>
      </c>
      <c r="E109" s="8">
        <v>1</v>
      </c>
      <c r="F109" s="386">
        <v>0</v>
      </c>
      <c r="G109" s="815" t="s">
        <v>157</v>
      </c>
      <c r="H109" s="982"/>
      <c r="I109" s="73"/>
      <c r="J109" s="73"/>
      <c r="K109" s="8">
        <v>1</v>
      </c>
      <c r="L109" s="8">
        <v>1</v>
      </c>
      <c r="M109" s="386">
        <v>0</v>
      </c>
      <c r="N109" s="815" t="s">
        <v>157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7">
        <f t="shared" si="16"/>
        <v>46090</v>
      </c>
    </row>
    <row r="110" spans="1:20" ht="21">
      <c r="A110" s="989"/>
      <c r="B110" s="984">
        <v>2</v>
      </c>
      <c r="C110" s="73" t="s">
        <v>249</v>
      </c>
      <c r="D110" s="8">
        <v>1</v>
      </c>
      <c r="E110" s="8">
        <v>1</v>
      </c>
      <c r="F110" s="386">
        <v>0</v>
      </c>
      <c r="G110" s="815" t="s">
        <v>157</v>
      </c>
      <c r="H110" s="982"/>
      <c r="I110" s="73"/>
      <c r="J110" s="73"/>
      <c r="K110" s="8">
        <v>1</v>
      </c>
      <c r="L110" s="8">
        <v>1</v>
      </c>
      <c r="M110" s="386">
        <v>0</v>
      </c>
      <c r="N110" s="815" t="s">
        <v>157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7">
        <f t="shared" si="16"/>
        <v>46090</v>
      </c>
    </row>
    <row r="111" spans="1:20" ht="21">
      <c r="A111" s="989"/>
      <c r="B111" s="984"/>
      <c r="C111" s="73" t="s">
        <v>250</v>
      </c>
      <c r="D111" s="8">
        <v>2</v>
      </c>
      <c r="E111" s="8">
        <v>0</v>
      </c>
      <c r="F111" s="386">
        <v>2</v>
      </c>
      <c r="G111" s="815" t="s">
        <v>157</v>
      </c>
      <c r="H111" s="983"/>
      <c r="I111" s="73"/>
      <c r="J111" s="73"/>
      <c r="K111" s="8">
        <v>2</v>
      </c>
      <c r="L111" s="8">
        <v>0</v>
      </c>
      <c r="M111" s="386">
        <v>2</v>
      </c>
      <c r="N111" s="815" t="s">
        <v>157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7">
        <f t="shared" si="16"/>
        <v>46090</v>
      </c>
    </row>
    <row r="112" spans="1:20" ht="21">
      <c r="A112" s="989" t="s">
        <v>128</v>
      </c>
      <c r="B112" s="984">
        <v>1</v>
      </c>
      <c r="C112" s="73" t="s">
        <v>251</v>
      </c>
      <c r="D112" s="8">
        <v>1</v>
      </c>
      <c r="E112" s="8">
        <v>1</v>
      </c>
      <c r="F112" s="386">
        <v>0</v>
      </c>
      <c r="G112" s="815" t="s">
        <v>157</v>
      </c>
      <c r="H112" s="980">
        <v>46089</v>
      </c>
      <c r="I112" s="73"/>
      <c r="J112" s="73"/>
      <c r="K112" s="8">
        <v>1</v>
      </c>
      <c r="L112" s="8">
        <v>1</v>
      </c>
      <c r="M112" s="386">
        <v>0</v>
      </c>
      <c r="N112" s="815" t="s">
        <v>157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7">
        <f>$H$112</f>
        <v>46089</v>
      </c>
    </row>
    <row r="113" spans="1:20" ht="21">
      <c r="A113" s="989"/>
      <c r="B113" s="984"/>
      <c r="C113" s="73" t="s">
        <v>252</v>
      </c>
      <c r="D113" s="8">
        <v>2</v>
      </c>
      <c r="E113" s="8">
        <v>2</v>
      </c>
      <c r="F113" s="386">
        <v>0</v>
      </c>
      <c r="G113" s="815" t="s">
        <v>157</v>
      </c>
      <c r="H113" s="983"/>
      <c r="I113" s="73"/>
      <c r="J113" s="73"/>
      <c r="K113" s="8">
        <v>2</v>
      </c>
      <c r="L113" s="8">
        <v>2</v>
      </c>
      <c r="M113" s="386">
        <v>0</v>
      </c>
      <c r="N113" s="815" t="s">
        <v>157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7">
        <f>$H$112</f>
        <v>46089</v>
      </c>
    </row>
    <row r="114" spans="1:20" ht="21">
      <c r="A114" s="788" t="s">
        <v>130</v>
      </c>
      <c r="B114" s="786">
        <v>1</v>
      </c>
      <c r="C114" s="73" t="s">
        <v>253</v>
      </c>
      <c r="D114" s="8">
        <v>3</v>
      </c>
      <c r="E114" s="8">
        <v>3</v>
      </c>
      <c r="F114" s="386">
        <v>0</v>
      </c>
      <c r="G114" s="815" t="s">
        <v>157</v>
      </c>
      <c r="H114" s="785">
        <v>46089</v>
      </c>
      <c r="I114" s="73"/>
      <c r="J114" s="73"/>
      <c r="K114" s="8">
        <v>3</v>
      </c>
      <c r="L114" s="8">
        <v>3</v>
      </c>
      <c r="M114" s="386">
        <v>0</v>
      </c>
      <c r="N114" s="815" t="s">
        <v>157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7">
        <f>$H$114</f>
        <v>46089</v>
      </c>
    </row>
    <row r="115" spans="1:20" ht="21">
      <c r="A115" s="788" t="s">
        <v>125</v>
      </c>
      <c r="B115" s="786">
        <v>1</v>
      </c>
      <c r="C115" s="73" t="s">
        <v>254</v>
      </c>
      <c r="D115" s="8">
        <v>1</v>
      </c>
      <c r="E115" s="8">
        <v>1</v>
      </c>
      <c r="F115" s="386">
        <v>0</v>
      </c>
      <c r="G115" s="815" t="s">
        <v>157</v>
      </c>
      <c r="H115" s="785">
        <v>46089</v>
      </c>
      <c r="I115" s="73"/>
      <c r="J115" s="73"/>
      <c r="K115" s="8">
        <v>1</v>
      </c>
      <c r="L115" s="8">
        <v>1</v>
      </c>
      <c r="M115" s="386">
        <v>0</v>
      </c>
      <c r="N115" s="815" t="s">
        <v>157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7">
        <f>$H$115</f>
        <v>46089</v>
      </c>
    </row>
    <row r="116" spans="1:20" ht="21">
      <c r="A116" s="988" t="s">
        <v>255</v>
      </c>
      <c r="B116" s="786">
        <v>1</v>
      </c>
      <c r="C116" s="73" t="s">
        <v>256</v>
      </c>
      <c r="D116" s="8">
        <v>1</v>
      </c>
      <c r="E116" s="8">
        <v>1</v>
      </c>
      <c r="F116" s="386">
        <v>0</v>
      </c>
      <c r="G116" s="815" t="s">
        <v>157</v>
      </c>
      <c r="H116" s="980">
        <v>46088</v>
      </c>
      <c r="I116" s="73"/>
      <c r="J116" s="73"/>
      <c r="K116" s="8">
        <v>1</v>
      </c>
      <c r="L116" s="8">
        <v>1</v>
      </c>
      <c r="M116" s="386">
        <v>0</v>
      </c>
      <c r="N116" s="815" t="s">
        <v>157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7">
        <f>$H$116</f>
        <v>46088</v>
      </c>
    </row>
    <row r="117" spans="1:20" ht="21">
      <c r="A117" s="988"/>
      <c r="B117" s="786">
        <v>2</v>
      </c>
      <c r="C117" s="73" t="s">
        <v>256</v>
      </c>
      <c r="D117" s="8">
        <v>1</v>
      </c>
      <c r="E117" s="8">
        <v>1</v>
      </c>
      <c r="F117" s="386">
        <v>0</v>
      </c>
      <c r="G117" s="815" t="s">
        <v>157</v>
      </c>
      <c r="H117" s="981"/>
      <c r="I117" s="73"/>
      <c r="J117" s="73"/>
      <c r="K117" s="8">
        <v>1</v>
      </c>
      <c r="L117" s="8">
        <v>1</v>
      </c>
      <c r="M117" s="386">
        <v>0</v>
      </c>
      <c r="N117" s="815" t="s">
        <v>157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7">
        <f>$H$116</f>
        <v>46088</v>
      </c>
    </row>
    <row r="118" spans="1:20" ht="21">
      <c r="A118" s="387"/>
      <c r="B118" s="388"/>
      <c r="C118" s="389" t="s">
        <v>257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258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  <mergeCell ref="A116:A117"/>
    <mergeCell ref="A100:A106"/>
    <mergeCell ref="B100:B101"/>
    <mergeCell ref="B102:B105"/>
    <mergeCell ref="A107:A111"/>
    <mergeCell ref="B107:B109"/>
    <mergeCell ref="B110:B111"/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259</v>
      </c>
      <c r="B1" s="134" t="s">
        <v>15</v>
      </c>
      <c r="C1" s="110" t="s">
        <v>17</v>
      </c>
      <c r="D1" s="132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4</v>
      </c>
      <c r="B2" s="135" t="s">
        <v>36</v>
      </c>
      <c r="C2" s="177">
        <v>2</v>
      </c>
      <c r="D2" s="788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15" t="s">
        <v>157</v>
      </c>
    </row>
    <row r="3" spans="1:15" s="92" customFormat="1">
      <c r="A3" s="87" t="s">
        <v>4</v>
      </c>
      <c r="B3" s="135" t="s">
        <v>36</v>
      </c>
      <c r="C3" s="177" t="s">
        <v>272</v>
      </c>
      <c r="D3" s="133" t="s">
        <v>66</v>
      </c>
      <c r="E3" s="182" t="s">
        <v>273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157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274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157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157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275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276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157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277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278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87" t="s">
        <v>4</v>
      </c>
      <c r="B10" s="135" t="s">
        <v>74</v>
      </c>
      <c r="C10" s="177">
        <v>6</v>
      </c>
      <c r="D10" s="788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279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87" t="s">
        <v>4</v>
      </c>
      <c r="B13" s="135" t="s">
        <v>74</v>
      </c>
      <c r="C13" s="177">
        <v>5</v>
      </c>
      <c r="D13" s="788" t="s">
        <v>280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87" t="s">
        <v>4</v>
      </c>
      <c r="B15" s="135" t="s">
        <v>74</v>
      </c>
      <c r="C15" s="177">
        <v>3</v>
      </c>
      <c r="D15" s="788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281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282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283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284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285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157</v>
      </c>
    </row>
    <row r="25" spans="1:15" s="92" customFormat="1">
      <c r="A25" s="87" t="s">
        <v>4</v>
      </c>
      <c r="B25" s="135" t="s">
        <v>121</v>
      </c>
      <c r="C25" s="177">
        <v>1</v>
      </c>
      <c r="D25" s="788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87" t="s">
        <v>4</v>
      </c>
      <c r="B26" s="135" t="s">
        <v>122</v>
      </c>
      <c r="C26" s="177">
        <v>1</v>
      </c>
      <c r="D26" s="147" t="s">
        <v>286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157</v>
      </c>
    </row>
    <row r="27" spans="1:15" s="92" customFormat="1">
      <c r="A27" s="87" t="s">
        <v>4</v>
      </c>
      <c r="B27" s="135" t="s">
        <v>125</v>
      </c>
      <c r="C27" s="177">
        <v>1</v>
      </c>
      <c r="D27" s="146" t="s">
        <v>287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87" t="s">
        <v>4</v>
      </c>
      <c r="B28" s="135" t="s">
        <v>128</v>
      </c>
      <c r="C28" s="177">
        <v>1</v>
      </c>
      <c r="D28" s="133" t="s">
        <v>129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87" t="s">
        <v>4</v>
      </c>
      <c r="B29" s="135" t="s">
        <v>130</v>
      </c>
      <c r="C29" s="177">
        <v>1</v>
      </c>
      <c r="D29" s="788" t="s">
        <v>129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87" t="s">
        <v>4</v>
      </c>
      <c r="B30" s="135" t="s">
        <v>133</v>
      </c>
      <c r="C30" s="177">
        <v>1</v>
      </c>
      <c r="D30" s="146" t="s">
        <v>288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87" t="s">
        <v>4</v>
      </c>
      <c r="B31" s="135" t="s">
        <v>133</v>
      </c>
      <c r="C31" s="177">
        <v>1</v>
      </c>
      <c r="D31" s="147" t="s">
        <v>289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87" t="s">
        <v>4</v>
      </c>
      <c r="B32" s="135" t="s">
        <v>140</v>
      </c>
      <c r="C32" s="177">
        <v>1</v>
      </c>
      <c r="D32" s="146" t="s">
        <v>290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291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2" customWidth="1"/>
    <col min="2" max="10" width="20" style="422" customWidth="1"/>
    <col min="11" max="11" width="16.6640625" customWidth="1"/>
    <col min="12" max="15" width="16.6640625" style="422" customWidth="1"/>
    <col min="16" max="16" width="15.6640625" customWidth="1"/>
    <col min="17" max="17" width="8.6640625" style="422"/>
    <col min="18" max="18" width="16" style="422" customWidth="1"/>
    <col min="19" max="16384" width="8.6640625" style="422"/>
  </cols>
  <sheetData>
    <row r="1" spans="1:16" ht="30" customHeight="1">
      <c r="A1" s="997" t="s">
        <v>292</v>
      </c>
      <c r="B1" s="998"/>
      <c r="C1" s="998"/>
      <c r="D1" s="998"/>
      <c r="E1" s="998"/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</row>
    <row r="2" spans="1:16" ht="18" customHeight="1">
      <c r="A2" s="999" t="s">
        <v>293</v>
      </c>
      <c r="B2" s="1000"/>
      <c r="C2" s="1000"/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996" t="s">
        <v>294</v>
      </c>
      <c r="B4" s="512" t="s">
        <v>295</v>
      </c>
      <c r="C4" s="512" t="s">
        <v>296</v>
      </c>
      <c r="D4" s="512" t="s">
        <v>297</v>
      </c>
      <c r="E4" s="512" t="s">
        <v>298</v>
      </c>
      <c r="F4" s="512" t="s">
        <v>299</v>
      </c>
      <c r="G4" s="512" t="s">
        <v>300</v>
      </c>
      <c r="H4" s="512" t="s">
        <v>301</v>
      </c>
      <c r="I4" s="512" t="s">
        <v>302</v>
      </c>
      <c r="J4" s="512" t="s">
        <v>303</v>
      </c>
      <c r="K4" s="512" t="s">
        <v>304</v>
      </c>
      <c r="L4" s="512" t="s">
        <v>305</v>
      </c>
      <c r="M4" s="512" t="s">
        <v>306</v>
      </c>
      <c r="N4" s="512" t="s">
        <v>307</v>
      </c>
      <c r="O4" s="512" t="s">
        <v>308</v>
      </c>
      <c r="P4" s="996" t="s">
        <v>309</v>
      </c>
    </row>
    <row r="5" spans="1:16" ht="4.5" customHeight="1">
      <c r="A5" s="996"/>
      <c r="B5" s="511"/>
      <c r="C5" s="511"/>
      <c r="D5" s="511"/>
      <c r="E5" s="511"/>
      <c r="F5" s="511"/>
      <c r="G5" s="511"/>
      <c r="H5" s="511"/>
      <c r="I5" s="511"/>
      <c r="J5" s="511"/>
      <c r="P5" s="996"/>
    </row>
    <row r="6" spans="1:16" ht="21.75" customHeight="1">
      <c r="A6" s="1001" t="s">
        <v>310</v>
      </c>
      <c r="B6" s="1002"/>
      <c r="C6" s="1002"/>
      <c r="D6" s="1002"/>
      <c r="E6" s="1002"/>
      <c r="F6" s="1002"/>
      <c r="G6" s="1002"/>
      <c r="H6" s="1002"/>
      <c r="I6" s="1002"/>
      <c r="J6" s="1002"/>
      <c r="K6" s="1002"/>
      <c r="L6" s="1002"/>
      <c r="M6" s="1002"/>
      <c r="N6" s="1002"/>
      <c r="O6" s="1002"/>
      <c r="P6" s="1002"/>
    </row>
    <row r="7" spans="1:16" ht="19.5" customHeight="1">
      <c r="A7" s="424" t="s">
        <v>311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15</v>
      </c>
      <c r="J7" s="513" cm="1">
        <f t="array" ref="J7">SUMPRODUCT((HQ!$T$3:$T$89&gt;=J40)*(HQ!$T$3:$T$89&lt;=J41)*(ISNUMBER(HQ!$G$3:$G$89))*(HQ!$G$3:$G$89))</f>
        <v>14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2" customHeight="1">
      <c r="A8" s="427" t="s">
        <v>312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2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792" t="s">
        <v>313</v>
      </c>
      <c r="B10" s="792"/>
      <c r="C10" s="792"/>
      <c r="D10" s="792"/>
      <c r="E10" s="792"/>
      <c r="F10" s="792"/>
      <c r="G10" s="792"/>
      <c r="H10" s="792"/>
      <c r="I10" s="792"/>
      <c r="J10" s="792"/>
      <c r="K10" s="792"/>
      <c r="L10" s="792"/>
      <c r="M10" s="792"/>
      <c r="N10" s="792"/>
      <c r="O10" s="792"/>
      <c r="P10" s="792"/>
    </row>
    <row r="11" spans="1:16" ht="19.5" customHeight="1">
      <c r="A11" s="430" t="s">
        <v>314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315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316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793" t="s">
        <v>317</v>
      </c>
      <c r="B15" s="793"/>
      <c r="C15" s="793"/>
      <c r="D15" s="793"/>
      <c r="E15" s="793"/>
      <c r="F15" s="793"/>
      <c r="G15" s="793"/>
      <c r="H15" s="793"/>
      <c r="I15" s="793"/>
      <c r="J15" s="793"/>
      <c r="K15" s="793"/>
      <c r="L15" s="793"/>
      <c r="M15" s="793"/>
      <c r="N15" s="793"/>
      <c r="O15" s="793"/>
      <c r="P15" s="793"/>
    </row>
    <row r="16" spans="1:16" ht="19.5" customHeight="1">
      <c r="A16" s="430" t="s">
        <v>314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315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318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794" t="s">
        <v>319</v>
      </c>
      <c r="B20" s="794"/>
      <c r="C20" s="794"/>
      <c r="D20" s="794"/>
      <c r="E20" s="794"/>
      <c r="F20" s="794"/>
      <c r="G20" s="794"/>
      <c r="H20" s="794"/>
      <c r="I20" s="794"/>
      <c r="J20" s="794"/>
      <c r="K20" s="794"/>
      <c r="L20" s="794"/>
      <c r="M20" s="794"/>
      <c r="N20" s="794"/>
      <c r="O20" s="794"/>
      <c r="P20" s="794"/>
    </row>
    <row r="21" spans="1:16" ht="19.5" customHeight="1">
      <c r="A21" s="430" t="s">
        <v>314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315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320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321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322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2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994" t="s">
        <v>323</v>
      </c>
      <c r="B27" s="995"/>
      <c r="C27" s="995"/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</row>
    <row r="28" spans="1:16" ht="19.5" customHeight="1">
      <c r="A28" s="514" t="s">
        <v>324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1</v>
      </c>
      <c r="J28" s="515">
        <f t="shared" si="18"/>
        <v>1</v>
      </c>
      <c r="K28" s="515">
        <f t="shared" ref="K28:O28" si="19">IF(K7=0,"-",(K12+K17+K22)/(K7*3))</f>
        <v>0.89583333333333337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325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326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327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328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329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2" bestFit="1" customWidth="1"/>
    <col min="2" max="61" width="11.5546875" style="422" bestFit="1" customWidth="1"/>
    <col min="62" max="62" width="11.5546875" bestFit="1" customWidth="1"/>
    <col min="63" max="95" width="11.5546875" style="422" bestFit="1" customWidth="1"/>
    <col min="96" max="96" width="11.5546875" style="422" customWidth="1"/>
    <col min="97" max="98" width="11.5546875" style="422" bestFit="1" customWidth="1"/>
    <col min="99" max="99" width="8.88671875" style="422" bestFit="1" customWidth="1"/>
    <col min="100" max="102" width="8.6640625" style="422"/>
    <col min="104" max="16384" width="8.6640625" style="422"/>
  </cols>
  <sheetData>
    <row r="1" spans="1:99" ht="30" customHeight="1">
      <c r="A1" s="997" t="s">
        <v>330</v>
      </c>
      <c r="B1" s="998"/>
      <c r="C1" s="998"/>
      <c r="D1" s="998"/>
      <c r="E1" s="998"/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  <c r="AA1" s="998"/>
      <c r="AB1" s="998"/>
      <c r="AC1" s="998"/>
      <c r="AD1" s="998"/>
      <c r="AE1" s="998"/>
      <c r="AF1" s="998"/>
      <c r="AG1" s="998"/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8"/>
      <c r="AW1" s="998"/>
      <c r="AX1" s="998"/>
      <c r="AY1" s="998"/>
      <c r="AZ1" s="998"/>
      <c r="BA1" s="998"/>
      <c r="BB1" s="998"/>
      <c r="BC1" s="998"/>
      <c r="BD1" s="998"/>
      <c r="BE1" s="998"/>
      <c r="BF1" s="998"/>
      <c r="BG1" s="998"/>
      <c r="BH1" s="998"/>
      <c r="BI1" s="998"/>
      <c r="BJ1" s="998"/>
      <c r="BK1" s="998"/>
      <c r="BL1" s="998"/>
      <c r="BM1" s="998"/>
      <c r="BN1" s="998"/>
      <c r="BO1" s="998"/>
      <c r="BP1" s="998"/>
      <c r="BQ1" s="998"/>
      <c r="BR1" s="998"/>
      <c r="BS1" s="998"/>
      <c r="BT1" s="998"/>
      <c r="BU1" s="998"/>
      <c r="BV1" s="998"/>
      <c r="BW1" s="998"/>
      <c r="BX1" s="998"/>
      <c r="BY1" s="998"/>
      <c r="BZ1" s="998"/>
      <c r="CA1" s="998"/>
      <c r="CB1" s="998"/>
      <c r="CC1" s="998"/>
      <c r="CD1" s="998"/>
      <c r="CE1" s="998"/>
      <c r="CF1" s="998"/>
      <c r="CG1" s="998"/>
      <c r="CH1" s="998"/>
      <c r="CI1" s="998"/>
      <c r="CJ1" s="998"/>
      <c r="CK1" s="998"/>
      <c r="CL1" s="998"/>
      <c r="CM1" s="998"/>
      <c r="CN1" s="998"/>
      <c r="CO1" s="998"/>
      <c r="CP1" s="998"/>
      <c r="CQ1" s="998"/>
      <c r="CR1" s="998"/>
      <c r="CS1" s="998"/>
      <c r="CT1" s="998"/>
      <c r="CU1" s="998"/>
    </row>
    <row r="2" spans="1:99" ht="18" customHeight="1">
      <c r="A2" s="999" t="s">
        <v>331</v>
      </c>
      <c r="B2" s="1000"/>
      <c r="C2" s="1000"/>
      <c r="D2" s="1000"/>
      <c r="E2" s="1000"/>
      <c r="F2" s="1000"/>
      <c r="G2" s="1000"/>
      <c r="H2" s="1000"/>
      <c r="I2" s="1000"/>
      <c r="J2" s="1000"/>
      <c r="K2" s="1000"/>
      <c r="L2" s="1000"/>
      <c r="M2" s="1000"/>
      <c r="N2" s="1000"/>
      <c r="O2" s="1000"/>
      <c r="P2" s="1000"/>
      <c r="Q2" s="1000"/>
      <c r="R2" s="1000"/>
      <c r="S2" s="1000"/>
      <c r="T2" s="1000"/>
      <c r="U2" s="1000"/>
      <c r="V2" s="1000"/>
      <c r="W2" s="1000"/>
      <c r="X2" s="1000"/>
      <c r="Y2" s="1000"/>
      <c r="Z2" s="1000"/>
      <c r="AA2" s="1000"/>
      <c r="AB2" s="1000"/>
      <c r="AC2" s="1000"/>
      <c r="AD2" s="1000"/>
      <c r="AE2" s="1000"/>
      <c r="AF2" s="1000"/>
      <c r="AG2" s="1000"/>
      <c r="AH2" s="1000"/>
      <c r="AI2" s="1000"/>
      <c r="AJ2" s="1000"/>
      <c r="AK2" s="1000"/>
      <c r="AL2" s="1000"/>
      <c r="AM2" s="1000"/>
      <c r="AN2" s="1000"/>
      <c r="AO2" s="1000"/>
      <c r="AP2" s="1000"/>
      <c r="AQ2" s="1000"/>
      <c r="AR2" s="1000"/>
      <c r="AS2" s="1000"/>
      <c r="AT2" s="1000"/>
      <c r="AU2" s="1000"/>
      <c r="AV2" s="1000"/>
      <c r="AW2" s="1000"/>
      <c r="AX2" s="1000"/>
      <c r="AY2" s="1000"/>
      <c r="AZ2" s="1000"/>
      <c r="BA2" s="1000"/>
      <c r="BB2" s="1000"/>
      <c r="BC2" s="1000"/>
      <c r="BD2" s="1000"/>
      <c r="BE2" s="1000"/>
      <c r="BF2" s="1000"/>
      <c r="BG2" s="1000"/>
      <c r="BH2" s="1000"/>
      <c r="BI2" s="1000"/>
      <c r="BJ2" s="1000"/>
      <c r="BK2" s="1000"/>
      <c r="BL2" s="1000"/>
      <c r="BM2" s="1000"/>
      <c r="BN2" s="1000"/>
      <c r="BO2" s="1000"/>
      <c r="BP2" s="1000"/>
      <c r="BQ2" s="1000"/>
      <c r="BR2" s="1000"/>
      <c r="BS2" s="1000"/>
      <c r="BT2" s="1000"/>
      <c r="BU2" s="1000"/>
      <c r="BV2" s="1000"/>
      <c r="BW2" s="1000"/>
      <c r="BX2" s="1000"/>
      <c r="BY2" s="1000"/>
      <c r="BZ2" s="1000"/>
      <c r="CA2" s="1000"/>
      <c r="CB2" s="1000"/>
      <c r="CC2" s="1000"/>
      <c r="CD2" s="1000"/>
      <c r="CE2" s="1000"/>
      <c r="CF2" s="1000"/>
      <c r="CG2" s="1000"/>
      <c r="CH2" s="1000"/>
      <c r="CI2" s="1000"/>
      <c r="CJ2" s="1000"/>
      <c r="CK2" s="1000"/>
      <c r="CL2" s="1000"/>
      <c r="CM2" s="1000"/>
      <c r="CN2" s="1000"/>
      <c r="CO2" s="1000"/>
      <c r="CP2" s="1000"/>
      <c r="CQ2" s="1000"/>
      <c r="CR2" s="1000"/>
      <c r="CS2" s="1000"/>
      <c r="CT2" s="1000"/>
      <c r="CU2" s="1000"/>
    </row>
    <row r="3" spans="1:99" ht="4.5" customHeight="1">
      <c r="BJ3" s="422"/>
    </row>
    <row r="4" spans="1:99">
      <c r="A4" s="996" t="s">
        <v>294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30" t="str">
        <f t="shared" si="0"/>
        <v>7 ก.พ.</v>
      </c>
      <c r="G4" s="730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30" t="str">
        <f t="shared" si="0"/>
        <v>14 ก.พ.</v>
      </c>
      <c r="N4" s="730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30" t="str">
        <f t="shared" si="0"/>
        <v>21 ก.พ.</v>
      </c>
      <c r="U4" s="730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30" t="str">
        <f t="shared" si="0"/>
        <v>28 ก.พ.</v>
      </c>
      <c r="AB4" s="730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30" t="str">
        <f t="shared" si="0"/>
        <v>7 มี.ค.</v>
      </c>
      <c r="AI4" s="730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30" t="str">
        <f t="shared" si="0"/>
        <v>14 มี.ค.</v>
      </c>
      <c r="AP4" s="730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30" t="str">
        <f t="shared" si="0"/>
        <v>21 มี.ค.</v>
      </c>
      <c r="AW4" s="730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30" t="str">
        <f t="shared" si="0"/>
        <v>28 มี.ค.</v>
      </c>
      <c r="BD4" s="730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30" t="str">
        <f>TEXT(BJ42, "d mmm")</f>
        <v>4 เม.ย.</v>
      </c>
      <c r="BK4" s="730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30" t="str">
        <f t="shared" si="1"/>
        <v>11 เม.ย.</v>
      </c>
      <c r="BR4" s="730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30" t="str">
        <f t="shared" si="1"/>
        <v>18 เม.ย.</v>
      </c>
      <c r="BY4" s="730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30" t="str">
        <f t="shared" si="1"/>
        <v>25 เม.ย.</v>
      </c>
      <c r="CF4" s="730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30" t="str">
        <f t="shared" si="1"/>
        <v>2 พ.ค.</v>
      </c>
      <c r="CM4" s="730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30" t="str">
        <f t="shared" si="1"/>
        <v>9 พ.ค.</v>
      </c>
      <c r="CT4" s="730" t="str">
        <f t="shared" si="1"/>
        <v>10 พ.ค.</v>
      </c>
      <c r="CU4" s="996" t="s">
        <v>309</v>
      </c>
    </row>
    <row r="5" spans="1:99" ht="18" customHeight="1">
      <c r="A5" s="996"/>
      <c r="B5" s="728" t="str">
        <f>TEXT(B42, "ddd")</f>
        <v>อ.</v>
      </c>
      <c r="C5" s="728" t="str">
        <f t="shared" ref="C5:BN5" si="2">TEXT(C42, "ddd")</f>
        <v>พ.</v>
      </c>
      <c r="D5" s="728" t="str">
        <f t="shared" si="2"/>
        <v>พฤ.</v>
      </c>
      <c r="E5" s="728" t="str">
        <f t="shared" si="2"/>
        <v>ศ.</v>
      </c>
      <c r="F5" s="729" t="str">
        <f t="shared" si="2"/>
        <v>ส.</v>
      </c>
      <c r="G5" s="729" t="str">
        <f t="shared" si="2"/>
        <v>อา.</v>
      </c>
      <c r="H5" s="728" t="str">
        <f t="shared" si="2"/>
        <v>จ.</v>
      </c>
      <c r="I5" s="728" t="str">
        <f t="shared" si="2"/>
        <v>อ.</v>
      </c>
      <c r="J5" s="728" t="str">
        <f t="shared" si="2"/>
        <v>พ.</v>
      </c>
      <c r="K5" s="728" t="str">
        <f t="shared" si="2"/>
        <v>พฤ.</v>
      </c>
      <c r="L5" s="728" t="str">
        <f t="shared" si="2"/>
        <v>ศ.</v>
      </c>
      <c r="M5" s="729" t="str">
        <f t="shared" si="2"/>
        <v>ส.</v>
      </c>
      <c r="N5" s="729" t="str">
        <f t="shared" si="2"/>
        <v>อา.</v>
      </c>
      <c r="O5" s="728" t="str">
        <f t="shared" si="2"/>
        <v>จ.</v>
      </c>
      <c r="P5" s="728" t="str">
        <f t="shared" si="2"/>
        <v>อ.</v>
      </c>
      <c r="Q5" s="728" t="str">
        <f t="shared" si="2"/>
        <v>พ.</v>
      </c>
      <c r="R5" s="728" t="str">
        <f t="shared" si="2"/>
        <v>พฤ.</v>
      </c>
      <c r="S5" s="728" t="str">
        <f t="shared" si="2"/>
        <v>ศ.</v>
      </c>
      <c r="T5" s="729" t="str">
        <f t="shared" si="2"/>
        <v>ส.</v>
      </c>
      <c r="U5" s="729" t="str">
        <f t="shared" si="2"/>
        <v>อา.</v>
      </c>
      <c r="V5" s="728" t="str">
        <f t="shared" si="2"/>
        <v>จ.</v>
      </c>
      <c r="W5" s="728" t="str">
        <f t="shared" si="2"/>
        <v>อ.</v>
      </c>
      <c r="X5" s="728" t="str">
        <f t="shared" si="2"/>
        <v>พ.</v>
      </c>
      <c r="Y5" s="728" t="str">
        <f t="shared" si="2"/>
        <v>พฤ.</v>
      </c>
      <c r="Z5" s="728" t="str">
        <f t="shared" si="2"/>
        <v>ศ.</v>
      </c>
      <c r="AA5" s="729" t="str">
        <f t="shared" si="2"/>
        <v>ส.</v>
      </c>
      <c r="AB5" s="729" t="str">
        <f t="shared" si="2"/>
        <v>อา.</v>
      </c>
      <c r="AC5" s="728" t="str">
        <f t="shared" si="2"/>
        <v>จ.</v>
      </c>
      <c r="AD5" s="728" t="str">
        <f t="shared" si="2"/>
        <v>อ.</v>
      </c>
      <c r="AE5" s="728" t="str">
        <f t="shared" si="2"/>
        <v>พ.</v>
      </c>
      <c r="AF5" s="728" t="str">
        <f t="shared" si="2"/>
        <v>พฤ.</v>
      </c>
      <c r="AG5" s="728" t="str">
        <f t="shared" si="2"/>
        <v>ศ.</v>
      </c>
      <c r="AH5" s="729" t="str">
        <f t="shared" si="2"/>
        <v>ส.</v>
      </c>
      <c r="AI5" s="729" t="str">
        <f t="shared" si="2"/>
        <v>อา.</v>
      </c>
      <c r="AJ5" s="728" t="str">
        <f t="shared" si="2"/>
        <v>จ.</v>
      </c>
      <c r="AK5" s="728" t="str">
        <f t="shared" si="2"/>
        <v>อ.</v>
      </c>
      <c r="AL5" s="728" t="str">
        <f t="shared" si="2"/>
        <v>พ.</v>
      </c>
      <c r="AM5" s="728" t="str">
        <f t="shared" si="2"/>
        <v>พฤ.</v>
      </c>
      <c r="AN5" s="728" t="str">
        <f t="shared" si="2"/>
        <v>ศ.</v>
      </c>
      <c r="AO5" s="729" t="str">
        <f t="shared" si="2"/>
        <v>ส.</v>
      </c>
      <c r="AP5" s="729" t="str">
        <f t="shared" si="2"/>
        <v>อา.</v>
      </c>
      <c r="AQ5" s="728" t="str">
        <f t="shared" si="2"/>
        <v>จ.</v>
      </c>
      <c r="AR5" s="728" t="str">
        <f t="shared" si="2"/>
        <v>อ.</v>
      </c>
      <c r="AS5" s="728" t="str">
        <f t="shared" si="2"/>
        <v>พ.</v>
      </c>
      <c r="AT5" s="728" t="str">
        <f t="shared" si="2"/>
        <v>พฤ.</v>
      </c>
      <c r="AU5" s="728" t="str">
        <f t="shared" si="2"/>
        <v>ศ.</v>
      </c>
      <c r="AV5" s="729" t="str">
        <f t="shared" si="2"/>
        <v>ส.</v>
      </c>
      <c r="AW5" s="729" t="str">
        <f t="shared" si="2"/>
        <v>อา.</v>
      </c>
      <c r="AX5" s="728" t="str">
        <f t="shared" si="2"/>
        <v>จ.</v>
      </c>
      <c r="AY5" s="728" t="str">
        <f t="shared" si="2"/>
        <v>อ.</v>
      </c>
      <c r="AZ5" s="728" t="str">
        <f t="shared" si="2"/>
        <v>พ.</v>
      </c>
      <c r="BA5" s="728" t="str">
        <f t="shared" si="2"/>
        <v>พฤ.</v>
      </c>
      <c r="BB5" s="728" t="str">
        <f t="shared" si="2"/>
        <v>ศ.</v>
      </c>
      <c r="BC5" s="729" t="str">
        <f t="shared" si="2"/>
        <v>ส.</v>
      </c>
      <c r="BD5" s="729" t="str">
        <f t="shared" si="2"/>
        <v>อา.</v>
      </c>
      <c r="BE5" s="728" t="str">
        <f t="shared" si="2"/>
        <v>จ.</v>
      </c>
      <c r="BF5" s="728" t="str">
        <f t="shared" si="2"/>
        <v>อ.</v>
      </c>
      <c r="BG5" s="728" t="str">
        <f t="shared" si="2"/>
        <v>พ.</v>
      </c>
      <c r="BH5" s="728" t="str">
        <f t="shared" si="2"/>
        <v>พฤ.</v>
      </c>
      <c r="BI5" s="728" t="str">
        <f t="shared" si="2"/>
        <v>ศ.</v>
      </c>
      <c r="BJ5" s="729" t="str">
        <f t="shared" si="2"/>
        <v>ส.</v>
      </c>
      <c r="BK5" s="729" t="str">
        <f t="shared" si="2"/>
        <v>อา.</v>
      </c>
      <c r="BL5" s="728" t="str">
        <f t="shared" si="2"/>
        <v>จ.</v>
      </c>
      <c r="BM5" s="728" t="str">
        <f t="shared" si="2"/>
        <v>อ.</v>
      </c>
      <c r="BN5" s="728" t="str">
        <f t="shared" si="2"/>
        <v>พ.</v>
      </c>
      <c r="BO5" s="728" t="str">
        <f t="shared" ref="BO5:CT5" si="3">TEXT(BO42, "ddd")</f>
        <v>พฤ.</v>
      </c>
      <c r="BP5" s="728" t="str">
        <f t="shared" si="3"/>
        <v>ศ.</v>
      </c>
      <c r="BQ5" s="729" t="str">
        <f t="shared" si="3"/>
        <v>ส.</v>
      </c>
      <c r="BR5" s="729" t="str">
        <f t="shared" si="3"/>
        <v>อา.</v>
      </c>
      <c r="BS5" s="728" t="str">
        <f t="shared" si="3"/>
        <v>จ.</v>
      </c>
      <c r="BT5" s="728" t="str">
        <f t="shared" si="3"/>
        <v>อ.</v>
      </c>
      <c r="BU5" s="728" t="str">
        <f t="shared" si="3"/>
        <v>พ.</v>
      </c>
      <c r="BV5" s="728" t="str">
        <f t="shared" si="3"/>
        <v>พฤ.</v>
      </c>
      <c r="BW5" s="728" t="str">
        <f t="shared" si="3"/>
        <v>ศ.</v>
      </c>
      <c r="BX5" s="729" t="str">
        <f t="shared" si="3"/>
        <v>ส.</v>
      </c>
      <c r="BY5" s="729" t="str">
        <f t="shared" si="3"/>
        <v>อา.</v>
      </c>
      <c r="BZ5" s="728" t="str">
        <f t="shared" si="3"/>
        <v>จ.</v>
      </c>
      <c r="CA5" s="728" t="str">
        <f t="shared" si="3"/>
        <v>อ.</v>
      </c>
      <c r="CB5" s="728" t="str">
        <f t="shared" si="3"/>
        <v>พ.</v>
      </c>
      <c r="CC5" s="728" t="str">
        <f t="shared" si="3"/>
        <v>พฤ.</v>
      </c>
      <c r="CD5" s="728" t="str">
        <f t="shared" si="3"/>
        <v>ศ.</v>
      </c>
      <c r="CE5" s="729" t="str">
        <f t="shared" si="3"/>
        <v>ส.</v>
      </c>
      <c r="CF5" s="729" t="str">
        <f t="shared" si="3"/>
        <v>อา.</v>
      </c>
      <c r="CG5" s="728" t="str">
        <f t="shared" si="3"/>
        <v>จ.</v>
      </c>
      <c r="CH5" s="728" t="str">
        <f t="shared" si="3"/>
        <v>อ.</v>
      </c>
      <c r="CI5" s="728" t="str">
        <f t="shared" si="3"/>
        <v>พ.</v>
      </c>
      <c r="CJ5" s="728" t="str">
        <f t="shared" si="3"/>
        <v>พฤ.</v>
      </c>
      <c r="CK5" s="728" t="str">
        <f t="shared" si="3"/>
        <v>ศ.</v>
      </c>
      <c r="CL5" s="729" t="str">
        <f t="shared" si="3"/>
        <v>ส.</v>
      </c>
      <c r="CM5" s="729" t="str">
        <f t="shared" si="3"/>
        <v>อา.</v>
      </c>
      <c r="CN5" s="728" t="str">
        <f t="shared" si="3"/>
        <v>จ.</v>
      </c>
      <c r="CO5" s="728" t="str">
        <f t="shared" si="3"/>
        <v>อ.</v>
      </c>
      <c r="CP5" s="728" t="str">
        <f t="shared" si="3"/>
        <v>พ.</v>
      </c>
      <c r="CQ5" s="728" t="str">
        <f t="shared" si="3"/>
        <v>พฤ.</v>
      </c>
      <c r="CR5" s="728" t="str">
        <f t="shared" si="3"/>
        <v>ศ.</v>
      </c>
      <c r="CS5" s="729" t="str">
        <f t="shared" si="3"/>
        <v>ส.</v>
      </c>
      <c r="CT5" s="729" t="str">
        <f t="shared" si="3"/>
        <v>อา.</v>
      </c>
      <c r="CU5" s="996"/>
    </row>
    <row r="6" spans="1:99" ht="21.75" customHeight="1">
      <c r="A6" s="1001" t="s">
        <v>310</v>
      </c>
      <c r="B6" s="1002"/>
      <c r="C6" s="1002"/>
      <c r="D6" s="1002"/>
      <c r="E6" s="1002"/>
      <c r="F6" s="1002"/>
      <c r="G6" s="1002"/>
      <c r="H6" s="1002"/>
      <c r="I6" s="1002"/>
      <c r="J6" s="1002"/>
      <c r="K6" s="1002"/>
      <c r="L6" s="1002"/>
      <c r="M6" s="1002"/>
      <c r="N6" s="1002"/>
      <c r="O6" s="1002"/>
      <c r="P6" s="1002"/>
      <c r="Q6" s="1002"/>
      <c r="R6" s="1002"/>
      <c r="S6" s="1002"/>
      <c r="T6" s="1002"/>
      <c r="U6" s="1002"/>
      <c r="V6" s="1002"/>
      <c r="W6" s="1002"/>
      <c r="X6" s="1002"/>
      <c r="Y6" s="1002"/>
      <c r="Z6" s="1002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1002"/>
      <c r="AO6" s="1002"/>
      <c r="AP6" s="1002"/>
      <c r="AQ6" s="1002"/>
      <c r="AR6" s="1002"/>
      <c r="AS6" s="1002"/>
      <c r="AT6" s="1002"/>
      <c r="AU6" s="1002"/>
      <c r="AV6" s="1002"/>
      <c r="AW6" s="1002"/>
      <c r="AX6" s="1002"/>
      <c r="AY6" s="1002"/>
      <c r="AZ6" s="1002"/>
      <c r="BA6" s="1002"/>
      <c r="BB6" s="1002"/>
      <c r="BC6" s="1002"/>
      <c r="BD6" s="1002"/>
      <c r="BE6" s="1002"/>
      <c r="BF6" s="1002"/>
      <c r="BG6" s="1002"/>
      <c r="BH6" s="1002"/>
      <c r="BI6" s="1002"/>
      <c r="BJ6" s="1002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  <c r="BW6" s="1002"/>
      <c r="BX6" s="1002"/>
      <c r="BY6" s="1002"/>
      <c r="BZ6" s="1002"/>
      <c r="CA6" s="1002"/>
      <c r="CB6" s="1002"/>
      <c r="CC6" s="1002"/>
      <c r="CD6" s="1002"/>
      <c r="CE6" s="1002"/>
      <c r="CF6" s="1002"/>
      <c r="CG6" s="1002"/>
      <c r="CH6" s="1002"/>
      <c r="CI6" s="1002"/>
      <c r="CJ6" s="1002"/>
      <c r="CK6" s="1002"/>
      <c r="CL6" s="1002"/>
      <c r="CM6" s="1002"/>
      <c r="CN6" s="1002"/>
      <c r="CO6" s="1002"/>
      <c r="CP6" s="1002"/>
      <c r="CQ6" s="1002"/>
      <c r="CR6" s="1002"/>
      <c r="CS6" s="1002"/>
      <c r="CT6" s="1002"/>
      <c r="CU6" s="1002"/>
    </row>
    <row r="7" spans="1:99" ht="19.5" customHeight="1">
      <c r="A7" s="424" t="s">
        <v>311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6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12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332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03" t="s">
        <v>313</v>
      </c>
      <c r="B10" s="1004"/>
      <c r="C10" s="1004"/>
      <c r="D10" s="1004"/>
      <c r="E10" s="1004"/>
      <c r="F10" s="1004"/>
      <c r="G10" s="1004"/>
      <c r="H10" s="1004"/>
      <c r="I10" s="1004"/>
      <c r="J10" s="1004"/>
      <c r="K10" s="1004"/>
      <c r="L10" s="1004"/>
      <c r="M10" s="1004"/>
      <c r="N10" s="1004"/>
      <c r="O10" s="1004"/>
      <c r="P10" s="1004"/>
      <c r="Q10" s="1004"/>
      <c r="R10" s="1004"/>
      <c r="S10" s="1004"/>
      <c r="T10" s="1004"/>
      <c r="U10" s="1004"/>
      <c r="V10" s="1004"/>
      <c r="W10" s="1004"/>
      <c r="X10" s="1004"/>
      <c r="Y10" s="1004"/>
      <c r="Z10" s="1004"/>
      <c r="AA10" s="1004"/>
      <c r="AB10" s="1004"/>
      <c r="AC10" s="1004"/>
      <c r="AD10" s="1004"/>
      <c r="AE10" s="1004"/>
      <c r="AF10" s="1004"/>
      <c r="AG10" s="1004"/>
      <c r="AH10" s="1004"/>
      <c r="AI10" s="1004"/>
      <c r="AJ10" s="1004"/>
      <c r="AK10" s="1004"/>
      <c r="AL10" s="1004"/>
      <c r="AM10" s="1004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  <c r="BW10" s="1004"/>
      <c r="BX10" s="1004"/>
      <c r="BY10" s="1004"/>
      <c r="BZ10" s="1004"/>
      <c r="CA10" s="1004"/>
      <c r="CB10" s="1004"/>
      <c r="CC10" s="1004"/>
      <c r="CD10" s="1004"/>
      <c r="CE10" s="1004"/>
      <c r="CF10" s="1004"/>
      <c r="CG10" s="1004"/>
      <c r="CH10" s="1004"/>
      <c r="CI10" s="1004"/>
      <c r="CJ10" s="1004"/>
      <c r="CK10" s="1004"/>
      <c r="CL10" s="1004"/>
      <c r="CM10" s="1004"/>
      <c r="CN10" s="1004"/>
      <c r="CO10" s="1004"/>
      <c r="CP10" s="1004"/>
      <c r="CQ10" s="1004"/>
      <c r="CR10" s="1004"/>
      <c r="CS10" s="1004"/>
      <c r="CT10" s="1004"/>
      <c r="CU10" s="1004"/>
    </row>
    <row r="11" spans="1:99" ht="19.5" customHeight="1">
      <c r="A11" s="430" t="s">
        <v>314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315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316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1005" t="s">
        <v>317</v>
      </c>
      <c r="B15" s="1006"/>
      <c r="C15" s="1006"/>
      <c r="D15" s="1006"/>
      <c r="E15" s="1006"/>
      <c r="F15" s="1006"/>
      <c r="G15" s="1006"/>
      <c r="H15" s="1006"/>
      <c r="I15" s="1006"/>
      <c r="J15" s="1006"/>
      <c r="K15" s="1006"/>
      <c r="L15" s="1006"/>
      <c r="M15" s="1006"/>
      <c r="N15" s="1006"/>
      <c r="O15" s="1006"/>
      <c r="P15" s="1006"/>
      <c r="Q15" s="1006"/>
      <c r="R15" s="1006"/>
      <c r="S15" s="1006"/>
      <c r="T15" s="1006"/>
      <c r="U15" s="1006"/>
      <c r="V15" s="1006"/>
      <c r="W15" s="1006"/>
      <c r="X15" s="1006"/>
      <c r="Y15" s="1006"/>
      <c r="Z15" s="1006"/>
      <c r="AA15" s="1006"/>
      <c r="AB15" s="1006"/>
      <c r="AC15" s="1006"/>
      <c r="AD15" s="1006"/>
      <c r="AE15" s="1006"/>
      <c r="AF15" s="1006"/>
      <c r="AG15" s="1006"/>
      <c r="AH15" s="1006"/>
      <c r="AI15" s="1006"/>
      <c r="AJ15" s="1006"/>
      <c r="AK15" s="1006"/>
      <c r="AL15" s="1006"/>
      <c r="AM15" s="1006"/>
      <c r="AN15" s="1006"/>
      <c r="AO15" s="1006"/>
      <c r="AP15" s="1006"/>
      <c r="AQ15" s="1006"/>
      <c r="AR15" s="1006"/>
      <c r="AS15" s="1006"/>
      <c r="AT15" s="1006"/>
      <c r="AU15" s="1006"/>
      <c r="AV15" s="1006"/>
      <c r="AW15" s="1006"/>
      <c r="AX15" s="1006"/>
      <c r="AY15" s="1006"/>
      <c r="AZ15" s="1006"/>
      <c r="BA15" s="1006"/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1006"/>
      <c r="BL15" s="1006"/>
      <c r="BM15" s="1006"/>
      <c r="BN15" s="1006"/>
      <c r="BO15" s="1006"/>
      <c r="BP15" s="1006"/>
      <c r="BQ15" s="1006"/>
      <c r="BR15" s="1006"/>
      <c r="BS15" s="1006"/>
      <c r="BT15" s="1006"/>
      <c r="BU15" s="1006"/>
      <c r="BV15" s="1006"/>
      <c r="BW15" s="1006"/>
      <c r="BX15" s="1006"/>
      <c r="BY15" s="1006"/>
      <c r="BZ15" s="1006"/>
      <c r="CA15" s="1006"/>
      <c r="CB15" s="1006"/>
      <c r="CC15" s="1006"/>
      <c r="CD15" s="1006"/>
      <c r="CE15" s="1006"/>
      <c r="CF15" s="1006"/>
      <c r="CG15" s="1006"/>
      <c r="CH15" s="1006"/>
      <c r="CI15" s="1006"/>
      <c r="CJ15" s="1006"/>
      <c r="CK15" s="1006"/>
      <c r="CL15" s="1006"/>
      <c r="CM15" s="1006"/>
      <c r="CN15" s="1006"/>
      <c r="CO15" s="1006"/>
      <c r="CP15" s="1006"/>
      <c r="CQ15" s="1006"/>
      <c r="CR15" s="1006"/>
      <c r="CS15" s="1006"/>
      <c r="CT15" s="1006"/>
      <c r="CU15" s="1006"/>
    </row>
    <row r="16" spans="1:99" ht="19.5" customHeight="1">
      <c r="A16" s="430" t="s">
        <v>314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315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318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1007" t="s">
        <v>319</v>
      </c>
      <c r="B20" s="1008"/>
      <c r="C20" s="1008"/>
      <c r="D20" s="1008"/>
      <c r="E20" s="1008"/>
      <c r="F20" s="1008"/>
      <c r="G20" s="1008"/>
      <c r="H20" s="1008"/>
      <c r="I20" s="1008"/>
      <c r="J20" s="1008"/>
      <c r="K20" s="1008"/>
      <c r="L20" s="1008"/>
      <c r="M20" s="1008"/>
      <c r="N20" s="1008"/>
      <c r="O20" s="1008"/>
      <c r="P20" s="1008"/>
      <c r="Q20" s="1008"/>
      <c r="R20" s="1008"/>
      <c r="S20" s="1008"/>
      <c r="T20" s="1008"/>
      <c r="U20" s="1008"/>
      <c r="V20" s="1008"/>
      <c r="W20" s="1008"/>
      <c r="X20" s="1008"/>
      <c r="Y20" s="1008"/>
      <c r="Z20" s="1008"/>
      <c r="AA20" s="1008"/>
      <c r="AB20" s="1008"/>
      <c r="AC20" s="1008"/>
      <c r="AD20" s="1008"/>
      <c r="AE20" s="1008"/>
      <c r="AF20" s="1008"/>
      <c r="AG20" s="1008"/>
      <c r="AH20" s="1008"/>
      <c r="AI20" s="1008"/>
      <c r="AJ20" s="1008"/>
      <c r="AK20" s="1008"/>
      <c r="AL20" s="1008"/>
      <c r="AM20" s="1008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1008"/>
      <c r="AX20" s="1008"/>
      <c r="AY20" s="1008"/>
      <c r="AZ20" s="1008"/>
      <c r="BA20" s="1008"/>
      <c r="BB20" s="1008"/>
      <c r="BC20" s="1008"/>
      <c r="BD20" s="1008"/>
      <c r="BE20" s="1008"/>
      <c r="BF20" s="1008"/>
      <c r="BG20" s="1008"/>
      <c r="BH20" s="1008"/>
      <c r="BI20" s="1008"/>
      <c r="BJ20" s="1008"/>
      <c r="BK20" s="1008"/>
      <c r="BL20" s="1008"/>
      <c r="BM20" s="1008"/>
      <c r="BN20" s="1008"/>
      <c r="BO20" s="1008"/>
      <c r="BP20" s="1008"/>
      <c r="BQ20" s="1008"/>
      <c r="BR20" s="1008"/>
      <c r="BS20" s="1008"/>
      <c r="BT20" s="1008"/>
      <c r="BU20" s="1008"/>
      <c r="BV20" s="1008"/>
      <c r="BW20" s="1008"/>
      <c r="BX20" s="1008"/>
      <c r="BY20" s="1008"/>
      <c r="BZ20" s="1008"/>
      <c r="CA20" s="1008"/>
      <c r="CB20" s="1008"/>
      <c r="CC20" s="1008"/>
      <c r="CD20" s="1008"/>
      <c r="CE20" s="1008"/>
      <c r="CF20" s="1008"/>
      <c r="CG20" s="1008"/>
      <c r="CH20" s="1008"/>
      <c r="CI20" s="1008"/>
      <c r="CJ20" s="1008"/>
      <c r="CK20" s="1008"/>
      <c r="CL20" s="1008"/>
      <c r="CM20" s="1008"/>
      <c r="CN20" s="1008"/>
      <c r="CO20" s="1008"/>
      <c r="CP20" s="1008"/>
      <c r="CQ20" s="1008"/>
      <c r="CR20" s="1008"/>
      <c r="CS20" s="1008"/>
      <c r="CT20" s="1008"/>
      <c r="CU20" s="1008"/>
    </row>
    <row r="21" spans="1:99" ht="19.5" customHeight="1">
      <c r="A21" s="430" t="s">
        <v>314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315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320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321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322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994" t="s">
        <v>323</v>
      </c>
      <c r="B27" s="995"/>
      <c r="C27" s="995"/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995"/>
      <c r="V27" s="995"/>
      <c r="W27" s="995"/>
      <c r="X27" s="995"/>
      <c r="Y27" s="995"/>
      <c r="Z27" s="995"/>
      <c r="AA27" s="995"/>
      <c r="AB27" s="995"/>
      <c r="AC27" s="995"/>
      <c r="AD27" s="995"/>
      <c r="AE27" s="995"/>
      <c r="AF27" s="995"/>
      <c r="AG27" s="995"/>
      <c r="AH27" s="995"/>
      <c r="AI27" s="995"/>
      <c r="AJ27" s="995"/>
      <c r="AK27" s="995"/>
      <c r="AL27" s="995"/>
      <c r="AM27" s="995"/>
      <c r="AN27" s="995"/>
      <c r="AO27" s="995"/>
      <c r="AP27" s="995"/>
      <c r="AQ27" s="995"/>
      <c r="AR27" s="995"/>
      <c r="AS27" s="995"/>
      <c r="AT27" s="995"/>
      <c r="AU27" s="995"/>
      <c r="AV27" s="995"/>
      <c r="AW27" s="995"/>
      <c r="AX27" s="995"/>
      <c r="AY27" s="995"/>
      <c r="AZ27" s="995"/>
      <c r="BA27" s="995"/>
      <c r="BB27" s="995"/>
      <c r="BC27" s="995"/>
      <c r="BD27" s="995"/>
      <c r="BE27" s="995"/>
      <c r="BF27" s="995"/>
      <c r="BG27" s="995"/>
      <c r="BH27" s="995"/>
      <c r="BI27" s="995"/>
      <c r="BJ27" s="995"/>
      <c r="BK27" s="995"/>
      <c r="BL27" s="995"/>
      <c r="BM27" s="995"/>
      <c r="BN27" s="995"/>
      <c r="BO27" s="995"/>
      <c r="BP27" s="995"/>
      <c r="BQ27" s="995"/>
      <c r="BR27" s="995"/>
      <c r="BS27" s="995"/>
      <c r="BT27" s="995"/>
      <c r="BU27" s="995"/>
      <c r="BV27" s="995"/>
      <c r="BW27" s="995"/>
      <c r="BX27" s="995"/>
      <c r="BY27" s="995"/>
      <c r="BZ27" s="995"/>
      <c r="CA27" s="995"/>
      <c r="CB27" s="995"/>
      <c r="CC27" s="995"/>
      <c r="CD27" s="995"/>
      <c r="CE27" s="995"/>
      <c r="CF27" s="995"/>
      <c r="CG27" s="995"/>
      <c r="CH27" s="995"/>
      <c r="CI27" s="995"/>
      <c r="CJ27" s="995"/>
      <c r="CK27" s="995"/>
      <c r="CL27" s="995"/>
      <c r="CM27" s="995"/>
      <c r="CN27" s="995"/>
      <c r="CO27" s="995"/>
      <c r="CP27" s="995"/>
      <c r="CQ27" s="995"/>
      <c r="CR27" s="995"/>
      <c r="CS27" s="995"/>
      <c r="CT27" s="995"/>
      <c r="CU27" s="995"/>
    </row>
    <row r="28" spans="1:99" ht="19.5" customHeight="1">
      <c r="A28" s="514" t="s">
        <v>333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1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0.88888888888888884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325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326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6" t="s">
        <v>327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328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334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6640625" defaultRowHeight="14.4"/>
  <cols>
    <col min="1" max="1" width="26" style="422" customWidth="1"/>
    <col min="2" max="5" width="12" style="422" customWidth="1"/>
    <col min="6" max="6" width="11.5546875" style="422" customWidth="1"/>
    <col min="7" max="7" width="12" style="422" customWidth="1"/>
    <col min="8" max="8" width="11.33203125" style="422" customWidth="1"/>
    <col min="9" max="9" width="10.88671875" style="422" customWidth="1"/>
    <col min="10" max="10" width="10.109375" style="422" customWidth="1"/>
    <col min="11" max="15" width="10.6640625" style="422" customWidth="1"/>
    <col min="16" max="16384" width="8.6640625" style="422"/>
  </cols>
  <sheetData>
    <row r="1" spans="1:16" ht="30" customHeight="1">
      <c r="A1" s="997" t="s">
        <v>335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</row>
    <row r="2" spans="1:16" ht="18" customHeight="1">
      <c r="A2" s="999" t="s">
        <v>336</v>
      </c>
      <c r="B2" s="999"/>
      <c r="C2" s="999"/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</row>
    <row r="4" spans="1:16" ht="31.2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314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15</v>
      </c>
      <c r="J5" s="517">
        <f>'HQ-รายสัปดาห์'!J7</f>
        <v>14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337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15</v>
      </c>
      <c r="J6" s="518">
        <f>'HQ-รายสัปดาห์'!J12</f>
        <v>14</v>
      </c>
      <c r="K6" s="518">
        <f>'HQ-รายสัปดาห์'!K12</f>
        <v>15</v>
      </c>
      <c r="L6" s="518"/>
      <c r="M6" s="518"/>
      <c r="N6" s="518"/>
      <c r="O6" s="518"/>
      <c r="P6" s="449">
        <f>SUM(B6:O6)</f>
        <v>188</v>
      </c>
    </row>
    <row r="7" spans="1:16" ht="18" customHeight="1">
      <c r="A7" s="448" t="s">
        <v>338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15</v>
      </c>
      <c r="J7" s="518">
        <f>'HQ-รายสัปดาห์'!J17</f>
        <v>14</v>
      </c>
      <c r="K7" s="518">
        <f>'HQ-รายสัปดาห์'!K17</f>
        <v>15</v>
      </c>
      <c r="L7" s="518"/>
      <c r="M7" s="518"/>
      <c r="N7" s="518"/>
      <c r="O7" s="518"/>
      <c r="P7" s="449">
        <f t="shared" ref="P7:P8" si="0">SUM(B7:O7)</f>
        <v>188</v>
      </c>
    </row>
    <row r="8" spans="1:16" ht="18" customHeight="1">
      <c r="A8" s="448" t="s">
        <v>339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15</v>
      </c>
      <c r="J8" s="518">
        <f>'HQ-รายสัปดาห์'!J22</f>
        <v>14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181</v>
      </c>
    </row>
    <row r="9" spans="1:16" ht="18" customHeight="1">
      <c r="A9" s="448" t="s">
        <v>340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320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60">
        <f>SUM(B10:O10)</f>
        <v>0</v>
      </c>
    </row>
    <row r="11" spans="1:16" ht="18" customHeight="1">
      <c r="A11" s="452" t="s">
        <v>321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0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60">
        <f>SUM(B11:O11)</f>
        <v>12</v>
      </c>
    </row>
    <row r="12" spans="1:16" ht="18" customHeight="1">
      <c r="A12" s="450" t="s">
        <v>341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1</v>
      </c>
      <c r="J12" s="519">
        <f>'HQ-รายสัปดาห์'!J28</f>
        <v>1</v>
      </c>
      <c r="K12" s="519">
        <f>'HQ-รายสัปดาห์'!K28</f>
        <v>0.89583333333333337</v>
      </c>
      <c r="L12" s="519"/>
      <c r="M12" s="519"/>
      <c r="N12" s="519"/>
      <c r="O12" s="519"/>
      <c r="P12" s="519"/>
    </row>
    <row r="13" spans="1:16" ht="18" customHeight="1">
      <c r="A13" s="452" t="s">
        <v>342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0.84455958549222798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343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0.79792746113989632</v>
      </c>
      <c r="J14" s="520">
        <f>'HQ-รายสัปดาห์'!J32</f>
        <v>0.8704663212435233</v>
      </c>
      <c r="K14" s="520">
        <f>'HQ-รายสัปดาห์'!K32</f>
        <v>0.93782383419689119</v>
      </c>
      <c r="L14" s="520"/>
      <c r="M14" s="520"/>
      <c r="N14" s="520"/>
      <c r="O14" s="520"/>
      <c r="P14" s="520"/>
    </row>
    <row r="15" spans="1:16" ht="18" customHeight="1">
      <c r="A15" s="521" t="s">
        <v>344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1</v>
      </c>
      <c r="J15" s="522">
        <f t="shared" ref="J15:K15" si="3">IF(J5=0,0,J6/J5)</f>
        <v>1</v>
      </c>
      <c r="K15" s="522">
        <f t="shared" si="3"/>
        <v>0.9375</v>
      </c>
      <c r="L15" s="522"/>
      <c r="M15" s="522"/>
      <c r="N15" s="522"/>
      <c r="O15" s="522"/>
      <c r="P15" s="522"/>
    </row>
    <row r="16" spans="1:16" ht="18" customHeight="1">
      <c r="A16" s="521" t="s">
        <v>345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1</v>
      </c>
      <c r="J16" s="522">
        <f t="shared" ref="J16:K16" si="6">IF(J5=0,0,J7/J5)</f>
        <v>1</v>
      </c>
      <c r="K16" s="522">
        <f t="shared" si="6"/>
        <v>0.9375</v>
      </c>
      <c r="L16" s="522"/>
      <c r="M16" s="522"/>
      <c r="N16" s="522"/>
      <c r="O16" s="522"/>
      <c r="P16" s="522"/>
    </row>
    <row r="17" spans="1:16" ht="18" customHeight="1">
      <c r="A17" s="521" t="s">
        <v>346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347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6640625" defaultRowHeight="14.4"/>
  <cols>
    <col min="1" max="1" width="28" style="422" customWidth="1"/>
    <col min="2" max="61" width="6" style="422" customWidth="1"/>
    <col min="62" max="16384" width="8.6640625" style="422"/>
  </cols>
  <sheetData>
    <row r="1" spans="1:61" ht="30" customHeight="1">
      <c r="A1" s="997" t="s">
        <v>348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</row>
    <row r="2" spans="1:61" ht="18" customHeight="1">
      <c r="A2" s="999" t="s">
        <v>349</v>
      </c>
      <c r="B2" s="999"/>
      <c r="C2" s="999"/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</row>
    <row r="4" spans="1:61">
      <c r="A4" s="423" t="s">
        <v>350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314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339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320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321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342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343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1" bestFit="1" customWidth="1"/>
    <col min="20" max="16384" width="9.109375" style="220"/>
  </cols>
  <sheetData>
    <row r="1" spans="1:19" ht="31.2">
      <c r="A1" s="377" t="s">
        <v>0</v>
      </c>
      <c r="B1" s="378" t="s">
        <v>351</v>
      </c>
      <c r="C1" s="379" t="s">
        <v>352</v>
      </c>
      <c r="D1" s="379" t="s">
        <v>353</v>
      </c>
      <c r="E1" s="379" t="s">
        <v>354</v>
      </c>
      <c r="F1" s="379" t="s">
        <v>355</v>
      </c>
      <c r="G1" s="379" t="s">
        <v>356</v>
      </c>
      <c r="H1" s="379" t="s">
        <v>23</v>
      </c>
      <c r="I1" s="379" t="s">
        <v>357</v>
      </c>
      <c r="J1" s="379" t="s">
        <v>3</v>
      </c>
      <c r="K1" t="s">
        <v>31</v>
      </c>
      <c r="L1" s="379" t="s">
        <v>358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359</v>
      </c>
      <c r="S1" s="419" t="s">
        <v>33</v>
      </c>
    </row>
    <row r="2" spans="1:19">
      <c r="A2">
        <v>1</v>
      </c>
      <c r="B2" s="703" t="s">
        <v>360</v>
      </c>
      <c r="C2" s="704" t="s">
        <v>361</v>
      </c>
      <c r="D2" s="705" t="s">
        <v>40</v>
      </c>
      <c r="E2" s="705" t="s">
        <v>362</v>
      </c>
      <c r="F2" s="705">
        <v>176</v>
      </c>
      <c r="G2" s="705"/>
      <c r="H2" s="719"/>
      <c r="I2" s="719">
        <v>46105</v>
      </c>
      <c r="J2" s="705" t="s">
        <v>363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3" t="s">
        <v>360</v>
      </c>
      <c r="C3" s="704" t="s">
        <v>361</v>
      </c>
      <c r="D3" s="705" t="s">
        <v>364</v>
      </c>
      <c r="E3" s="705" t="s">
        <v>365</v>
      </c>
      <c r="F3" s="705">
        <v>4</v>
      </c>
      <c r="G3" s="705">
        <v>4</v>
      </c>
      <c r="H3" s="719">
        <v>46073</v>
      </c>
      <c r="I3" s="719">
        <v>46073</v>
      </c>
      <c r="J3" s="705" t="s">
        <v>366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3" t="s">
        <v>360</v>
      </c>
      <c r="C4" s="704" t="s">
        <v>361</v>
      </c>
      <c r="D4" s="705" t="s">
        <v>367</v>
      </c>
      <c r="E4" s="705" t="s">
        <v>368</v>
      </c>
      <c r="F4" s="705">
        <v>2</v>
      </c>
      <c r="G4" s="705"/>
      <c r="H4" s="719"/>
      <c r="I4" s="719">
        <v>46129</v>
      </c>
      <c r="J4" s="705" t="s">
        <v>363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3" t="s">
        <v>360</v>
      </c>
      <c r="C5" s="704" t="s">
        <v>361</v>
      </c>
      <c r="D5" s="705" t="s">
        <v>369</v>
      </c>
      <c r="E5" s="705" t="s">
        <v>370</v>
      </c>
      <c r="F5" s="705">
        <v>2</v>
      </c>
      <c r="G5" s="705">
        <v>2</v>
      </c>
      <c r="H5" s="719">
        <v>46063</v>
      </c>
      <c r="I5" s="719">
        <v>46070</v>
      </c>
      <c r="J5" s="705" t="s">
        <v>366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3" t="s">
        <v>360</v>
      </c>
      <c r="C6" s="704" t="s">
        <v>361</v>
      </c>
      <c r="D6" s="705" t="s">
        <v>371</v>
      </c>
      <c r="E6" s="705" t="s">
        <v>372</v>
      </c>
      <c r="F6" s="705">
        <v>5</v>
      </c>
      <c r="G6" s="705"/>
      <c r="H6" s="719"/>
      <c r="I6" s="719">
        <v>46129</v>
      </c>
      <c r="J6" s="705" t="s">
        <v>363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3" t="s">
        <v>360</v>
      </c>
      <c r="C7" s="704" t="s">
        <v>361</v>
      </c>
      <c r="D7" s="705" t="s">
        <v>371</v>
      </c>
      <c r="E7" s="705" t="s">
        <v>373</v>
      </c>
      <c r="F7" s="705">
        <v>1</v>
      </c>
      <c r="G7" s="705"/>
      <c r="H7" s="719"/>
      <c r="I7" s="719">
        <v>46129</v>
      </c>
      <c r="J7" s="705" t="s">
        <v>363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3" t="s">
        <v>360</v>
      </c>
      <c r="C8" s="704" t="s">
        <v>361</v>
      </c>
      <c r="D8" s="705" t="s">
        <v>374</v>
      </c>
      <c r="E8" s="705" t="s">
        <v>365</v>
      </c>
      <c r="F8" s="705">
        <v>4</v>
      </c>
      <c r="G8" s="705">
        <v>4</v>
      </c>
      <c r="H8" s="719">
        <v>46072</v>
      </c>
      <c r="I8" s="719">
        <v>46072</v>
      </c>
      <c r="J8" s="705" t="s">
        <v>366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3" t="s">
        <v>360</v>
      </c>
      <c r="C9" s="704" t="s">
        <v>361</v>
      </c>
      <c r="D9" s="705" t="s">
        <v>375</v>
      </c>
      <c r="E9" s="705" t="s">
        <v>372</v>
      </c>
      <c r="F9" s="705">
        <v>3</v>
      </c>
      <c r="G9" s="705">
        <v>3</v>
      </c>
      <c r="H9" s="719">
        <v>46090</v>
      </c>
      <c r="I9" s="719">
        <v>46090</v>
      </c>
      <c r="J9" s="705" t="s">
        <v>366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3" t="s">
        <v>360</v>
      </c>
      <c r="C10" s="704" t="s">
        <v>361</v>
      </c>
      <c r="D10" s="705" t="s">
        <v>375</v>
      </c>
      <c r="E10" s="705" t="s">
        <v>373</v>
      </c>
      <c r="F10" s="705">
        <v>7</v>
      </c>
      <c r="G10" s="705">
        <v>7</v>
      </c>
      <c r="H10" s="719">
        <v>46090</v>
      </c>
      <c r="I10" s="719">
        <v>46090</v>
      </c>
      <c r="J10" s="705" t="s">
        <v>366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3" t="s">
        <v>360</v>
      </c>
      <c r="C11" s="704" t="s">
        <v>361</v>
      </c>
      <c r="D11" s="705" t="s">
        <v>376</v>
      </c>
      <c r="E11" s="705" t="s">
        <v>372</v>
      </c>
      <c r="F11" s="705">
        <v>5</v>
      </c>
      <c r="G11" s="705">
        <v>5</v>
      </c>
      <c r="H11" s="719">
        <v>46072</v>
      </c>
      <c r="I11" s="719">
        <v>46072</v>
      </c>
      <c r="J11" s="705" t="s">
        <v>366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3" t="s">
        <v>360</v>
      </c>
      <c r="C12" s="704" t="s">
        <v>361</v>
      </c>
      <c r="D12" s="705" t="s">
        <v>376</v>
      </c>
      <c r="E12" s="705" t="s">
        <v>368</v>
      </c>
      <c r="F12" s="705">
        <v>2</v>
      </c>
      <c r="G12" s="705">
        <v>2</v>
      </c>
      <c r="H12" s="719">
        <v>46072</v>
      </c>
      <c r="I12" s="719">
        <v>46072</v>
      </c>
      <c r="J12" s="705" t="s">
        <v>366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3" t="s">
        <v>360</v>
      </c>
      <c r="C13" s="704" t="s">
        <v>361</v>
      </c>
      <c r="D13" s="705" t="s">
        <v>376</v>
      </c>
      <c r="E13" s="705" t="s">
        <v>373</v>
      </c>
      <c r="F13" s="705">
        <v>1</v>
      </c>
      <c r="G13" s="705">
        <v>1</v>
      </c>
      <c r="H13" s="719">
        <v>46072</v>
      </c>
      <c r="I13" s="719">
        <v>46072</v>
      </c>
      <c r="J13" s="705" t="s">
        <v>366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3" t="s">
        <v>360</v>
      </c>
      <c r="C14" s="704" t="s">
        <v>361</v>
      </c>
      <c r="D14" s="705" t="s">
        <v>376</v>
      </c>
      <c r="E14" s="705" t="s">
        <v>362</v>
      </c>
      <c r="F14" s="705">
        <v>12</v>
      </c>
      <c r="G14" s="705">
        <v>12</v>
      </c>
      <c r="H14" s="719">
        <v>46072</v>
      </c>
      <c r="I14" s="719">
        <v>46072</v>
      </c>
      <c r="J14" s="705" t="s">
        <v>366</v>
      </c>
      <c r="K14" t="str">
        <f t="shared" si="2"/>
        <v>AP</v>
      </c>
      <c r="L14" s="647" t="s">
        <v>377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3" t="s">
        <v>360</v>
      </c>
      <c r="C15" s="704" t="s">
        <v>361</v>
      </c>
      <c r="D15" s="705" t="s">
        <v>378</v>
      </c>
      <c r="E15" s="705" t="s">
        <v>365</v>
      </c>
      <c r="F15" s="705">
        <v>4</v>
      </c>
      <c r="G15" s="705">
        <v>4</v>
      </c>
      <c r="H15" s="719">
        <v>46069</v>
      </c>
      <c r="I15" s="719">
        <v>46069</v>
      </c>
      <c r="J15" s="705" t="s">
        <v>366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3" t="s">
        <v>360</v>
      </c>
      <c r="C16" s="704" t="s">
        <v>361</v>
      </c>
      <c r="D16" s="705" t="s">
        <v>379</v>
      </c>
      <c r="E16" s="705" t="s">
        <v>372</v>
      </c>
      <c r="F16" s="705">
        <v>1</v>
      </c>
      <c r="G16" s="705">
        <v>1</v>
      </c>
      <c r="H16" s="719">
        <v>46071</v>
      </c>
      <c r="I16" s="719">
        <v>46071</v>
      </c>
      <c r="J16" s="705" t="s">
        <v>366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3" t="s">
        <v>360</v>
      </c>
      <c r="C17" s="704" t="s">
        <v>361</v>
      </c>
      <c r="D17" s="705" t="s">
        <v>379</v>
      </c>
      <c r="E17" s="705" t="s">
        <v>373</v>
      </c>
      <c r="F17" s="705">
        <v>2</v>
      </c>
      <c r="G17" s="705">
        <v>2</v>
      </c>
      <c r="H17" s="719">
        <v>46071</v>
      </c>
      <c r="I17" s="719">
        <v>46071</v>
      </c>
      <c r="J17" s="705" t="s">
        <v>366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3" t="s">
        <v>360</v>
      </c>
      <c r="C18" s="704" t="s">
        <v>361</v>
      </c>
      <c r="D18" s="705" t="s">
        <v>379</v>
      </c>
      <c r="E18" s="705" t="s">
        <v>362</v>
      </c>
      <c r="F18" s="705">
        <v>9</v>
      </c>
      <c r="G18" s="705">
        <v>9</v>
      </c>
      <c r="H18" s="719">
        <v>46071</v>
      </c>
      <c r="I18" s="719">
        <v>46071</v>
      </c>
      <c r="J18" s="705" t="s">
        <v>366</v>
      </c>
      <c r="K18" t="str">
        <f t="shared" si="2"/>
        <v>AP</v>
      </c>
      <c r="L18" s="647" t="s">
        <v>377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3" t="s">
        <v>360</v>
      </c>
      <c r="C19" s="704" t="s">
        <v>361</v>
      </c>
      <c r="D19" s="705" t="s">
        <v>380</v>
      </c>
      <c r="E19" s="705" t="s">
        <v>372</v>
      </c>
      <c r="F19" s="705">
        <v>4</v>
      </c>
      <c r="G19" s="705">
        <v>4</v>
      </c>
      <c r="H19" s="719">
        <v>46091</v>
      </c>
      <c r="I19" s="719">
        <v>46091</v>
      </c>
      <c r="J19" s="705" t="s">
        <v>366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3" t="s">
        <v>360</v>
      </c>
      <c r="C20" s="704" t="s">
        <v>361</v>
      </c>
      <c r="D20" s="705" t="s">
        <v>380</v>
      </c>
      <c r="E20" s="705" t="s">
        <v>373</v>
      </c>
      <c r="F20" s="705">
        <v>1</v>
      </c>
      <c r="G20" s="705">
        <v>1</v>
      </c>
      <c r="H20" s="719">
        <v>46091</v>
      </c>
      <c r="I20" s="719">
        <v>46091</v>
      </c>
      <c r="J20" s="705" t="s">
        <v>366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3" t="s">
        <v>360</v>
      </c>
      <c r="C21" s="704" t="s">
        <v>361</v>
      </c>
      <c r="D21" s="705" t="s">
        <v>381</v>
      </c>
      <c r="E21" s="705" t="s">
        <v>365</v>
      </c>
      <c r="F21" s="705">
        <v>2</v>
      </c>
      <c r="G21" s="705">
        <v>2</v>
      </c>
      <c r="H21" s="719">
        <v>46069</v>
      </c>
      <c r="I21" s="719">
        <v>46069</v>
      </c>
      <c r="J21" s="705" t="s">
        <v>366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3" t="s">
        <v>360</v>
      </c>
      <c r="C22" s="704" t="s">
        <v>361</v>
      </c>
      <c r="D22" s="705" t="s">
        <v>382</v>
      </c>
      <c r="E22" s="705" t="s">
        <v>372</v>
      </c>
      <c r="F22" s="705">
        <v>2</v>
      </c>
      <c r="G22" s="705">
        <v>2</v>
      </c>
      <c r="H22" s="719">
        <v>46070</v>
      </c>
      <c r="I22" s="719">
        <v>46070</v>
      </c>
      <c r="J22" s="705" t="s">
        <v>366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3" t="s">
        <v>360</v>
      </c>
      <c r="C23" s="704" t="s">
        <v>361</v>
      </c>
      <c r="D23" s="705" t="s">
        <v>382</v>
      </c>
      <c r="E23" s="705" t="s">
        <v>373</v>
      </c>
      <c r="F23" s="705">
        <v>4</v>
      </c>
      <c r="G23" s="705">
        <v>4</v>
      </c>
      <c r="H23" s="719">
        <v>46070</v>
      </c>
      <c r="I23" s="719">
        <v>46070</v>
      </c>
      <c r="J23" s="705" t="s">
        <v>366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3" t="s">
        <v>360</v>
      </c>
      <c r="C24" s="704" t="s">
        <v>361</v>
      </c>
      <c r="D24" s="705" t="s">
        <v>382</v>
      </c>
      <c r="E24" s="705" t="s">
        <v>362</v>
      </c>
      <c r="F24" s="705">
        <v>15</v>
      </c>
      <c r="G24" s="705">
        <v>15</v>
      </c>
      <c r="H24" s="719">
        <v>46070</v>
      </c>
      <c r="I24" s="719">
        <v>46070</v>
      </c>
      <c r="J24" s="705" t="s">
        <v>366</v>
      </c>
      <c r="K24" t="str">
        <f t="shared" si="2"/>
        <v>AP</v>
      </c>
      <c r="L24" s="647" t="s">
        <v>377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3" t="s">
        <v>360</v>
      </c>
      <c r="C25" s="704" t="s">
        <v>361</v>
      </c>
      <c r="D25" s="705" t="s">
        <v>383</v>
      </c>
      <c r="E25" s="705" t="s">
        <v>372</v>
      </c>
      <c r="F25" s="705">
        <v>2</v>
      </c>
      <c r="G25" s="705">
        <v>2</v>
      </c>
      <c r="H25" s="719">
        <v>46091</v>
      </c>
      <c r="I25" s="719">
        <v>46091</v>
      </c>
      <c r="J25" s="705" t="s">
        <v>366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3" t="s">
        <v>360</v>
      </c>
      <c r="C26" s="704" t="s">
        <v>361</v>
      </c>
      <c r="D26" s="705" t="s">
        <v>383</v>
      </c>
      <c r="E26" s="705" t="s">
        <v>373</v>
      </c>
      <c r="F26" s="705">
        <v>1</v>
      </c>
      <c r="G26" s="705">
        <v>1</v>
      </c>
      <c r="H26" s="719">
        <v>46091</v>
      </c>
      <c r="I26" s="719">
        <v>46091</v>
      </c>
      <c r="J26" s="705" t="s">
        <v>366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3" t="s">
        <v>360</v>
      </c>
      <c r="C27" s="704" t="s">
        <v>361</v>
      </c>
      <c r="D27" s="705" t="s">
        <v>384</v>
      </c>
      <c r="E27" s="705" t="s">
        <v>372</v>
      </c>
      <c r="F27" s="705">
        <v>4</v>
      </c>
      <c r="G27" s="705">
        <v>4</v>
      </c>
      <c r="H27" s="719">
        <v>46099</v>
      </c>
      <c r="I27" s="719">
        <v>46099</v>
      </c>
      <c r="J27" s="705" t="s">
        <v>366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3" t="s">
        <v>360</v>
      </c>
      <c r="C28" s="704" t="s">
        <v>361</v>
      </c>
      <c r="D28" s="705" t="s">
        <v>384</v>
      </c>
      <c r="E28" s="705" t="s">
        <v>373</v>
      </c>
      <c r="F28" s="705">
        <v>3</v>
      </c>
      <c r="G28" s="705">
        <v>3</v>
      </c>
      <c r="H28" s="719">
        <v>46099</v>
      </c>
      <c r="I28" s="719">
        <v>46099</v>
      </c>
      <c r="J28" s="705" t="s">
        <v>366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3" t="s">
        <v>360</v>
      </c>
      <c r="C29" s="704" t="s">
        <v>361</v>
      </c>
      <c r="D29" s="705" t="s">
        <v>385</v>
      </c>
      <c r="E29" s="705" t="s">
        <v>365</v>
      </c>
      <c r="F29" s="705">
        <v>3</v>
      </c>
      <c r="G29" s="705">
        <v>3</v>
      </c>
      <c r="H29" s="719">
        <v>46099</v>
      </c>
      <c r="I29" s="719">
        <v>46099</v>
      </c>
      <c r="J29" s="705" t="s">
        <v>366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3" t="s">
        <v>360</v>
      </c>
      <c r="C30" s="704" t="s">
        <v>361</v>
      </c>
      <c r="D30" s="705" t="s">
        <v>386</v>
      </c>
      <c r="E30" s="705" t="s">
        <v>365</v>
      </c>
      <c r="F30" s="705">
        <v>2</v>
      </c>
      <c r="G30" s="705">
        <v>2</v>
      </c>
      <c r="H30" s="719">
        <v>46073</v>
      </c>
      <c r="I30" s="719">
        <v>46073</v>
      </c>
      <c r="J30" s="705" t="s">
        <v>366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3" t="s">
        <v>360</v>
      </c>
      <c r="C31" s="704" t="s">
        <v>361</v>
      </c>
      <c r="D31" s="705" t="s">
        <v>387</v>
      </c>
      <c r="E31" s="705" t="s">
        <v>373</v>
      </c>
      <c r="F31" s="705">
        <v>1</v>
      </c>
      <c r="G31" s="705">
        <v>1</v>
      </c>
      <c r="H31" s="719">
        <v>46071</v>
      </c>
      <c r="I31" s="719">
        <v>46071</v>
      </c>
      <c r="J31" s="705" t="s">
        <v>366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3" t="s">
        <v>360</v>
      </c>
      <c r="C32" s="704" t="s">
        <v>361</v>
      </c>
      <c r="D32" s="705" t="s">
        <v>388</v>
      </c>
      <c r="E32" s="705" t="s">
        <v>372</v>
      </c>
      <c r="F32" s="705">
        <v>2</v>
      </c>
      <c r="G32" s="705">
        <v>2</v>
      </c>
      <c r="H32" s="719">
        <v>46071</v>
      </c>
      <c r="I32" s="719">
        <v>46071</v>
      </c>
      <c r="J32" s="705" t="s">
        <v>366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3" t="s">
        <v>360</v>
      </c>
      <c r="C33" s="704" t="s">
        <v>361</v>
      </c>
      <c r="D33" s="705" t="s">
        <v>388</v>
      </c>
      <c r="E33" s="705" t="s">
        <v>365</v>
      </c>
      <c r="F33" s="705">
        <v>2</v>
      </c>
      <c r="G33" s="705">
        <v>2</v>
      </c>
      <c r="H33" s="719">
        <v>46071</v>
      </c>
      <c r="I33" s="719">
        <v>46071</v>
      </c>
      <c r="J33" s="705" t="s">
        <v>366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3" t="s">
        <v>360</v>
      </c>
      <c r="C34" s="704" t="s">
        <v>361</v>
      </c>
      <c r="D34" s="705" t="s">
        <v>388</v>
      </c>
      <c r="E34" s="705" t="s">
        <v>362</v>
      </c>
      <c r="F34" s="705">
        <v>7</v>
      </c>
      <c r="G34" s="705">
        <v>7</v>
      </c>
      <c r="H34" s="719">
        <v>46071</v>
      </c>
      <c r="I34" s="719">
        <v>46071</v>
      </c>
      <c r="J34" s="705" t="s">
        <v>366</v>
      </c>
      <c r="K34" t="str">
        <f t="shared" si="2"/>
        <v>AP</v>
      </c>
      <c r="L34" s="647" t="s">
        <v>377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3" t="s">
        <v>360</v>
      </c>
      <c r="C35" s="704" t="s">
        <v>361</v>
      </c>
      <c r="D35" s="705" t="s">
        <v>389</v>
      </c>
      <c r="E35" s="705" t="s">
        <v>368</v>
      </c>
      <c r="F35" s="705">
        <v>2</v>
      </c>
      <c r="G35" s="705">
        <v>1</v>
      </c>
      <c r="H35" s="719">
        <v>46090</v>
      </c>
      <c r="I35" s="719">
        <v>46090</v>
      </c>
      <c r="J35" s="705" t="s">
        <v>366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3" t="s">
        <v>360</v>
      </c>
      <c r="C36" s="704" t="s">
        <v>361</v>
      </c>
      <c r="D36" s="705" t="s">
        <v>389</v>
      </c>
      <c r="E36" s="705" t="s">
        <v>373</v>
      </c>
      <c r="F36" s="705">
        <v>2</v>
      </c>
      <c r="G36" s="705">
        <v>1</v>
      </c>
      <c r="H36" s="719">
        <v>46090</v>
      </c>
      <c r="I36" s="719">
        <v>46090</v>
      </c>
      <c r="J36" s="705" t="s">
        <v>366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3" t="s">
        <v>360</v>
      </c>
      <c r="C37" s="704" t="s">
        <v>361</v>
      </c>
      <c r="D37" s="705" t="s">
        <v>390</v>
      </c>
      <c r="E37" s="705" t="s">
        <v>368</v>
      </c>
      <c r="F37" s="705">
        <v>1</v>
      </c>
      <c r="G37" s="705">
        <v>1</v>
      </c>
      <c r="H37" s="719">
        <v>46071</v>
      </c>
      <c r="I37" s="719">
        <v>46071</v>
      </c>
      <c r="J37" s="705" t="s">
        <v>366</v>
      </c>
      <c r="K37" t="str">
        <f t="shared" si="2"/>
        <v>Switch</v>
      </c>
      <c r="L37" t="s">
        <v>391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3" t="s">
        <v>360</v>
      </c>
      <c r="C38" s="704" t="s">
        <v>361</v>
      </c>
      <c r="D38" s="705" t="s">
        <v>392</v>
      </c>
      <c r="E38" s="705" t="s">
        <v>368</v>
      </c>
      <c r="F38" s="705">
        <v>1</v>
      </c>
      <c r="G38" s="705">
        <v>1</v>
      </c>
      <c r="H38" s="719">
        <v>46070</v>
      </c>
      <c r="I38" s="719">
        <v>46070</v>
      </c>
      <c r="J38" s="705" t="s">
        <v>366</v>
      </c>
      <c r="K38" t="str">
        <f t="shared" si="2"/>
        <v>Switch</v>
      </c>
      <c r="L38" s="647" t="s">
        <v>393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3" t="s">
        <v>360</v>
      </c>
      <c r="C39" s="704" t="s">
        <v>361</v>
      </c>
      <c r="D39" s="705" t="s">
        <v>392</v>
      </c>
      <c r="E39" s="705" t="s">
        <v>373</v>
      </c>
      <c r="F39" s="705">
        <v>1</v>
      </c>
      <c r="G39" s="705">
        <v>1</v>
      </c>
      <c r="H39" s="719">
        <v>46070</v>
      </c>
      <c r="I39" s="719">
        <v>46070</v>
      </c>
      <c r="J39" s="705" t="s">
        <v>366</v>
      </c>
      <c r="K39" t="str">
        <f t="shared" si="2"/>
        <v>Switch</v>
      </c>
      <c r="L39" t="s">
        <v>394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3" t="s">
        <v>360</v>
      </c>
      <c r="C40" s="704" t="s">
        <v>361</v>
      </c>
      <c r="D40" s="704" t="s">
        <v>395</v>
      </c>
      <c r="E40" s="705" t="s">
        <v>368</v>
      </c>
      <c r="F40" s="705">
        <v>1</v>
      </c>
      <c r="G40" s="705">
        <v>1</v>
      </c>
      <c r="H40" s="719"/>
      <c r="I40" s="719">
        <v>46174</v>
      </c>
      <c r="J40" s="705" t="s">
        <v>396</v>
      </c>
      <c r="K40" t="str">
        <f t="shared" si="2"/>
        <v>Switch</v>
      </c>
      <c r="L40" s="647" t="s">
        <v>397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3" t="s">
        <v>360</v>
      </c>
      <c r="C41" s="704" t="s">
        <v>361</v>
      </c>
      <c r="D41" s="704" t="s">
        <v>395</v>
      </c>
      <c r="E41" s="705" t="s">
        <v>373</v>
      </c>
      <c r="F41" s="705">
        <v>1</v>
      </c>
      <c r="G41" s="705">
        <v>1</v>
      </c>
      <c r="H41" s="719">
        <v>46090</v>
      </c>
      <c r="I41" s="719">
        <v>46090</v>
      </c>
      <c r="J41" s="705" t="s">
        <v>366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3" t="s">
        <v>360</v>
      </c>
      <c r="C42" s="704" t="s">
        <v>361</v>
      </c>
      <c r="D42" s="704" t="s">
        <v>398</v>
      </c>
      <c r="E42" s="705" t="s">
        <v>368</v>
      </c>
      <c r="F42" s="705">
        <v>1</v>
      </c>
      <c r="G42" s="705">
        <v>1</v>
      </c>
      <c r="H42" s="719">
        <v>46071</v>
      </c>
      <c r="I42" s="719">
        <v>46071</v>
      </c>
      <c r="J42" s="705" t="s">
        <v>366</v>
      </c>
      <c r="K42" t="str">
        <f t="shared" si="2"/>
        <v>Switch</v>
      </c>
      <c r="L42" t="s">
        <v>399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3" t="s">
        <v>360</v>
      </c>
      <c r="C43" s="704" t="s">
        <v>361</v>
      </c>
      <c r="D43" s="704" t="s">
        <v>398</v>
      </c>
      <c r="E43" s="705" t="s">
        <v>373</v>
      </c>
      <c r="F43" s="705">
        <v>1</v>
      </c>
      <c r="G43" s="705">
        <v>1</v>
      </c>
      <c r="H43" s="719">
        <v>46071</v>
      </c>
      <c r="I43" s="719">
        <v>46071</v>
      </c>
      <c r="J43" s="705" t="s">
        <v>366</v>
      </c>
      <c r="K43" t="str">
        <f t="shared" si="2"/>
        <v>Switch</v>
      </c>
      <c r="L43" t="s">
        <v>399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3" t="s">
        <v>360</v>
      </c>
      <c r="C44" s="704" t="s">
        <v>361</v>
      </c>
      <c r="D44" s="704" t="s">
        <v>400</v>
      </c>
      <c r="E44" s="705" t="s">
        <v>368</v>
      </c>
      <c r="F44" s="705">
        <v>1</v>
      </c>
      <c r="G44" s="705">
        <v>0</v>
      </c>
      <c r="H44" s="719">
        <v>46070</v>
      </c>
      <c r="I44" s="719">
        <v>46070</v>
      </c>
      <c r="J44" s="705" t="s">
        <v>366</v>
      </c>
      <c r="K44" t="str">
        <f t="shared" si="2"/>
        <v>Switch</v>
      </c>
      <c r="L44" s="647" t="s">
        <v>401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3" t="s">
        <v>360</v>
      </c>
      <c r="C45" s="704" t="s">
        <v>361</v>
      </c>
      <c r="D45" s="704" t="s">
        <v>400</v>
      </c>
      <c r="E45" s="705" t="s">
        <v>373</v>
      </c>
      <c r="F45" s="705">
        <v>1</v>
      </c>
      <c r="G45" s="705">
        <v>1</v>
      </c>
      <c r="H45" s="719">
        <v>46070</v>
      </c>
      <c r="I45" s="719">
        <v>46070</v>
      </c>
      <c r="J45" s="705" t="s">
        <v>366</v>
      </c>
      <c r="K45" t="str">
        <f t="shared" si="2"/>
        <v>Switch</v>
      </c>
      <c r="L45" t="s">
        <v>402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3" t="s">
        <v>360</v>
      </c>
      <c r="C46" s="704" t="s">
        <v>361</v>
      </c>
      <c r="D46" s="704" t="s">
        <v>403</v>
      </c>
      <c r="E46" s="705" t="s">
        <v>368</v>
      </c>
      <c r="F46" s="705">
        <v>2</v>
      </c>
      <c r="G46" s="705">
        <v>1</v>
      </c>
      <c r="H46" s="719">
        <v>46070</v>
      </c>
      <c r="I46" s="719">
        <v>46070</v>
      </c>
      <c r="J46" s="705" t="s">
        <v>366</v>
      </c>
      <c r="K46" t="str">
        <f t="shared" si="2"/>
        <v>Switch</v>
      </c>
      <c r="L46" s="647" t="s">
        <v>404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3" t="s">
        <v>360</v>
      </c>
      <c r="C47" s="704" t="s">
        <v>361</v>
      </c>
      <c r="D47" s="704" t="s">
        <v>403</v>
      </c>
      <c r="E47" s="705" t="s">
        <v>373</v>
      </c>
      <c r="F47" s="705">
        <v>1</v>
      </c>
      <c r="G47" s="705">
        <v>1</v>
      </c>
      <c r="H47" s="719">
        <v>46070</v>
      </c>
      <c r="I47" s="719">
        <v>46070</v>
      </c>
      <c r="J47" s="705" t="s">
        <v>366</v>
      </c>
      <c r="K47" t="str">
        <f t="shared" si="2"/>
        <v>Switch</v>
      </c>
      <c r="L47" t="s">
        <v>402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3" t="s">
        <v>360</v>
      </c>
      <c r="C48" s="704" t="s">
        <v>361</v>
      </c>
      <c r="D48" s="704" t="s">
        <v>405</v>
      </c>
      <c r="E48" s="705" t="s">
        <v>368</v>
      </c>
      <c r="F48" s="705">
        <v>5</v>
      </c>
      <c r="G48" s="705"/>
      <c r="H48" s="719"/>
      <c r="I48" s="719">
        <v>46132</v>
      </c>
      <c r="J48" s="705" t="s">
        <v>363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3" t="s">
        <v>360</v>
      </c>
      <c r="C49" s="704" t="s">
        <v>361</v>
      </c>
      <c r="D49" s="704" t="s">
        <v>405</v>
      </c>
      <c r="E49" s="705" t="s">
        <v>365</v>
      </c>
      <c r="F49" s="705">
        <v>1</v>
      </c>
      <c r="G49" s="705"/>
      <c r="H49" s="719"/>
      <c r="I49" s="719">
        <v>46132</v>
      </c>
      <c r="J49" s="705" t="s">
        <v>363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3" t="s">
        <v>360</v>
      </c>
      <c r="C50" s="704" t="s">
        <v>361</v>
      </c>
      <c r="D50" s="704" t="s">
        <v>405</v>
      </c>
      <c r="E50" s="705" t="s">
        <v>373</v>
      </c>
      <c r="F50" s="705">
        <v>1</v>
      </c>
      <c r="G50" s="705"/>
      <c r="H50" s="719"/>
      <c r="I50" s="719">
        <v>46132</v>
      </c>
      <c r="J50" s="705" t="s">
        <v>363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3" t="s">
        <v>360</v>
      </c>
      <c r="C51" s="705" t="s">
        <v>406</v>
      </c>
      <c r="D51" s="705" t="s">
        <v>407</v>
      </c>
      <c r="E51" s="705" t="s">
        <v>368</v>
      </c>
      <c r="F51" s="705">
        <v>1</v>
      </c>
      <c r="G51" s="705"/>
      <c r="H51" s="719"/>
      <c r="I51" s="719">
        <v>46105</v>
      </c>
      <c r="J51" s="705" t="s">
        <v>363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3" t="s">
        <v>360</v>
      </c>
      <c r="C52" s="705" t="s">
        <v>406</v>
      </c>
      <c r="D52" s="705" t="s">
        <v>407</v>
      </c>
      <c r="E52" s="705" t="s">
        <v>373</v>
      </c>
      <c r="F52" s="705">
        <v>1</v>
      </c>
      <c r="G52" s="705"/>
      <c r="H52" s="719"/>
      <c r="I52" s="719">
        <v>46105</v>
      </c>
      <c r="J52" s="705" t="s">
        <v>363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3" t="s">
        <v>360</v>
      </c>
      <c r="C53" s="705" t="s">
        <v>406</v>
      </c>
      <c r="D53" s="705" t="s">
        <v>407</v>
      </c>
      <c r="E53" s="705" t="s">
        <v>408</v>
      </c>
      <c r="F53" s="705">
        <v>1</v>
      </c>
      <c r="G53" s="705"/>
      <c r="H53" s="719"/>
      <c r="I53" s="719">
        <v>46105</v>
      </c>
      <c r="J53" s="705" t="s">
        <v>363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3" t="s">
        <v>360</v>
      </c>
      <c r="C54" s="705" t="s">
        <v>406</v>
      </c>
      <c r="D54" s="705" t="s">
        <v>409</v>
      </c>
      <c r="E54" s="705" t="s">
        <v>368</v>
      </c>
      <c r="F54" s="705">
        <v>2</v>
      </c>
      <c r="G54" s="705"/>
      <c r="H54" s="719"/>
      <c r="I54" s="719">
        <v>46105</v>
      </c>
      <c r="J54" s="705" t="s">
        <v>363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3" t="s">
        <v>360</v>
      </c>
      <c r="C55" s="705" t="s">
        <v>406</v>
      </c>
      <c r="D55" s="705" t="s">
        <v>409</v>
      </c>
      <c r="E55" s="705" t="s">
        <v>373</v>
      </c>
      <c r="F55" s="705">
        <v>1</v>
      </c>
      <c r="G55" s="705"/>
      <c r="H55" s="719"/>
      <c r="I55" s="719">
        <v>46105</v>
      </c>
      <c r="J55" s="705" t="s">
        <v>363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3" t="s">
        <v>360</v>
      </c>
      <c r="C56" s="705" t="s">
        <v>406</v>
      </c>
      <c r="D56" s="705" t="s">
        <v>409</v>
      </c>
      <c r="E56" s="705" t="s">
        <v>410</v>
      </c>
      <c r="F56" s="705">
        <v>1</v>
      </c>
      <c r="G56" s="705"/>
      <c r="H56" s="719"/>
      <c r="I56" s="719">
        <v>46105</v>
      </c>
      <c r="J56" s="705" t="s">
        <v>363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3" t="s">
        <v>360</v>
      </c>
      <c r="C57" s="705" t="s">
        <v>406</v>
      </c>
      <c r="D57" s="705" t="s">
        <v>411</v>
      </c>
      <c r="E57" s="705" t="s">
        <v>368</v>
      </c>
      <c r="F57" s="705">
        <v>2</v>
      </c>
      <c r="G57" s="705"/>
      <c r="H57" s="719"/>
      <c r="I57" s="719">
        <v>46105</v>
      </c>
      <c r="J57" s="705" t="s">
        <v>363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3" t="s">
        <v>360</v>
      </c>
      <c r="C58" s="705" t="s">
        <v>406</v>
      </c>
      <c r="D58" s="705" t="s">
        <v>411</v>
      </c>
      <c r="E58" s="705" t="s">
        <v>373</v>
      </c>
      <c r="F58" s="705">
        <v>1</v>
      </c>
      <c r="G58" s="705"/>
      <c r="H58" s="719"/>
      <c r="I58" s="719">
        <v>46105</v>
      </c>
      <c r="J58" s="705" t="s">
        <v>363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3" t="s">
        <v>360</v>
      </c>
      <c r="C59" s="705" t="s">
        <v>406</v>
      </c>
      <c r="D59" s="705" t="s">
        <v>411</v>
      </c>
      <c r="E59" s="705" t="s">
        <v>410</v>
      </c>
      <c r="F59" s="705">
        <v>1</v>
      </c>
      <c r="G59" s="705"/>
      <c r="H59" s="719"/>
      <c r="I59" s="719">
        <v>46105</v>
      </c>
      <c r="J59" s="705" t="s">
        <v>363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3" t="s">
        <v>360</v>
      </c>
      <c r="C60" s="705" t="s">
        <v>406</v>
      </c>
      <c r="D60" s="705" t="s">
        <v>412</v>
      </c>
      <c r="E60" s="705" t="s">
        <v>368</v>
      </c>
      <c r="F60" s="705">
        <v>2</v>
      </c>
      <c r="G60" s="705"/>
      <c r="H60" s="719"/>
      <c r="I60" s="719">
        <v>46105</v>
      </c>
      <c r="J60" s="705" t="s">
        <v>363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3" t="s">
        <v>360</v>
      </c>
      <c r="C61" s="705" t="s">
        <v>406</v>
      </c>
      <c r="D61" s="705" t="s">
        <v>412</v>
      </c>
      <c r="E61" s="705" t="s">
        <v>373</v>
      </c>
      <c r="F61" s="705">
        <v>1</v>
      </c>
      <c r="G61" s="705"/>
      <c r="H61" s="719"/>
      <c r="I61" s="719">
        <v>46105</v>
      </c>
      <c r="J61" s="705" t="s">
        <v>363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3" t="s">
        <v>360</v>
      </c>
      <c r="C62" s="705" t="s">
        <v>406</v>
      </c>
      <c r="D62" s="705" t="s">
        <v>412</v>
      </c>
      <c r="E62" s="705" t="s">
        <v>410</v>
      </c>
      <c r="F62" s="705">
        <v>1</v>
      </c>
      <c r="G62" s="705"/>
      <c r="H62" s="719"/>
      <c r="I62" s="719">
        <v>46105</v>
      </c>
      <c r="J62" s="705" t="s">
        <v>363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3" t="s">
        <v>360</v>
      </c>
      <c r="C63" s="705" t="s">
        <v>406</v>
      </c>
      <c r="D63" s="705" t="s">
        <v>413</v>
      </c>
      <c r="E63" s="705" t="s">
        <v>368</v>
      </c>
      <c r="F63" s="705">
        <v>1</v>
      </c>
      <c r="G63" s="705"/>
      <c r="H63" s="719"/>
      <c r="I63" s="719">
        <v>46106</v>
      </c>
      <c r="J63" s="705" t="s">
        <v>363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3" t="s">
        <v>360</v>
      </c>
      <c r="C64" s="705" t="s">
        <v>406</v>
      </c>
      <c r="D64" s="705" t="s">
        <v>413</v>
      </c>
      <c r="E64" s="705" t="s">
        <v>373</v>
      </c>
      <c r="F64" s="705">
        <v>1</v>
      </c>
      <c r="G64" s="705"/>
      <c r="H64" s="719"/>
      <c r="I64" s="719">
        <v>46106</v>
      </c>
      <c r="J64" s="705" t="s">
        <v>363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3" t="s">
        <v>360</v>
      </c>
      <c r="C65" s="705" t="s">
        <v>406</v>
      </c>
      <c r="D65" s="705" t="s">
        <v>413</v>
      </c>
      <c r="E65" s="705" t="s">
        <v>410</v>
      </c>
      <c r="F65" s="705">
        <v>1</v>
      </c>
      <c r="G65" s="705"/>
      <c r="H65" s="719"/>
      <c r="I65" s="719">
        <v>46106</v>
      </c>
      <c r="J65" s="705" t="s">
        <v>363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3" t="s">
        <v>360</v>
      </c>
      <c r="C66" s="705" t="s">
        <v>406</v>
      </c>
      <c r="D66" s="705" t="s">
        <v>414</v>
      </c>
      <c r="E66" s="705" t="s">
        <v>368</v>
      </c>
      <c r="F66" s="705">
        <v>2</v>
      </c>
      <c r="G66" s="705"/>
      <c r="H66" s="719"/>
      <c r="I66" s="719">
        <v>46106</v>
      </c>
      <c r="J66" s="705" t="s">
        <v>363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3" t="s">
        <v>360</v>
      </c>
      <c r="C67" s="705" t="s">
        <v>406</v>
      </c>
      <c r="D67" s="705" t="s">
        <v>414</v>
      </c>
      <c r="E67" s="705" t="s">
        <v>373</v>
      </c>
      <c r="F67" s="705">
        <v>1</v>
      </c>
      <c r="G67" s="705"/>
      <c r="H67" s="719"/>
      <c r="I67" s="719">
        <v>46106</v>
      </c>
      <c r="J67" s="705" t="s">
        <v>363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3" t="s">
        <v>360</v>
      </c>
      <c r="C68" s="705" t="s">
        <v>406</v>
      </c>
      <c r="D68" s="705" t="s">
        <v>414</v>
      </c>
      <c r="E68" s="705" t="s">
        <v>408</v>
      </c>
      <c r="F68" s="705">
        <v>1</v>
      </c>
      <c r="G68" s="705"/>
      <c r="H68" s="719"/>
      <c r="I68" s="719">
        <v>46106</v>
      </c>
      <c r="J68" s="705" t="s">
        <v>363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3" t="s">
        <v>360</v>
      </c>
      <c r="C69" s="705" t="s">
        <v>406</v>
      </c>
      <c r="D69" s="705" t="s">
        <v>360</v>
      </c>
      <c r="E69" s="705" t="s">
        <v>368</v>
      </c>
      <c r="F69" s="705">
        <v>7</v>
      </c>
      <c r="G69" s="705">
        <v>7</v>
      </c>
      <c r="H69" s="719">
        <v>46063</v>
      </c>
      <c r="I69" s="719">
        <v>46063</v>
      </c>
      <c r="J69" s="705" t="s">
        <v>366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3" t="s">
        <v>360</v>
      </c>
      <c r="C70" s="705" t="s">
        <v>406</v>
      </c>
      <c r="D70" s="705" t="s">
        <v>360</v>
      </c>
      <c r="E70" s="705" t="s">
        <v>373</v>
      </c>
      <c r="F70" s="705">
        <v>1</v>
      </c>
      <c r="G70" s="705">
        <v>1</v>
      </c>
      <c r="H70" s="719">
        <v>46063</v>
      </c>
      <c r="I70" s="719">
        <v>46063</v>
      </c>
      <c r="J70" s="705" t="s">
        <v>366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3" t="s">
        <v>360</v>
      </c>
      <c r="C71" s="705" t="s">
        <v>406</v>
      </c>
      <c r="D71" s="705" t="s">
        <v>360</v>
      </c>
      <c r="E71" s="705" t="s">
        <v>410</v>
      </c>
      <c r="F71" s="705">
        <v>3</v>
      </c>
      <c r="G71" s="705">
        <v>3</v>
      </c>
      <c r="H71" s="719">
        <v>46063</v>
      </c>
      <c r="I71" s="719">
        <v>46063</v>
      </c>
      <c r="J71" s="705" t="s">
        <v>366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3" t="s">
        <v>360</v>
      </c>
      <c r="C72" s="705" t="s">
        <v>406</v>
      </c>
      <c r="D72" s="705" t="s">
        <v>360</v>
      </c>
      <c r="E72" s="705" t="s">
        <v>408</v>
      </c>
      <c r="F72" s="705">
        <v>1</v>
      </c>
      <c r="G72" s="705">
        <v>1</v>
      </c>
      <c r="H72" s="719">
        <v>46063</v>
      </c>
      <c r="I72" s="719">
        <v>46063</v>
      </c>
      <c r="J72" s="705" t="s">
        <v>366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3" t="s">
        <v>360</v>
      </c>
      <c r="C73" s="705" t="s">
        <v>406</v>
      </c>
      <c r="D73" s="705" t="s">
        <v>360</v>
      </c>
      <c r="E73" s="705" t="s">
        <v>415</v>
      </c>
      <c r="F73" s="705">
        <v>2</v>
      </c>
      <c r="G73" s="705">
        <v>2</v>
      </c>
      <c r="H73" s="719">
        <v>46063</v>
      </c>
      <c r="I73" s="719">
        <v>46063</v>
      </c>
      <c r="J73" s="705" t="s">
        <v>366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3" t="s">
        <v>360</v>
      </c>
      <c r="C74" s="705" t="s">
        <v>406</v>
      </c>
      <c r="D74" s="705" t="s">
        <v>360</v>
      </c>
      <c r="E74" s="705" t="s">
        <v>416</v>
      </c>
      <c r="F74" s="705">
        <v>2</v>
      </c>
      <c r="G74" s="705">
        <v>2</v>
      </c>
      <c r="H74" s="719">
        <v>46063</v>
      </c>
      <c r="I74" s="719">
        <v>46063</v>
      </c>
      <c r="J74" s="705" t="s">
        <v>366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3" t="s">
        <v>360</v>
      </c>
      <c r="C75" s="705" t="s">
        <v>406</v>
      </c>
      <c r="D75" s="705" t="s">
        <v>360</v>
      </c>
      <c r="E75" s="705" t="s">
        <v>417</v>
      </c>
      <c r="F75" s="705">
        <v>1</v>
      </c>
      <c r="G75" s="705">
        <v>1</v>
      </c>
      <c r="H75" s="719">
        <v>46063</v>
      </c>
      <c r="I75" s="719">
        <v>46063</v>
      </c>
      <c r="J75" s="705" t="s">
        <v>366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3" t="s">
        <v>360</v>
      </c>
      <c r="C76" s="705" t="s">
        <v>406</v>
      </c>
      <c r="D76" s="705" t="s">
        <v>360</v>
      </c>
      <c r="E76" s="705" t="s">
        <v>418</v>
      </c>
      <c r="F76" s="705">
        <v>2</v>
      </c>
      <c r="G76" s="705">
        <v>2</v>
      </c>
      <c r="H76" s="719">
        <v>46063</v>
      </c>
      <c r="I76" s="719">
        <v>46063</v>
      </c>
      <c r="J76" s="705" t="s">
        <v>366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3" t="s">
        <v>360</v>
      </c>
      <c r="C77" s="705" t="s">
        <v>406</v>
      </c>
      <c r="D77" s="705" t="s">
        <v>360</v>
      </c>
      <c r="E77" s="705" t="s">
        <v>419</v>
      </c>
      <c r="F77" s="705">
        <v>2</v>
      </c>
      <c r="G77" s="705">
        <v>2</v>
      </c>
      <c r="H77" s="719">
        <v>46063</v>
      </c>
      <c r="I77" s="719">
        <v>46063</v>
      </c>
      <c r="J77" s="705" t="s">
        <v>366</v>
      </c>
      <c r="K77" t="str">
        <f t="shared" si="5"/>
        <v>Infra</v>
      </c>
      <c r="L77" s="648" t="s">
        <v>420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3" t="s">
        <v>360</v>
      </c>
      <c r="C78" s="705" t="s">
        <v>406</v>
      </c>
      <c r="D78" s="705" t="s">
        <v>421</v>
      </c>
      <c r="E78" s="705" t="s">
        <v>368</v>
      </c>
      <c r="F78" s="705">
        <v>1</v>
      </c>
      <c r="G78" s="705"/>
      <c r="H78" s="719"/>
      <c r="I78" s="719">
        <v>46106</v>
      </c>
      <c r="J78" s="705" t="s">
        <v>363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3" t="s">
        <v>360</v>
      </c>
      <c r="C79" s="705" t="s">
        <v>406</v>
      </c>
      <c r="D79" s="705" t="s">
        <v>421</v>
      </c>
      <c r="E79" s="705" t="s">
        <v>373</v>
      </c>
      <c r="F79" s="705">
        <v>1</v>
      </c>
      <c r="G79" s="705"/>
      <c r="H79" s="719"/>
      <c r="I79" s="719">
        <v>46106</v>
      </c>
      <c r="J79" s="705" t="s">
        <v>363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3" t="s">
        <v>360</v>
      </c>
      <c r="C80" s="705" t="s">
        <v>406</v>
      </c>
      <c r="D80" s="705" t="s">
        <v>421</v>
      </c>
      <c r="E80" s="705" t="s">
        <v>408</v>
      </c>
      <c r="F80" s="705">
        <v>1</v>
      </c>
      <c r="G80" s="705"/>
      <c r="H80" s="719"/>
      <c r="I80" s="719">
        <v>46106</v>
      </c>
      <c r="J80" s="705" t="s">
        <v>363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3" t="s">
        <v>360</v>
      </c>
      <c r="C81" s="705" t="s">
        <v>406</v>
      </c>
      <c r="D81" s="705" t="s">
        <v>422</v>
      </c>
      <c r="E81" s="705" t="s">
        <v>368</v>
      </c>
      <c r="F81" s="705">
        <v>1</v>
      </c>
      <c r="G81" s="705"/>
      <c r="H81" s="719"/>
      <c r="I81" s="719">
        <v>46107</v>
      </c>
      <c r="J81" s="705" t="s">
        <v>363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3" t="s">
        <v>360</v>
      </c>
      <c r="C82" s="705" t="s">
        <v>406</v>
      </c>
      <c r="D82" s="705" t="s">
        <v>422</v>
      </c>
      <c r="E82" s="705" t="s">
        <v>373</v>
      </c>
      <c r="F82" s="705">
        <v>1</v>
      </c>
      <c r="G82" s="705"/>
      <c r="H82" s="719"/>
      <c r="I82" s="719">
        <v>46107</v>
      </c>
      <c r="J82" s="705" t="s">
        <v>363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3" t="s">
        <v>360</v>
      </c>
      <c r="C83" s="705" t="s">
        <v>406</v>
      </c>
      <c r="D83" s="705" t="s">
        <v>422</v>
      </c>
      <c r="E83" s="705" t="s">
        <v>408</v>
      </c>
      <c r="F83" s="705">
        <v>1</v>
      </c>
      <c r="G83" s="705"/>
      <c r="H83" s="719"/>
      <c r="I83" s="719">
        <v>46107</v>
      </c>
      <c r="J83" s="705" t="s">
        <v>363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3" t="s">
        <v>360</v>
      </c>
      <c r="C84" s="705" t="s">
        <v>406</v>
      </c>
      <c r="D84" s="705" t="s">
        <v>423</v>
      </c>
      <c r="E84" s="705" t="s">
        <v>368</v>
      </c>
      <c r="F84" s="705">
        <v>6</v>
      </c>
      <c r="G84" s="705"/>
      <c r="H84" s="719"/>
      <c r="I84" s="719">
        <v>46107</v>
      </c>
      <c r="J84" s="705" t="s">
        <v>363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3" t="s">
        <v>360</v>
      </c>
      <c r="C85" s="705" t="s">
        <v>406</v>
      </c>
      <c r="D85" s="705" t="s">
        <v>423</v>
      </c>
      <c r="E85" s="705" t="s">
        <v>373</v>
      </c>
      <c r="F85" s="705">
        <v>1</v>
      </c>
      <c r="G85" s="705"/>
      <c r="H85" s="719"/>
      <c r="I85" s="719">
        <v>46107</v>
      </c>
      <c r="J85" s="705" t="s">
        <v>363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3" t="s">
        <v>360</v>
      </c>
      <c r="C86" s="705" t="s">
        <v>406</v>
      </c>
      <c r="D86" s="705" t="s">
        <v>423</v>
      </c>
      <c r="E86" s="705" t="s">
        <v>410</v>
      </c>
      <c r="F86" s="705">
        <v>2</v>
      </c>
      <c r="G86" s="705"/>
      <c r="H86" s="719"/>
      <c r="I86" s="719">
        <v>46107</v>
      </c>
      <c r="J86" s="705" t="s">
        <v>363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3" t="s">
        <v>360</v>
      </c>
      <c r="C87" s="705" t="s">
        <v>406</v>
      </c>
      <c r="D87" s="705" t="s">
        <v>423</v>
      </c>
      <c r="E87" s="705" t="s">
        <v>408</v>
      </c>
      <c r="F87" s="705">
        <v>1</v>
      </c>
      <c r="G87" s="705"/>
      <c r="H87" s="719"/>
      <c r="I87" s="719">
        <v>46107</v>
      </c>
      <c r="J87" s="705" t="s">
        <v>363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3" t="s">
        <v>360</v>
      </c>
      <c r="C88" s="705" t="s">
        <v>406</v>
      </c>
      <c r="D88" s="705" t="s">
        <v>423</v>
      </c>
      <c r="E88" s="705" t="s">
        <v>415</v>
      </c>
      <c r="F88" s="705">
        <v>2</v>
      </c>
      <c r="G88" s="705">
        <v>2</v>
      </c>
      <c r="H88" s="719">
        <v>46063</v>
      </c>
      <c r="I88" s="719">
        <v>46063</v>
      </c>
      <c r="J88" s="705" t="s">
        <v>366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3" t="s">
        <v>360</v>
      </c>
      <c r="C89" s="705" t="s">
        <v>406</v>
      </c>
      <c r="D89" s="705" t="s">
        <v>423</v>
      </c>
      <c r="E89" s="705" t="s">
        <v>416</v>
      </c>
      <c r="F89" s="705">
        <v>2</v>
      </c>
      <c r="G89" s="705">
        <v>2</v>
      </c>
      <c r="H89" s="719">
        <v>46063</v>
      </c>
      <c r="I89" s="719">
        <v>46063</v>
      </c>
      <c r="J89" s="705" t="s">
        <v>366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3" t="s">
        <v>360</v>
      </c>
      <c r="C90" s="705" t="s">
        <v>406</v>
      </c>
      <c r="D90" s="705" t="s">
        <v>423</v>
      </c>
      <c r="E90" s="705" t="s">
        <v>417</v>
      </c>
      <c r="F90" s="705">
        <v>1</v>
      </c>
      <c r="G90" s="705">
        <v>1</v>
      </c>
      <c r="H90" s="719">
        <v>46063</v>
      </c>
      <c r="I90" s="719">
        <v>46063</v>
      </c>
      <c r="J90" s="705" t="s">
        <v>366</v>
      </c>
      <c r="K90" t="str">
        <f t="shared" si="5"/>
        <v>Switch</v>
      </c>
      <c r="L90" s="648" t="s">
        <v>424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5" t="s">
        <v>423</v>
      </c>
      <c r="C91" s="705" t="s">
        <v>406</v>
      </c>
      <c r="D91" s="705" t="s">
        <v>423</v>
      </c>
      <c r="E91" s="705" t="s">
        <v>419</v>
      </c>
      <c r="F91" s="705">
        <v>2</v>
      </c>
      <c r="G91" s="705">
        <v>2</v>
      </c>
      <c r="H91" s="719">
        <v>46063</v>
      </c>
      <c r="I91" s="719">
        <v>46063</v>
      </c>
      <c r="J91" s="705" t="s">
        <v>366</v>
      </c>
      <c r="K91" t="str">
        <f t="shared" si="5"/>
        <v>Infra</v>
      </c>
      <c r="L91" s="648" t="s">
        <v>420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3" t="s">
        <v>360</v>
      </c>
      <c r="C92" s="705" t="s">
        <v>406</v>
      </c>
      <c r="D92" s="705" t="s">
        <v>425</v>
      </c>
      <c r="E92" s="705" t="s">
        <v>368</v>
      </c>
      <c r="F92" s="705">
        <v>2</v>
      </c>
      <c r="G92" s="705">
        <v>2</v>
      </c>
      <c r="H92" s="719">
        <v>46070</v>
      </c>
      <c r="I92" s="719">
        <v>46070</v>
      </c>
      <c r="J92" s="705" t="s">
        <v>366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3" t="s">
        <v>360</v>
      </c>
      <c r="C93" s="705" t="s">
        <v>406</v>
      </c>
      <c r="D93" s="705" t="s">
        <v>425</v>
      </c>
      <c r="E93" s="705" t="s">
        <v>373</v>
      </c>
      <c r="F93" s="705">
        <v>1</v>
      </c>
      <c r="G93" s="705">
        <v>1</v>
      </c>
      <c r="H93" s="719">
        <v>46070</v>
      </c>
      <c r="I93" s="719">
        <v>46070</v>
      </c>
      <c r="J93" s="705" t="s">
        <v>366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3" t="s">
        <v>360</v>
      </c>
      <c r="C94" s="705" t="s">
        <v>406</v>
      </c>
      <c r="D94" s="705" t="s">
        <v>426</v>
      </c>
      <c r="E94" s="705" t="s">
        <v>368</v>
      </c>
      <c r="F94" s="705">
        <v>1</v>
      </c>
      <c r="G94" s="705"/>
      <c r="H94" s="719"/>
      <c r="I94" s="719">
        <v>46108</v>
      </c>
      <c r="J94" s="705" t="s">
        <v>363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3" t="s">
        <v>360</v>
      </c>
      <c r="C95" s="705" t="s">
        <v>406</v>
      </c>
      <c r="D95" s="705" t="s">
        <v>426</v>
      </c>
      <c r="E95" s="705" t="s">
        <v>373</v>
      </c>
      <c r="F95" s="705">
        <v>1</v>
      </c>
      <c r="G95" s="705"/>
      <c r="H95" s="719"/>
      <c r="I95" s="719">
        <v>46108</v>
      </c>
      <c r="J95" s="705" t="s">
        <v>363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3" t="s">
        <v>360</v>
      </c>
      <c r="C96" s="705" t="s">
        <v>406</v>
      </c>
      <c r="D96" s="705" t="s">
        <v>427</v>
      </c>
      <c r="E96" s="705" t="s">
        <v>368</v>
      </c>
      <c r="F96" s="705">
        <v>1</v>
      </c>
      <c r="G96" s="705"/>
      <c r="H96" s="719"/>
      <c r="I96" s="719">
        <v>46108</v>
      </c>
      <c r="J96" s="705" t="s">
        <v>363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3" t="s">
        <v>360</v>
      </c>
      <c r="C97" s="705" t="s">
        <v>406</v>
      </c>
      <c r="D97" s="705" t="s">
        <v>427</v>
      </c>
      <c r="E97" s="705" t="s">
        <v>373</v>
      </c>
      <c r="F97" s="705">
        <v>1</v>
      </c>
      <c r="G97" s="705"/>
      <c r="H97" s="719"/>
      <c r="I97" s="719">
        <v>46108</v>
      </c>
      <c r="J97" s="705" t="s">
        <v>363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3" t="s">
        <v>360</v>
      </c>
      <c r="C98" s="705" t="s">
        <v>406</v>
      </c>
      <c r="D98" s="705" t="s">
        <v>428</v>
      </c>
      <c r="E98" s="705" t="s">
        <v>368</v>
      </c>
      <c r="F98" s="705">
        <v>1</v>
      </c>
      <c r="G98" s="705"/>
      <c r="H98" s="719"/>
      <c r="I98" s="719">
        <v>46108</v>
      </c>
      <c r="J98" s="705" t="s">
        <v>363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3" t="s">
        <v>360</v>
      </c>
      <c r="C99" s="705" t="s">
        <v>406</v>
      </c>
      <c r="D99" s="705" t="s">
        <v>428</v>
      </c>
      <c r="E99" s="705" t="s">
        <v>373</v>
      </c>
      <c r="F99" s="705">
        <v>1</v>
      </c>
      <c r="G99" s="705"/>
      <c r="H99" s="719"/>
      <c r="I99" s="719">
        <v>46108</v>
      </c>
      <c r="J99" s="705" t="s">
        <v>363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3" t="s">
        <v>360</v>
      </c>
      <c r="C100" s="705" t="s">
        <v>406</v>
      </c>
      <c r="D100" s="705" t="s">
        <v>429</v>
      </c>
      <c r="E100" s="705" t="s">
        <v>368</v>
      </c>
      <c r="F100" s="705">
        <v>1</v>
      </c>
      <c r="G100" s="705"/>
      <c r="H100" s="719"/>
      <c r="I100" s="719">
        <v>46108</v>
      </c>
      <c r="J100" s="705" t="s">
        <v>363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3" t="s">
        <v>360</v>
      </c>
      <c r="C101" s="705" t="s">
        <v>406</v>
      </c>
      <c r="D101" s="705" t="s">
        <v>429</v>
      </c>
      <c r="E101" s="705" t="s">
        <v>373</v>
      </c>
      <c r="F101" s="705">
        <v>1</v>
      </c>
      <c r="G101" s="705"/>
      <c r="H101" s="719"/>
      <c r="I101" s="719">
        <v>46108</v>
      </c>
      <c r="J101" s="705" t="s">
        <v>363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3" t="s">
        <v>360</v>
      </c>
      <c r="C102" s="705" t="s">
        <v>406</v>
      </c>
      <c r="D102" s="705" t="s">
        <v>430</v>
      </c>
      <c r="E102" s="705" t="s">
        <v>368</v>
      </c>
      <c r="F102" s="705">
        <v>1</v>
      </c>
      <c r="G102" s="705"/>
      <c r="H102" s="719"/>
      <c r="I102" s="719">
        <v>46108</v>
      </c>
      <c r="J102" s="705" t="s">
        <v>363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3" t="s">
        <v>360</v>
      </c>
      <c r="C103" s="705" t="s">
        <v>406</v>
      </c>
      <c r="D103" s="705" t="s">
        <v>430</v>
      </c>
      <c r="E103" s="705" t="s">
        <v>373</v>
      </c>
      <c r="F103" s="705">
        <v>1</v>
      </c>
      <c r="G103" s="705"/>
      <c r="H103" s="719"/>
      <c r="I103" s="719">
        <v>46108</v>
      </c>
      <c r="J103" s="705" t="s">
        <v>363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3" t="s">
        <v>360</v>
      </c>
      <c r="C104" s="705" t="s">
        <v>406</v>
      </c>
      <c r="D104" s="705" t="s">
        <v>431</v>
      </c>
      <c r="E104" s="705" t="s">
        <v>368</v>
      </c>
      <c r="F104" s="705">
        <v>1</v>
      </c>
      <c r="G104" s="705"/>
      <c r="H104" s="719"/>
      <c r="I104" s="719">
        <v>46111</v>
      </c>
      <c r="J104" s="705" t="s">
        <v>363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3" t="s">
        <v>360</v>
      </c>
      <c r="C105" s="705" t="s">
        <v>406</v>
      </c>
      <c r="D105" s="705" t="s">
        <v>431</v>
      </c>
      <c r="E105" s="705" t="s">
        <v>373</v>
      </c>
      <c r="F105" s="705">
        <v>1</v>
      </c>
      <c r="G105" s="705"/>
      <c r="H105" s="719"/>
      <c r="I105" s="719">
        <v>46111</v>
      </c>
      <c r="J105" s="705" t="s">
        <v>363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3" t="s">
        <v>360</v>
      </c>
      <c r="C106" s="705" t="s">
        <v>406</v>
      </c>
      <c r="D106" s="705" t="s">
        <v>432</v>
      </c>
      <c r="E106" s="705" t="s">
        <v>368</v>
      </c>
      <c r="F106" s="705">
        <v>1</v>
      </c>
      <c r="G106" s="705"/>
      <c r="H106" s="719"/>
      <c r="I106" s="719">
        <v>46111</v>
      </c>
      <c r="J106" s="705" t="s">
        <v>363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3" t="s">
        <v>360</v>
      </c>
      <c r="C107" s="705" t="s">
        <v>406</v>
      </c>
      <c r="D107" s="705" t="s">
        <v>432</v>
      </c>
      <c r="E107" s="705" t="s">
        <v>373</v>
      </c>
      <c r="F107" s="705">
        <v>1</v>
      </c>
      <c r="G107" s="705"/>
      <c r="H107" s="719"/>
      <c r="I107" s="719">
        <v>46111</v>
      </c>
      <c r="J107" s="705" t="s">
        <v>363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3" t="s">
        <v>360</v>
      </c>
      <c r="C108" s="705" t="s">
        <v>406</v>
      </c>
      <c r="D108" s="705" t="s">
        <v>433</v>
      </c>
      <c r="E108" s="705" t="s">
        <v>368</v>
      </c>
      <c r="F108" s="705">
        <v>1</v>
      </c>
      <c r="G108" s="705"/>
      <c r="H108" s="719"/>
      <c r="I108" s="719">
        <v>46111</v>
      </c>
      <c r="J108" s="705" t="s">
        <v>363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3" t="s">
        <v>360</v>
      </c>
      <c r="C109" s="705" t="s">
        <v>406</v>
      </c>
      <c r="D109" s="705" t="s">
        <v>433</v>
      </c>
      <c r="E109" s="705" t="s">
        <v>373</v>
      </c>
      <c r="F109" s="705">
        <v>1</v>
      </c>
      <c r="G109" s="705"/>
      <c r="H109" s="719"/>
      <c r="I109" s="719">
        <v>46111</v>
      </c>
      <c r="J109" s="705" t="s">
        <v>363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3" t="s">
        <v>360</v>
      </c>
      <c r="C110" s="705" t="s">
        <v>406</v>
      </c>
      <c r="D110" s="705" t="s">
        <v>434</v>
      </c>
      <c r="E110" s="705" t="s">
        <v>368</v>
      </c>
      <c r="F110" s="705">
        <v>2</v>
      </c>
      <c r="G110" s="705"/>
      <c r="H110" s="719"/>
      <c r="I110" s="719">
        <v>46111</v>
      </c>
      <c r="J110" s="705" t="s">
        <v>363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3" t="s">
        <v>360</v>
      </c>
      <c r="C111" s="705" t="s">
        <v>406</v>
      </c>
      <c r="D111" s="705" t="s">
        <v>434</v>
      </c>
      <c r="E111" s="705" t="s">
        <v>373</v>
      </c>
      <c r="F111" s="705">
        <v>1</v>
      </c>
      <c r="G111" s="705"/>
      <c r="H111" s="719"/>
      <c r="I111" s="719">
        <v>46111</v>
      </c>
      <c r="J111" s="705" t="s">
        <v>363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3" t="s">
        <v>360</v>
      </c>
      <c r="C112" s="705" t="s">
        <v>406</v>
      </c>
      <c r="D112" s="705" t="s">
        <v>435</v>
      </c>
      <c r="E112" s="705" t="s">
        <v>368</v>
      </c>
      <c r="F112" s="705">
        <v>2</v>
      </c>
      <c r="G112" s="705">
        <v>2</v>
      </c>
      <c r="H112" s="719">
        <v>46100</v>
      </c>
      <c r="I112" s="719">
        <v>46100</v>
      </c>
      <c r="J112" s="705" t="s">
        <v>366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3" t="s">
        <v>360</v>
      </c>
      <c r="C113" s="705" t="s">
        <v>406</v>
      </c>
      <c r="D113" s="705" t="s">
        <v>435</v>
      </c>
      <c r="E113" s="705" t="s">
        <v>373</v>
      </c>
      <c r="F113" s="705">
        <v>1</v>
      </c>
      <c r="G113" s="705">
        <v>1</v>
      </c>
      <c r="H113" s="719">
        <v>46100</v>
      </c>
      <c r="I113" s="719">
        <v>46100</v>
      </c>
      <c r="J113" s="705" t="s">
        <v>366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3" t="s">
        <v>360</v>
      </c>
      <c r="C114" s="705" t="s">
        <v>406</v>
      </c>
      <c r="D114" s="705" t="s">
        <v>435</v>
      </c>
      <c r="E114" s="705" t="s">
        <v>410</v>
      </c>
      <c r="F114" s="705">
        <v>1</v>
      </c>
      <c r="G114" s="705">
        <v>1</v>
      </c>
      <c r="H114" s="719">
        <v>46100</v>
      </c>
      <c r="I114" s="719">
        <v>46100</v>
      </c>
      <c r="J114" s="705" t="s">
        <v>366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3" t="s">
        <v>360</v>
      </c>
      <c r="C115" s="705" t="s">
        <v>406</v>
      </c>
      <c r="D115" s="705" t="s">
        <v>436</v>
      </c>
      <c r="E115" s="705" t="s">
        <v>368</v>
      </c>
      <c r="F115" s="705">
        <v>2</v>
      </c>
      <c r="G115" s="705"/>
      <c r="H115" s="719"/>
      <c r="I115" s="719">
        <v>46111</v>
      </c>
      <c r="J115" s="705" t="s">
        <v>363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3" t="s">
        <v>360</v>
      </c>
      <c r="C116" s="705" t="s">
        <v>406</v>
      </c>
      <c r="D116" s="705" t="s">
        <v>436</v>
      </c>
      <c r="E116" s="705" t="s">
        <v>373</v>
      </c>
      <c r="F116" s="705">
        <v>2</v>
      </c>
      <c r="G116" s="705"/>
      <c r="H116" s="719"/>
      <c r="I116" s="719">
        <v>46111</v>
      </c>
      <c r="J116" s="705" t="s">
        <v>363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3" t="s">
        <v>360</v>
      </c>
      <c r="C117" s="705" t="s">
        <v>406</v>
      </c>
      <c r="D117" s="705" t="s">
        <v>436</v>
      </c>
      <c r="E117" s="705" t="s">
        <v>410</v>
      </c>
      <c r="F117" s="705">
        <v>1</v>
      </c>
      <c r="G117" s="705"/>
      <c r="H117" s="719"/>
      <c r="I117" s="719">
        <v>46111</v>
      </c>
      <c r="J117" s="705" t="s">
        <v>363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3" t="s">
        <v>360</v>
      </c>
      <c r="C118" s="705" t="s">
        <v>406</v>
      </c>
      <c r="D118" s="705" t="s">
        <v>437</v>
      </c>
      <c r="E118" s="705" t="s">
        <v>368</v>
      </c>
      <c r="F118" s="705">
        <v>1</v>
      </c>
      <c r="G118" s="705"/>
      <c r="H118" s="719"/>
      <c r="I118" s="719">
        <v>46112</v>
      </c>
      <c r="J118" s="705" t="s">
        <v>363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3" t="s">
        <v>360</v>
      </c>
      <c r="C119" s="705" t="s">
        <v>406</v>
      </c>
      <c r="D119" s="705" t="s">
        <v>437</v>
      </c>
      <c r="E119" s="705" t="s">
        <v>373</v>
      </c>
      <c r="F119" s="705">
        <v>1</v>
      </c>
      <c r="G119" s="705"/>
      <c r="H119" s="719"/>
      <c r="I119" s="719">
        <v>46112</v>
      </c>
      <c r="J119" s="705" t="s">
        <v>363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3" t="s">
        <v>360</v>
      </c>
      <c r="C120" s="705" t="s">
        <v>406</v>
      </c>
      <c r="D120" s="705" t="s">
        <v>438</v>
      </c>
      <c r="E120" s="705" t="s">
        <v>368</v>
      </c>
      <c r="F120" s="705">
        <v>1</v>
      </c>
      <c r="G120" s="705"/>
      <c r="H120" s="719"/>
      <c r="I120" s="719">
        <v>46112</v>
      </c>
      <c r="J120" s="705" t="s">
        <v>363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3" t="s">
        <v>360</v>
      </c>
      <c r="C121" s="705" t="s">
        <v>406</v>
      </c>
      <c r="D121" s="705" t="s">
        <v>438</v>
      </c>
      <c r="E121" s="705" t="s">
        <v>373</v>
      </c>
      <c r="F121" s="705">
        <v>1</v>
      </c>
      <c r="G121" s="705"/>
      <c r="H121" s="719"/>
      <c r="I121" s="719">
        <v>46112</v>
      </c>
      <c r="J121" s="705" t="s">
        <v>363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3" t="s">
        <v>360</v>
      </c>
      <c r="C122" s="705" t="s">
        <v>406</v>
      </c>
      <c r="D122" s="705" t="s">
        <v>439</v>
      </c>
      <c r="E122" s="705" t="s">
        <v>368</v>
      </c>
      <c r="F122" s="705">
        <v>1</v>
      </c>
      <c r="G122" s="705"/>
      <c r="H122" s="719"/>
      <c r="I122" s="719">
        <v>46112</v>
      </c>
      <c r="J122" s="705" t="s">
        <v>363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3" t="s">
        <v>360</v>
      </c>
      <c r="C123" s="705" t="s">
        <v>406</v>
      </c>
      <c r="D123" s="705" t="s">
        <v>440</v>
      </c>
      <c r="E123" s="705" t="s">
        <v>368</v>
      </c>
      <c r="F123" s="705">
        <v>1</v>
      </c>
      <c r="G123" s="705"/>
      <c r="H123" s="719"/>
      <c r="I123" s="719">
        <v>46112</v>
      </c>
      <c r="J123" s="705" t="s">
        <v>363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3" t="s">
        <v>360</v>
      </c>
      <c r="C124" s="705" t="s">
        <v>406</v>
      </c>
      <c r="D124" s="705" t="s">
        <v>441</v>
      </c>
      <c r="E124" s="705" t="s">
        <v>368</v>
      </c>
      <c r="F124" s="705">
        <v>1</v>
      </c>
      <c r="G124" s="705"/>
      <c r="H124" s="719"/>
      <c r="I124" s="719">
        <v>46112</v>
      </c>
      <c r="J124" s="705" t="s">
        <v>363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3" t="s">
        <v>360</v>
      </c>
      <c r="C125" s="705" t="s">
        <v>406</v>
      </c>
      <c r="D125" s="705" t="s">
        <v>442</v>
      </c>
      <c r="E125" s="705" t="s">
        <v>368</v>
      </c>
      <c r="F125" s="705">
        <v>1</v>
      </c>
      <c r="G125" s="705"/>
      <c r="H125" s="719"/>
      <c r="I125" s="719">
        <v>46112</v>
      </c>
      <c r="J125" s="705" t="s">
        <v>363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3" t="s">
        <v>360</v>
      </c>
      <c r="C126" s="705" t="s">
        <v>406</v>
      </c>
      <c r="D126" s="705" t="s">
        <v>443</v>
      </c>
      <c r="E126" s="705" t="s">
        <v>368</v>
      </c>
      <c r="F126" s="705">
        <v>1</v>
      </c>
      <c r="G126" s="705"/>
      <c r="H126" s="719"/>
      <c r="I126" s="719">
        <v>46112</v>
      </c>
      <c r="J126" s="705" t="s">
        <v>363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3" t="s">
        <v>360</v>
      </c>
      <c r="C127" s="705" t="s">
        <v>444</v>
      </c>
      <c r="D127" s="705" t="s">
        <v>445</v>
      </c>
      <c r="E127" s="705" t="s">
        <v>368</v>
      </c>
      <c r="F127" s="705">
        <v>2</v>
      </c>
      <c r="G127" s="705">
        <v>2</v>
      </c>
      <c r="H127" s="719">
        <v>46097</v>
      </c>
      <c r="I127" s="719">
        <v>46097</v>
      </c>
      <c r="J127" s="705" t="s">
        <v>366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3" t="s">
        <v>360</v>
      </c>
      <c r="C128" s="705" t="s">
        <v>444</v>
      </c>
      <c r="D128" s="705" t="s">
        <v>445</v>
      </c>
      <c r="E128" s="705" t="s">
        <v>373</v>
      </c>
      <c r="F128" s="705">
        <v>1</v>
      </c>
      <c r="G128" s="705">
        <v>1</v>
      </c>
      <c r="H128" s="719">
        <v>46097</v>
      </c>
      <c r="I128" s="719">
        <v>46097</v>
      </c>
      <c r="J128" s="705" t="s">
        <v>366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3" t="s">
        <v>360</v>
      </c>
      <c r="C129" s="705" t="s">
        <v>444</v>
      </c>
      <c r="D129" s="705" t="s">
        <v>445</v>
      </c>
      <c r="E129" s="705" t="s">
        <v>410</v>
      </c>
      <c r="F129" s="705">
        <v>1</v>
      </c>
      <c r="G129" s="705">
        <v>1</v>
      </c>
      <c r="H129" s="719">
        <v>46087</v>
      </c>
      <c r="I129" s="719">
        <v>46087</v>
      </c>
      <c r="J129" s="705" t="s">
        <v>366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3" t="s">
        <v>360</v>
      </c>
      <c r="C130" s="705" t="s">
        <v>444</v>
      </c>
      <c r="D130" s="705" t="s">
        <v>446</v>
      </c>
      <c r="E130" s="705" t="s">
        <v>368</v>
      </c>
      <c r="F130" s="705">
        <v>1</v>
      </c>
      <c r="G130" s="705">
        <v>2</v>
      </c>
      <c r="H130" s="719">
        <v>46097</v>
      </c>
      <c r="I130" s="719">
        <v>46097</v>
      </c>
      <c r="J130" s="705" t="s">
        <v>366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3" t="s">
        <v>360</v>
      </c>
      <c r="C131" s="705" t="s">
        <v>444</v>
      </c>
      <c r="D131" s="705" t="s">
        <v>446</v>
      </c>
      <c r="E131" s="705" t="s">
        <v>373</v>
      </c>
      <c r="F131" s="705">
        <v>1</v>
      </c>
      <c r="G131" s="705">
        <v>2</v>
      </c>
      <c r="H131" s="719">
        <v>46097</v>
      </c>
      <c r="I131" s="719">
        <v>46097</v>
      </c>
      <c r="J131" s="705" t="s">
        <v>366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3" t="s">
        <v>360</v>
      </c>
      <c r="C132" s="705" t="s">
        <v>444</v>
      </c>
      <c r="D132" s="705" t="s">
        <v>446</v>
      </c>
      <c r="E132" s="705" t="s">
        <v>410</v>
      </c>
      <c r="F132" s="705">
        <v>1</v>
      </c>
      <c r="G132" s="705">
        <v>1</v>
      </c>
      <c r="H132" s="719">
        <v>46087</v>
      </c>
      <c r="I132" s="719">
        <v>46087</v>
      </c>
      <c r="J132" s="705" t="s">
        <v>366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3" t="s">
        <v>360</v>
      </c>
      <c r="C133" s="705" t="s">
        <v>444</v>
      </c>
      <c r="D133" s="705" t="s">
        <v>447</v>
      </c>
      <c r="E133" s="705" t="s">
        <v>368</v>
      </c>
      <c r="F133" s="705">
        <v>1</v>
      </c>
      <c r="G133" s="705">
        <v>1</v>
      </c>
      <c r="H133" s="719">
        <v>46091</v>
      </c>
      <c r="I133" s="719">
        <v>46091</v>
      </c>
      <c r="J133" s="705" t="s">
        <v>366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3" t="s">
        <v>360</v>
      </c>
      <c r="C134" s="705" t="s">
        <v>444</v>
      </c>
      <c r="D134" s="705" t="s">
        <v>448</v>
      </c>
      <c r="E134" s="705" t="s">
        <v>368</v>
      </c>
      <c r="F134" s="705">
        <v>1</v>
      </c>
      <c r="G134" s="705">
        <v>1</v>
      </c>
      <c r="H134" s="719">
        <v>46091</v>
      </c>
      <c r="I134" s="719">
        <v>46091</v>
      </c>
      <c r="J134" s="705" t="s">
        <v>366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3" t="s">
        <v>360</v>
      </c>
      <c r="C135" s="705" t="s">
        <v>444</v>
      </c>
      <c r="D135" s="705" t="s">
        <v>448</v>
      </c>
      <c r="E135" s="705" t="s">
        <v>373</v>
      </c>
      <c r="F135" s="705">
        <v>1</v>
      </c>
      <c r="G135" s="705">
        <v>1</v>
      </c>
      <c r="H135" s="719">
        <v>46091</v>
      </c>
      <c r="I135" s="719">
        <v>46091</v>
      </c>
      <c r="J135" s="705" t="s">
        <v>366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3" t="s">
        <v>360</v>
      </c>
      <c r="C136" s="705" t="s">
        <v>444</v>
      </c>
      <c r="D136" s="705" t="s">
        <v>449</v>
      </c>
      <c r="E136" s="705" t="s">
        <v>368</v>
      </c>
      <c r="F136" s="705">
        <v>1</v>
      </c>
      <c r="G136" s="705">
        <v>1</v>
      </c>
      <c r="H136" s="719">
        <v>46093</v>
      </c>
      <c r="I136" s="719">
        <v>46093</v>
      </c>
      <c r="J136" s="705" t="s">
        <v>366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3" t="s">
        <v>360</v>
      </c>
      <c r="C137" s="705" t="s">
        <v>444</v>
      </c>
      <c r="D137" s="705" t="s">
        <v>449</v>
      </c>
      <c r="E137" s="705" t="s">
        <v>373</v>
      </c>
      <c r="F137" s="705">
        <v>1</v>
      </c>
      <c r="G137" s="705">
        <v>1</v>
      </c>
      <c r="H137" s="719">
        <v>46093</v>
      </c>
      <c r="I137" s="719">
        <v>46093</v>
      </c>
      <c r="J137" s="705" t="s">
        <v>366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3" t="s">
        <v>360</v>
      </c>
      <c r="C138" s="705" t="s">
        <v>444</v>
      </c>
      <c r="D138" s="705" t="s">
        <v>449</v>
      </c>
      <c r="E138" s="705" t="s">
        <v>408</v>
      </c>
      <c r="F138" s="705">
        <v>1</v>
      </c>
      <c r="G138" s="705">
        <v>1</v>
      </c>
      <c r="H138" s="719">
        <v>46087</v>
      </c>
      <c r="I138" s="719">
        <v>46087</v>
      </c>
      <c r="J138" s="705" t="s">
        <v>366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3" t="s">
        <v>360</v>
      </c>
      <c r="C139" s="705" t="s">
        <v>444</v>
      </c>
      <c r="D139" s="705" t="s">
        <v>450</v>
      </c>
      <c r="E139" s="705" t="s">
        <v>368</v>
      </c>
      <c r="F139" s="705">
        <v>1</v>
      </c>
      <c r="G139" s="705">
        <v>1</v>
      </c>
      <c r="H139" s="719">
        <v>46093</v>
      </c>
      <c r="I139" s="719">
        <v>46093</v>
      </c>
      <c r="J139" s="705" t="s">
        <v>366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3" t="s">
        <v>360</v>
      </c>
      <c r="C140" s="705" t="s">
        <v>444</v>
      </c>
      <c r="D140" s="705" t="s">
        <v>450</v>
      </c>
      <c r="E140" s="705" t="s">
        <v>373</v>
      </c>
      <c r="F140" s="705">
        <v>1</v>
      </c>
      <c r="G140" s="705">
        <v>1</v>
      </c>
      <c r="H140" s="719">
        <v>46093</v>
      </c>
      <c r="I140" s="719">
        <v>46093</v>
      </c>
      <c r="J140" s="705" t="s">
        <v>366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3" t="s">
        <v>360</v>
      </c>
      <c r="C141" s="705" t="s">
        <v>444</v>
      </c>
      <c r="D141" s="705" t="s">
        <v>450</v>
      </c>
      <c r="E141" s="705" t="s">
        <v>410</v>
      </c>
      <c r="F141" s="705">
        <v>1</v>
      </c>
      <c r="G141" s="705">
        <v>1</v>
      </c>
      <c r="H141" s="719">
        <v>46087</v>
      </c>
      <c r="I141" s="719">
        <v>46087</v>
      </c>
      <c r="J141" s="705" t="s">
        <v>366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3" t="s">
        <v>360</v>
      </c>
      <c r="C142" s="705" t="s">
        <v>444</v>
      </c>
      <c r="D142" s="705" t="s">
        <v>451</v>
      </c>
      <c r="E142" s="705" t="s">
        <v>368</v>
      </c>
      <c r="F142" s="705">
        <v>1</v>
      </c>
      <c r="G142" s="705">
        <v>1</v>
      </c>
      <c r="H142" s="719">
        <v>46092</v>
      </c>
      <c r="I142" s="719">
        <v>46092</v>
      </c>
      <c r="J142" s="705" t="s">
        <v>366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3" t="s">
        <v>360</v>
      </c>
      <c r="C143" s="705" t="s">
        <v>444</v>
      </c>
      <c r="D143" s="705" t="s">
        <v>452</v>
      </c>
      <c r="E143" s="705" t="s">
        <v>368</v>
      </c>
      <c r="F143" s="705">
        <v>1</v>
      </c>
      <c r="G143" s="705">
        <v>1</v>
      </c>
      <c r="H143" s="719">
        <v>46092</v>
      </c>
      <c r="I143" s="719">
        <v>46092</v>
      </c>
      <c r="J143" s="705" t="s">
        <v>366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3" t="s">
        <v>360</v>
      </c>
      <c r="C144" s="705" t="s">
        <v>444</v>
      </c>
      <c r="D144" s="705" t="s">
        <v>453</v>
      </c>
      <c r="E144" s="705" t="s">
        <v>368</v>
      </c>
      <c r="F144" s="705">
        <v>1</v>
      </c>
      <c r="G144" s="705">
        <v>1</v>
      </c>
      <c r="H144" s="719">
        <v>46093</v>
      </c>
      <c r="I144" s="719">
        <v>46093</v>
      </c>
      <c r="J144" s="705" t="s">
        <v>366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3" t="s">
        <v>360</v>
      </c>
      <c r="C145" s="705" t="s">
        <v>444</v>
      </c>
      <c r="D145" s="705" t="s">
        <v>453</v>
      </c>
      <c r="E145" s="705" t="s">
        <v>373</v>
      </c>
      <c r="F145" s="705">
        <v>1</v>
      </c>
      <c r="G145" s="705">
        <v>1</v>
      </c>
      <c r="H145" s="719">
        <v>46093</v>
      </c>
      <c r="I145" s="719">
        <v>46093</v>
      </c>
      <c r="J145" s="705" t="s">
        <v>366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3" t="s">
        <v>360</v>
      </c>
      <c r="C146" s="705" t="s">
        <v>444</v>
      </c>
      <c r="D146" s="705" t="s">
        <v>453</v>
      </c>
      <c r="E146" s="705" t="s">
        <v>410</v>
      </c>
      <c r="F146" s="705">
        <v>1</v>
      </c>
      <c r="G146" s="705">
        <v>1</v>
      </c>
      <c r="H146" s="719">
        <v>46087</v>
      </c>
      <c r="I146" s="719">
        <v>46087</v>
      </c>
      <c r="J146" s="705" t="s">
        <v>366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3" t="s">
        <v>360</v>
      </c>
      <c r="C147" s="705" t="s">
        <v>444</v>
      </c>
      <c r="D147" s="705" t="s">
        <v>454</v>
      </c>
      <c r="E147" s="705" t="s">
        <v>368</v>
      </c>
      <c r="F147" s="705">
        <v>1</v>
      </c>
      <c r="G147" s="705">
        <v>1</v>
      </c>
      <c r="H147" s="719">
        <v>46093</v>
      </c>
      <c r="I147" s="719">
        <v>46093</v>
      </c>
      <c r="J147" s="705" t="s">
        <v>366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3" t="s">
        <v>360</v>
      </c>
      <c r="C148" s="705" t="s">
        <v>444</v>
      </c>
      <c r="D148" s="705" t="s">
        <v>454</v>
      </c>
      <c r="E148" s="705" t="s">
        <v>373</v>
      </c>
      <c r="F148" s="705">
        <v>1</v>
      </c>
      <c r="G148" s="705">
        <v>1</v>
      </c>
      <c r="H148" s="719">
        <v>46093</v>
      </c>
      <c r="I148" s="719">
        <v>46093</v>
      </c>
      <c r="J148" s="705" t="s">
        <v>366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3" t="s">
        <v>360</v>
      </c>
      <c r="C149" s="705" t="s">
        <v>444</v>
      </c>
      <c r="D149" s="705" t="s">
        <v>455</v>
      </c>
      <c r="E149" s="705" t="s">
        <v>368</v>
      </c>
      <c r="F149" s="705">
        <v>2</v>
      </c>
      <c r="G149" s="705"/>
      <c r="H149" s="719"/>
      <c r="I149" s="719">
        <v>46129</v>
      </c>
      <c r="J149" s="705" t="s">
        <v>363</v>
      </c>
      <c r="K149" t="str">
        <f t="shared" si="8"/>
        <v>Switch</v>
      </c>
      <c r="L149" t="s">
        <v>456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3" t="s">
        <v>360</v>
      </c>
      <c r="C150" s="705" t="s">
        <v>444</v>
      </c>
      <c r="D150" s="705" t="s">
        <v>455</v>
      </c>
      <c r="E150" s="705" t="s">
        <v>373</v>
      </c>
      <c r="F150" s="705">
        <v>1</v>
      </c>
      <c r="G150" s="705"/>
      <c r="H150" s="719"/>
      <c r="I150" s="719">
        <v>46129</v>
      </c>
      <c r="J150" s="705" t="s">
        <v>363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3" t="s">
        <v>360</v>
      </c>
      <c r="C151" s="705" t="s">
        <v>444</v>
      </c>
      <c r="D151" s="705" t="s">
        <v>457</v>
      </c>
      <c r="E151" s="705" t="s">
        <v>368</v>
      </c>
      <c r="F151" s="705">
        <v>1</v>
      </c>
      <c r="G151" s="705">
        <v>1</v>
      </c>
      <c r="H151" s="719">
        <v>46092</v>
      </c>
      <c r="I151" s="719">
        <v>46092</v>
      </c>
      <c r="J151" s="705" t="s">
        <v>366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3" t="s">
        <v>360</v>
      </c>
      <c r="C152" s="705" t="s">
        <v>444</v>
      </c>
      <c r="D152" s="705" t="s">
        <v>457</v>
      </c>
      <c r="E152" s="705" t="s">
        <v>373</v>
      </c>
      <c r="F152" s="705">
        <v>1</v>
      </c>
      <c r="G152" s="705">
        <v>1</v>
      </c>
      <c r="H152" s="719">
        <v>46092</v>
      </c>
      <c r="I152" s="719">
        <v>46092</v>
      </c>
      <c r="J152" s="705" t="s">
        <v>366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3" t="s">
        <v>360</v>
      </c>
      <c r="C153" s="705" t="s">
        <v>444</v>
      </c>
      <c r="D153" s="705" t="s">
        <v>458</v>
      </c>
      <c r="E153" s="705" t="s">
        <v>368</v>
      </c>
      <c r="F153" s="705">
        <v>1</v>
      </c>
      <c r="G153" s="705">
        <v>1</v>
      </c>
      <c r="H153" s="719">
        <v>46092</v>
      </c>
      <c r="I153" s="719">
        <v>46092</v>
      </c>
      <c r="J153" s="705" t="s">
        <v>366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3" t="s">
        <v>360</v>
      </c>
      <c r="C154" s="705" t="s">
        <v>444</v>
      </c>
      <c r="D154" s="705" t="s">
        <v>458</v>
      </c>
      <c r="E154" s="705" t="s">
        <v>373</v>
      </c>
      <c r="F154" s="705">
        <v>1</v>
      </c>
      <c r="G154" s="705">
        <v>1</v>
      </c>
      <c r="H154" s="719">
        <v>46092</v>
      </c>
      <c r="I154" s="719">
        <v>46092</v>
      </c>
      <c r="J154" s="705" t="s">
        <v>366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3" t="s">
        <v>360</v>
      </c>
      <c r="C155" s="705" t="s">
        <v>444</v>
      </c>
      <c r="D155" s="705" t="s">
        <v>459</v>
      </c>
      <c r="E155" s="705" t="s">
        <v>368</v>
      </c>
      <c r="F155" s="705">
        <v>1</v>
      </c>
      <c r="G155" s="705">
        <v>1</v>
      </c>
      <c r="H155" s="719">
        <v>46092</v>
      </c>
      <c r="I155" s="719">
        <v>46092</v>
      </c>
      <c r="J155" s="705" t="s">
        <v>366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3" t="s">
        <v>360</v>
      </c>
      <c r="C156" s="705" t="s">
        <v>444</v>
      </c>
      <c r="D156" s="705" t="s">
        <v>459</v>
      </c>
      <c r="E156" s="705" t="s">
        <v>373</v>
      </c>
      <c r="F156" s="705">
        <v>1</v>
      </c>
      <c r="G156" s="705">
        <v>1</v>
      </c>
      <c r="H156" s="719">
        <v>46092</v>
      </c>
      <c r="I156" s="719">
        <v>46092</v>
      </c>
      <c r="J156" s="705" t="s">
        <v>366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3" t="s">
        <v>360</v>
      </c>
      <c r="C157" s="705" t="s">
        <v>444</v>
      </c>
      <c r="D157" s="705" t="s">
        <v>460</v>
      </c>
      <c r="E157" s="705" t="s">
        <v>368</v>
      </c>
      <c r="F157" s="705">
        <v>1</v>
      </c>
      <c r="G157" s="705">
        <v>1</v>
      </c>
      <c r="H157" s="719">
        <v>46092</v>
      </c>
      <c r="I157" s="719">
        <v>46092</v>
      </c>
      <c r="J157" s="705" t="s">
        <v>366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3" t="s">
        <v>360</v>
      </c>
      <c r="C158" s="705" t="s">
        <v>444</v>
      </c>
      <c r="D158" s="705" t="s">
        <v>460</v>
      </c>
      <c r="E158" s="705" t="s">
        <v>373</v>
      </c>
      <c r="F158" s="705">
        <v>1</v>
      </c>
      <c r="G158" s="705">
        <v>1</v>
      </c>
      <c r="H158" s="719">
        <v>46092</v>
      </c>
      <c r="I158" s="719">
        <v>46092</v>
      </c>
      <c r="J158" s="705" t="s">
        <v>366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3" t="s">
        <v>360</v>
      </c>
      <c r="C159" s="705" t="s">
        <v>444</v>
      </c>
      <c r="D159" s="705" t="s">
        <v>461</v>
      </c>
      <c r="E159" s="705" t="s">
        <v>368</v>
      </c>
      <c r="F159" s="705">
        <v>1</v>
      </c>
      <c r="G159" s="705">
        <v>1</v>
      </c>
      <c r="H159" s="719">
        <v>46092</v>
      </c>
      <c r="I159" s="719">
        <v>46092</v>
      </c>
      <c r="J159" s="705" t="s">
        <v>366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3" t="s">
        <v>360</v>
      </c>
      <c r="C160" s="705" t="s">
        <v>444</v>
      </c>
      <c r="D160" s="705" t="s">
        <v>461</v>
      </c>
      <c r="E160" s="705" t="s">
        <v>373</v>
      </c>
      <c r="F160" s="705">
        <v>1</v>
      </c>
      <c r="G160" s="705">
        <v>1</v>
      </c>
      <c r="H160" s="719">
        <v>46092</v>
      </c>
      <c r="I160" s="719">
        <v>46092</v>
      </c>
      <c r="J160" s="705" t="s">
        <v>366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3" t="s">
        <v>360</v>
      </c>
      <c r="C161" s="705" t="s">
        <v>444</v>
      </c>
      <c r="D161" s="705" t="s">
        <v>462</v>
      </c>
      <c r="E161" s="705" t="s">
        <v>368</v>
      </c>
      <c r="F161" s="705">
        <v>1</v>
      </c>
      <c r="G161" s="705">
        <v>1</v>
      </c>
      <c r="H161" s="719">
        <v>46092</v>
      </c>
      <c r="I161" s="719">
        <v>46092</v>
      </c>
      <c r="J161" s="705" t="s">
        <v>366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3" t="s">
        <v>360</v>
      </c>
      <c r="C162" s="705" t="s">
        <v>444</v>
      </c>
      <c r="D162" s="705" t="s">
        <v>462</v>
      </c>
      <c r="E162" s="705" t="s">
        <v>373</v>
      </c>
      <c r="F162" s="705">
        <v>1</v>
      </c>
      <c r="G162" s="705">
        <v>1</v>
      </c>
      <c r="H162" s="719">
        <v>46092</v>
      </c>
      <c r="I162" s="719">
        <v>46092</v>
      </c>
      <c r="J162" s="705" t="s">
        <v>366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3" t="s">
        <v>360</v>
      </c>
      <c r="C163" s="705" t="s">
        <v>444</v>
      </c>
      <c r="D163" s="705" t="s">
        <v>463</v>
      </c>
      <c r="E163" s="705" t="s">
        <v>368</v>
      </c>
      <c r="F163" s="705">
        <v>1</v>
      </c>
      <c r="G163" s="705"/>
      <c r="H163" s="719"/>
      <c r="I163" s="719">
        <v>46129</v>
      </c>
      <c r="J163" s="705" t="s">
        <v>363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3" t="s">
        <v>360</v>
      </c>
      <c r="C164" s="705" t="s">
        <v>444</v>
      </c>
      <c r="D164" s="705" t="s">
        <v>464</v>
      </c>
      <c r="E164" s="705" t="s">
        <v>368</v>
      </c>
      <c r="F164" s="705">
        <v>1</v>
      </c>
      <c r="G164" s="705">
        <v>1</v>
      </c>
      <c r="H164" s="719">
        <v>46097</v>
      </c>
      <c r="I164" s="719">
        <v>46097</v>
      </c>
      <c r="J164" s="705" t="s">
        <v>366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3" t="s">
        <v>360</v>
      </c>
      <c r="C165" s="705" t="s">
        <v>444</v>
      </c>
      <c r="D165" s="705" t="s">
        <v>464</v>
      </c>
      <c r="E165" s="705" t="s">
        <v>373</v>
      </c>
      <c r="F165" s="705">
        <v>1</v>
      </c>
      <c r="G165" s="705">
        <v>1</v>
      </c>
      <c r="H165" s="719">
        <v>46097</v>
      </c>
      <c r="I165" s="719">
        <v>46097</v>
      </c>
      <c r="J165" s="705" t="s">
        <v>366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3" t="s">
        <v>360</v>
      </c>
      <c r="C166" s="705" t="s">
        <v>444</v>
      </c>
      <c r="D166" s="705" t="s">
        <v>465</v>
      </c>
      <c r="E166" s="705" t="s">
        <v>368</v>
      </c>
      <c r="F166" s="705">
        <v>2</v>
      </c>
      <c r="G166" s="705">
        <v>2</v>
      </c>
      <c r="H166" s="719">
        <v>46097</v>
      </c>
      <c r="I166" s="719">
        <v>46097</v>
      </c>
      <c r="J166" s="705" t="s">
        <v>366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3" t="s">
        <v>360</v>
      </c>
      <c r="C167" s="705" t="s">
        <v>444</v>
      </c>
      <c r="D167" s="705" t="s">
        <v>465</v>
      </c>
      <c r="E167" s="705" t="s">
        <v>373</v>
      </c>
      <c r="F167" s="705">
        <v>2</v>
      </c>
      <c r="G167" s="705">
        <v>2</v>
      </c>
      <c r="H167" s="719">
        <v>46097</v>
      </c>
      <c r="I167" s="719">
        <v>46097</v>
      </c>
      <c r="J167" s="705" t="s">
        <v>366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3" t="s">
        <v>360</v>
      </c>
      <c r="C168" s="705" t="s">
        <v>444</v>
      </c>
      <c r="D168" s="705" t="s">
        <v>466</v>
      </c>
      <c r="E168" s="705" t="s">
        <v>368</v>
      </c>
      <c r="F168" s="705">
        <v>1</v>
      </c>
      <c r="G168" s="705">
        <v>1</v>
      </c>
      <c r="H168" s="719">
        <v>46100</v>
      </c>
      <c r="I168" s="719">
        <v>46100</v>
      </c>
      <c r="J168" s="705" t="s">
        <v>366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3" t="s">
        <v>360</v>
      </c>
      <c r="C169" s="705" t="s">
        <v>444</v>
      </c>
      <c r="D169" s="705" t="s">
        <v>466</v>
      </c>
      <c r="E169" s="705" t="s">
        <v>373</v>
      </c>
      <c r="F169" s="705">
        <v>1</v>
      </c>
      <c r="G169" s="705">
        <v>1</v>
      </c>
      <c r="H169" s="719">
        <v>46100</v>
      </c>
      <c r="I169" s="719">
        <v>46100</v>
      </c>
      <c r="J169" s="705" t="s">
        <v>366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3" t="s">
        <v>360</v>
      </c>
      <c r="C170" s="705" t="s">
        <v>444</v>
      </c>
      <c r="D170" s="705" t="s">
        <v>466</v>
      </c>
      <c r="E170" s="705" t="s">
        <v>410</v>
      </c>
      <c r="F170" s="705">
        <v>1</v>
      </c>
      <c r="G170" s="705">
        <v>1</v>
      </c>
      <c r="H170" s="719">
        <v>46094</v>
      </c>
      <c r="I170" s="719">
        <v>46094</v>
      </c>
      <c r="J170" s="705" t="s">
        <v>366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3" t="s">
        <v>360</v>
      </c>
      <c r="C171" s="705" t="s">
        <v>444</v>
      </c>
      <c r="D171" s="705" t="s">
        <v>467</v>
      </c>
      <c r="E171" s="705" t="s">
        <v>368</v>
      </c>
      <c r="F171" s="705">
        <v>1</v>
      </c>
      <c r="G171" s="705">
        <v>1</v>
      </c>
      <c r="H171" s="719">
        <v>46097</v>
      </c>
      <c r="I171" s="719">
        <v>46097</v>
      </c>
      <c r="J171" s="705" t="s">
        <v>366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3" t="s">
        <v>360</v>
      </c>
      <c r="C172" s="705" t="s">
        <v>444</v>
      </c>
      <c r="D172" s="705" t="s">
        <v>467</v>
      </c>
      <c r="E172" s="705" t="s">
        <v>410</v>
      </c>
      <c r="F172" s="705">
        <v>1</v>
      </c>
      <c r="G172" s="705">
        <v>1</v>
      </c>
      <c r="H172" s="719">
        <v>46094</v>
      </c>
      <c r="I172" s="719">
        <v>46094</v>
      </c>
      <c r="J172" s="705" t="s">
        <v>366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3" t="s">
        <v>360</v>
      </c>
      <c r="C173" s="705" t="s">
        <v>444</v>
      </c>
      <c r="D173" s="705" t="s">
        <v>468</v>
      </c>
      <c r="E173" s="705" t="s">
        <v>368</v>
      </c>
      <c r="F173" s="705">
        <v>1</v>
      </c>
      <c r="G173" s="705">
        <v>1</v>
      </c>
      <c r="H173" s="719">
        <v>46097</v>
      </c>
      <c r="I173" s="719">
        <v>46097</v>
      </c>
      <c r="J173" s="705" t="s">
        <v>366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3" t="s">
        <v>360</v>
      </c>
      <c r="C174" s="705" t="s">
        <v>444</v>
      </c>
      <c r="D174" s="705" t="s">
        <v>468</v>
      </c>
      <c r="E174" s="705" t="s">
        <v>410</v>
      </c>
      <c r="F174" s="705">
        <v>1</v>
      </c>
      <c r="G174" s="705">
        <v>1</v>
      </c>
      <c r="H174" s="719">
        <v>46094</v>
      </c>
      <c r="I174" s="719">
        <v>46094</v>
      </c>
      <c r="J174" s="705" t="s">
        <v>366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3" t="s">
        <v>360</v>
      </c>
      <c r="C175" s="705" t="s">
        <v>444</v>
      </c>
      <c r="D175" s="705" t="s">
        <v>469</v>
      </c>
      <c r="E175" s="705" t="s">
        <v>368</v>
      </c>
      <c r="F175" s="705">
        <v>2</v>
      </c>
      <c r="G175" s="705"/>
      <c r="H175" s="719"/>
      <c r="I175" s="719">
        <v>46129</v>
      </c>
      <c r="J175" s="705" t="s">
        <v>363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3" t="s">
        <v>360</v>
      </c>
      <c r="C176" s="705" t="s">
        <v>444</v>
      </c>
      <c r="D176" s="705" t="s">
        <v>469</v>
      </c>
      <c r="E176" s="705" t="s">
        <v>373</v>
      </c>
      <c r="F176" s="705">
        <v>1</v>
      </c>
      <c r="G176" s="705"/>
      <c r="H176" s="719"/>
      <c r="I176" s="719">
        <v>46129</v>
      </c>
      <c r="J176" s="705" t="s">
        <v>363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3" t="s">
        <v>360</v>
      </c>
      <c r="C177" s="705" t="s">
        <v>444</v>
      </c>
      <c r="D177" s="705" t="s">
        <v>470</v>
      </c>
      <c r="E177" s="705" t="s">
        <v>368</v>
      </c>
      <c r="F177" s="705">
        <v>1</v>
      </c>
      <c r="G177" s="705"/>
      <c r="H177" s="719"/>
      <c r="I177" s="719">
        <v>46129</v>
      </c>
      <c r="J177" s="705" t="s">
        <v>363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3" t="s">
        <v>360</v>
      </c>
      <c r="C178" s="705" t="s">
        <v>444</v>
      </c>
      <c r="D178" s="705" t="s">
        <v>470</v>
      </c>
      <c r="E178" s="705" t="s">
        <v>373</v>
      </c>
      <c r="F178" s="705">
        <v>1</v>
      </c>
      <c r="G178" s="705"/>
      <c r="H178" s="719"/>
      <c r="I178" s="719">
        <v>46129</v>
      </c>
      <c r="J178" s="705" t="s">
        <v>363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3" t="s">
        <v>360</v>
      </c>
      <c r="C179" s="705" t="s">
        <v>444</v>
      </c>
      <c r="D179" s="705" t="s">
        <v>471</v>
      </c>
      <c r="E179" s="705" t="s">
        <v>368</v>
      </c>
      <c r="F179" s="705">
        <v>1</v>
      </c>
      <c r="G179" s="705"/>
      <c r="H179" s="719"/>
      <c r="I179" s="719">
        <v>46129</v>
      </c>
      <c r="J179" s="705" t="s">
        <v>363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3" t="s">
        <v>360</v>
      </c>
      <c r="C180" s="705" t="s">
        <v>444</v>
      </c>
      <c r="D180" s="705" t="s">
        <v>471</v>
      </c>
      <c r="E180" s="705" t="s">
        <v>373</v>
      </c>
      <c r="F180" s="705">
        <v>1</v>
      </c>
      <c r="G180" s="705"/>
      <c r="H180" s="719"/>
      <c r="I180" s="719">
        <v>46129</v>
      </c>
      <c r="J180" s="705" t="s">
        <v>363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3" t="s">
        <v>360</v>
      </c>
      <c r="C181" s="705" t="s">
        <v>444</v>
      </c>
      <c r="D181" s="705" t="s">
        <v>471</v>
      </c>
      <c r="E181" s="705" t="s">
        <v>410</v>
      </c>
      <c r="F181" s="705">
        <v>1</v>
      </c>
      <c r="G181" s="705">
        <v>1</v>
      </c>
      <c r="H181" s="719">
        <v>46094</v>
      </c>
      <c r="I181" s="719">
        <v>46094</v>
      </c>
      <c r="J181" s="705" t="s">
        <v>366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3" t="s">
        <v>360</v>
      </c>
      <c r="C182" s="705" t="s">
        <v>444</v>
      </c>
      <c r="D182" s="705" t="s">
        <v>472</v>
      </c>
      <c r="E182" s="705" t="s">
        <v>368</v>
      </c>
      <c r="F182" s="705">
        <v>1</v>
      </c>
      <c r="G182" s="705"/>
      <c r="H182" s="719"/>
      <c r="I182" s="719">
        <v>46129</v>
      </c>
      <c r="J182" s="705" t="s">
        <v>363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3" t="s">
        <v>360</v>
      </c>
      <c r="C183" s="705" t="s">
        <v>444</v>
      </c>
      <c r="D183" s="705" t="s">
        <v>472</v>
      </c>
      <c r="E183" s="705" t="s">
        <v>373</v>
      </c>
      <c r="F183" s="705">
        <v>1</v>
      </c>
      <c r="G183" s="705"/>
      <c r="H183" s="719"/>
      <c r="I183" s="719">
        <v>46129</v>
      </c>
      <c r="J183" s="705" t="s">
        <v>363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3" t="s">
        <v>360</v>
      </c>
      <c r="C184" s="705" t="s">
        <v>444</v>
      </c>
      <c r="D184" s="705" t="s">
        <v>472</v>
      </c>
      <c r="E184" s="705" t="s">
        <v>410</v>
      </c>
      <c r="F184" s="705">
        <v>1</v>
      </c>
      <c r="G184" s="705">
        <v>1</v>
      </c>
      <c r="H184" s="719">
        <v>46094</v>
      </c>
      <c r="I184" s="719">
        <v>46094</v>
      </c>
      <c r="J184" s="705" t="s">
        <v>366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3" t="s">
        <v>360</v>
      </c>
      <c r="C185" s="705" t="s">
        <v>444</v>
      </c>
      <c r="D185" s="705" t="s">
        <v>473</v>
      </c>
      <c r="E185" s="705" t="s">
        <v>373</v>
      </c>
      <c r="F185" s="705">
        <v>1</v>
      </c>
      <c r="G185" s="705">
        <v>1</v>
      </c>
      <c r="H185" s="719">
        <v>46100</v>
      </c>
      <c r="I185" s="719">
        <v>46100</v>
      </c>
      <c r="J185" s="705" t="s">
        <v>366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3" t="s">
        <v>360</v>
      </c>
      <c r="C186" s="705" t="s">
        <v>444</v>
      </c>
      <c r="D186" s="705" t="s">
        <v>474</v>
      </c>
      <c r="E186" s="705" t="s">
        <v>368</v>
      </c>
      <c r="F186" s="705">
        <v>1</v>
      </c>
      <c r="G186" s="705">
        <v>1</v>
      </c>
      <c r="H186" s="719">
        <v>46100</v>
      </c>
      <c r="I186" s="719">
        <v>46100</v>
      </c>
      <c r="J186" s="705" t="s">
        <v>366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3" t="s">
        <v>360</v>
      </c>
      <c r="C187" s="705" t="s">
        <v>444</v>
      </c>
      <c r="D187" s="705" t="s">
        <v>474</v>
      </c>
      <c r="E187" s="705" t="s">
        <v>373</v>
      </c>
      <c r="F187" s="705">
        <v>1</v>
      </c>
      <c r="G187" s="705">
        <v>1</v>
      </c>
      <c r="H187" s="719">
        <v>46100</v>
      </c>
      <c r="I187" s="719">
        <v>46100</v>
      </c>
      <c r="J187" s="705" t="s">
        <v>366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3" t="s">
        <v>360</v>
      </c>
      <c r="C188" s="705" t="s">
        <v>444</v>
      </c>
      <c r="D188" s="705" t="s">
        <v>475</v>
      </c>
      <c r="E188" s="705" t="s">
        <v>368</v>
      </c>
      <c r="F188" s="705">
        <v>1</v>
      </c>
      <c r="G188" s="705">
        <v>1</v>
      </c>
      <c r="H188" s="719">
        <v>46100</v>
      </c>
      <c r="I188" s="719">
        <v>46100</v>
      </c>
      <c r="J188" s="705" t="s">
        <v>366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3" t="s">
        <v>360</v>
      </c>
      <c r="C189" s="705" t="s">
        <v>444</v>
      </c>
      <c r="D189" s="705" t="s">
        <v>476</v>
      </c>
      <c r="E189" s="705" t="s">
        <v>368</v>
      </c>
      <c r="F189" s="705">
        <v>1</v>
      </c>
      <c r="G189" s="705">
        <v>1</v>
      </c>
      <c r="H189" s="719">
        <v>46100</v>
      </c>
      <c r="I189" s="719">
        <v>46100</v>
      </c>
      <c r="J189" s="705" t="s">
        <v>366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3" t="s">
        <v>360</v>
      </c>
      <c r="C190" s="705" t="s">
        <v>444</v>
      </c>
      <c r="D190" s="705" t="s">
        <v>477</v>
      </c>
      <c r="E190" s="705" t="s">
        <v>368</v>
      </c>
      <c r="F190" s="705">
        <v>1</v>
      </c>
      <c r="G190" s="705">
        <v>1</v>
      </c>
      <c r="H190" s="719">
        <v>46100</v>
      </c>
      <c r="I190" s="719">
        <v>46100</v>
      </c>
      <c r="J190" s="705" t="s">
        <v>366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3" t="s">
        <v>360</v>
      </c>
      <c r="C191" s="705" t="s">
        <v>444</v>
      </c>
      <c r="D191" s="705" t="s">
        <v>477</v>
      </c>
      <c r="E191" s="705" t="s">
        <v>373</v>
      </c>
      <c r="F191" s="705">
        <v>1</v>
      </c>
      <c r="G191" s="705">
        <v>1</v>
      </c>
      <c r="H191" s="719">
        <v>46100</v>
      </c>
      <c r="I191" s="719">
        <v>46100</v>
      </c>
      <c r="J191" s="705" t="s">
        <v>366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3" t="s">
        <v>360</v>
      </c>
      <c r="C192" s="705" t="s">
        <v>444</v>
      </c>
      <c r="D192" s="705" t="s">
        <v>478</v>
      </c>
      <c r="E192" s="705" t="s">
        <v>368</v>
      </c>
      <c r="F192" s="705">
        <v>1</v>
      </c>
      <c r="G192" s="705">
        <v>1</v>
      </c>
      <c r="H192" s="719">
        <v>46100</v>
      </c>
      <c r="I192" s="719">
        <v>46100</v>
      </c>
      <c r="J192" s="705" t="s">
        <v>366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3" t="s">
        <v>360</v>
      </c>
      <c r="C193" s="705" t="s">
        <v>479</v>
      </c>
      <c r="D193" s="705" t="s">
        <v>40</v>
      </c>
      <c r="E193" s="705" t="s">
        <v>362</v>
      </c>
      <c r="F193" s="705">
        <v>19</v>
      </c>
      <c r="G193" s="705"/>
      <c r="H193" s="719"/>
      <c r="I193" s="719">
        <v>46113</v>
      </c>
      <c r="J193" s="705" t="s">
        <v>363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3" t="s">
        <v>360</v>
      </c>
      <c r="C194" s="705" t="s">
        <v>479</v>
      </c>
      <c r="D194" s="705" t="s">
        <v>480</v>
      </c>
      <c r="E194" s="705" t="s">
        <v>368</v>
      </c>
      <c r="F194" s="705">
        <v>2</v>
      </c>
      <c r="G194" s="705">
        <v>1</v>
      </c>
      <c r="H194" s="719">
        <v>46063</v>
      </c>
      <c r="I194" s="719">
        <v>46114</v>
      </c>
      <c r="J194" s="705" t="s">
        <v>363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3" t="s">
        <v>360</v>
      </c>
      <c r="C195" s="705" t="s">
        <v>479</v>
      </c>
      <c r="D195" s="705" t="s">
        <v>480</v>
      </c>
      <c r="E195" s="705" t="s">
        <v>373</v>
      </c>
      <c r="F195" s="705">
        <v>1</v>
      </c>
      <c r="G195" s="705"/>
      <c r="H195" s="719"/>
      <c r="I195" s="719">
        <v>46114</v>
      </c>
      <c r="J195" s="705" t="s">
        <v>363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3" t="s">
        <v>360</v>
      </c>
      <c r="C196" s="705" t="s">
        <v>479</v>
      </c>
      <c r="D196" s="705" t="s">
        <v>481</v>
      </c>
      <c r="E196" s="705" t="s">
        <v>368</v>
      </c>
      <c r="F196" s="705">
        <v>2</v>
      </c>
      <c r="G196" s="705"/>
      <c r="H196" s="719"/>
      <c r="I196" s="719">
        <v>46114</v>
      </c>
      <c r="J196" s="705" t="s">
        <v>363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3" t="s">
        <v>360</v>
      </c>
      <c r="C197" s="705" t="s">
        <v>479</v>
      </c>
      <c r="D197" s="705" t="s">
        <v>482</v>
      </c>
      <c r="E197" s="705" t="s">
        <v>368</v>
      </c>
      <c r="F197" s="705">
        <v>1</v>
      </c>
      <c r="G197" s="705"/>
      <c r="H197" s="719"/>
      <c r="I197" s="719">
        <v>46114</v>
      </c>
      <c r="J197" s="705" t="s">
        <v>363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3" t="s">
        <v>360</v>
      </c>
      <c r="C198" s="705" t="s">
        <v>479</v>
      </c>
      <c r="D198" s="705" t="s">
        <v>482</v>
      </c>
      <c r="E198" s="705" t="s">
        <v>373</v>
      </c>
      <c r="F198" s="705">
        <v>1</v>
      </c>
      <c r="G198" s="705"/>
      <c r="H198" s="719"/>
      <c r="I198" s="719">
        <v>46114</v>
      </c>
      <c r="J198" s="705" t="s">
        <v>363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3" t="s">
        <v>360</v>
      </c>
      <c r="C199" s="705" t="s">
        <v>479</v>
      </c>
      <c r="D199" s="705" t="s">
        <v>483</v>
      </c>
      <c r="E199" s="705" t="s">
        <v>484</v>
      </c>
      <c r="F199" s="705">
        <v>4</v>
      </c>
      <c r="G199" s="705">
        <v>4</v>
      </c>
      <c r="H199" s="719">
        <v>46063</v>
      </c>
      <c r="I199" s="719">
        <v>46063</v>
      </c>
      <c r="J199" s="705" t="s">
        <v>366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3" t="s">
        <v>360</v>
      </c>
      <c r="C200" s="705" t="s">
        <v>479</v>
      </c>
      <c r="D200" s="705" t="s">
        <v>483</v>
      </c>
      <c r="E200" s="705" t="s">
        <v>368</v>
      </c>
      <c r="F200" s="705">
        <v>10</v>
      </c>
      <c r="G200" s="705"/>
      <c r="H200" s="719"/>
      <c r="I200" s="719">
        <v>46119</v>
      </c>
      <c r="J200" s="705" t="s">
        <v>363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3" t="s">
        <v>360</v>
      </c>
      <c r="C201" s="705" t="s">
        <v>479</v>
      </c>
      <c r="D201" s="705" t="s">
        <v>483</v>
      </c>
      <c r="E201" s="705" t="s">
        <v>373</v>
      </c>
      <c r="F201" s="705">
        <v>2</v>
      </c>
      <c r="G201" s="705"/>
      <c r="H201" s="719"/>
      <c r="I201" s="719">
        <v>46119</v>
      </c>
      <c r="J201" s="705" t="s">
        <v>363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3" t="s">
        <v>360</v>
      </c>
      <c r="C202" s="705" t="s">
        <v>479</v>
      </c>
      <c r="D202" s="705" t="s">
        <v>483</v>
      </c>
      <c r="E202" s="705" t="s">
        <v>410</v>
      </c>
      <c r="F202" s="705">
        <v>2</v>
      </c>
      <c r="G202" s="705"/>
      <c r="H202" s="719"/>
      <c r="I202" s="719">
        <v>46119</v>
      </c>
      <c r="J202" s="705" t="s">
        <v>363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3" t="s">
        <v>360</v>
      </c>
      <c r="C203" s="705" t="s">
        <v>479</v>
      </c>
      <c r="D203" s="705" t="s">
        <v>483</v>
      </c>
      <c r="E203" s="705" t="s">
        <v>485</v>
      </c>
      <c r="F203" s="705">
        <v>2</v>
      </c>
      <c r="G203" s="705">
        <v>2</v>
      </c>
      <c r="H203" s="719">
        <v>46063</v>
      </c>
      <c r="I203" s="719">
        <v>46063</v>
      </c>
      <c r="J203" s="705" t="s">
        <v>366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3" t="s">
        <v>360</v>
      </c>
      <c r="C204" s="705" t="s">
        <v>479</v>
      </c>
      <c r="D204" s="705" t="s">
        <v>483</v>
      </c>
      <c r="E204" s="705" t="s">
        <v>486</v>
      </c>
      <c r="F204" s="705">
        <v>3</v>
      </c>
      <c r="G204" s="705">
        <v>3</v>
      </c>
      <c r="H204" s="719">
        <v>46063</v>
      </c>
      <c r="I204" s="719">
        <v>46063</v>
      </c>
      <c r="J204" s="705" t="s">
        <v>366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3" t="s">
        <v>360</v>
      </c>
      <c r="C205" s="705" t="s">
        <v>479</v>
      </c>
      <c r="D205" s="705" t="s">
        <v>483</v>
      </c>
      <c r="E205" s="705" t="s">
        <v>487</v>
      </c>
      <c r="F205" s="705">
        <v>1</v>
      </c>
      <c r="G205" s="705">
        <v>1</v>
      </c>
      <c r="H205" s="719">
        <v>46063</v>
      </c>
      <c r="I205" s="719">
        <v>46063</v>
      </c>
      <c r="J205" s="705" t="s">
        <v>366</v>
      </c>
      <c r="K205" t="str">
        <f t="shared" si="11"/>
        <v>Infra</v>
      </c>
      <c r="L205" s="648" t="s">
        <v>424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3" t="s">
        <v>360</v>
      </c>
      <c r="C206" s="705" t="s">
        <v>479</v>
      </c>
      <c r="D206" s="705" t="s">
        <v>488</v>
      </c>
      <c r="E206" s="705" t="s">
        <v>368</v>
      </c>
      <c r="F206" s="705">
        <v>1</v>
      </c>
      <c r="G206" s="705"/>
      <c r="H206" s="719"/>
      <c r="I206" s="719">
        <v>46120</v>
      </c>
      <c r="J206" s="705" t="s">
        <v>363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3" t="s">
        <v>360</v>
      </c>
      <c r="C207" s="705" t="s">
        <v>479</v>
      </c>
      <c r="D207" s="705" t="s">
        <v>488</v>
      </c>
      <c r="E207" s="705" t="s">
        <v>373</v>
      </c>
      <c r="F207" s="705">
        <v>1</v>
      </c>
      <c r="G207" s="705"/>
      <c r="H207" s="719"/>
      <c r="I207" s="719">
        <v>46120</v>
      </c>
      <c r="J207" s="705" t="s">
        <v>363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3" t="s">
        <v>360</v>
      </c>
      <c r="C208" s="705" t="s">
        <v>479</v>
      </c>
      <c r="D208" s="705" t="s">
        <v>489</v>
      </c>
      <c r="E208" s="705" t="s">
        <v>368</v>
      </c>
      <c r="F208" s="705">
        <v>1</v>
      </c>
      <c r="G208" s="705"/>
      <c r="H208" s="719"/>
      <c r="I208" s="719">
        <v>46120</v>
      </c>
      <c r="J208" s="705" t="s">
        <v>363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3" t="s">
        <v>360</v>
      </c>
      <c r="C209" s="705" t="s">
        <v>479</v>
      </c>
      <c r="D209" s="705" t="s">
        <v>489</v>
      </c>
      <c r="E209" s="705" t="s">
        <v>373</v>
      </c>
      <c r="F209" s="705">
        <v>1</v>
      </c>
      <c r="G209" s="705"/>
      <c r="H209" s="719"/>
      <c r="I209" s="719">
        <v>46120</v>
      </c>
      <c r="J209" s="705" t="s">
        <v>363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3" t="s">
        <v>360</v>
      </c>
      <c r="C210" s="705" t="s">
        <v>479</v>
      </c>
      <c r="D210" s="705" t="s">
        <v>490</v>
      </c>
      <c r="E210" s="705" t="s">
        <v>368</v>
      </c>
      <c r="F210" s="705">
        <v>1</v>
      </c>
      <c r="G210" s="705"/>
      <c r="H210" s="719"/>
      <c r="I210" s="719">
        <v>46120</v>
      </c>
      <c r="J210" s="705" t="s">
        <v>363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3" t="s">
        <v>360</v>
      </c>
      <c r="C211" s="705" t="s">
        <v>479</v>
      </c>
      <c r="D211" s="705" t="s">
        <v>490</v>
      </c>
      <c r="E211" s="705" t="s">
        <v>373</v>
      </c>
      <c r="F211" s="705">
        <v>1</v>
      </c>
      <c r="G211" s="705"/>
      <c r="H211" s="719"/>
      <c r="I211" s="719">
        <v>46120</v>
      </c>
      <c r="J211" s="705" t="s">
        <v>363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3" t="s">
        <v>360</v>
      </c>
      <c r="C212" s="705" t="s">
        <v>479</v>
      </c>
      <c r="D212" s="704" t="s">
        <v>491</v>
      </c>
      <c r="E212" s="705" t="s">
        <v>368</v>
      </c>
      <c r="F212" s="705">
        <v>4</v>
      </c>
      <c r="G212" s="705"/>
      <c r="H212" s="719"/>
      <c r="I212" s="719">
        <v>46120</v>
      </c>
      <c r="J212" s="705" t="s">
        <v>363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3" t="s">
        <v>360</v>
      </c>
      <c r="C213" s="705" t="s">
        <v>479</v>
      </c>
      <c r="D213" s="704" t="s">
        <v>491</v>
      </c>
      <c r="E213" s="705" t="s">
        <v>373</v>
      </c>
      <c r="F213" s="705">
        <v>4</v>
      </c>
      <c r="G213" s="705"/>
      <c r="H213" s="719"/>
      <c r="I213" s="719">
        <v>46120</v>
      </c>
      <c r="J213" s="705" t="s">
        <v>363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3" t="s">
        <v>360</v>
      </c>
      <c r="C214" s="705" t="s">
        <v>492</v>
      </c>
      <c r="D214" s="705" t="s">
        <v>493</v>
      </c>
      <c r="E214" s="705" t="s">
        <v>368</v>
      </c>
      <c r="F214" s="705">
        <v>2</v>
      </c>
      <c r="G214" s="705">
        <v>2</v>
      </c>
      <c r="H214" s="719">
        <v>46097</v>
      </c>
      <c r="I214" s="719">
        <v>46097</v>
      </c>
      <c r="J214" s="705" t="s">
        <v>366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3" t="s">
        <v>360</v>
      </c>
      <c r="C215" s="705" t="s">
        <v>492</v>
      </c>
      <c r="D215" s="705" t="s">
        <v>493</v>
      </c>
      <c r="E215" s="705" t="s">
        <v>373</v>
      </c>
      <c r="F215" s="705">
        <v>1</v>
      </c>
      <c r="G215" s="705">
        <v>1</v>
      </c>
      <c r="H215" s="719">
        <v>46097</v>
      </c>
      <c r="I215" s="719">
        <v>46097</v>
      </c>
      <c r="J215" s="705" t="s">
        <v>366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3" t="s">
        <v>360</v>
      </c>
      <c r="C216" s="705" t="s">
        <v>492</v>
      </c>
      <c r="D216" s="705" t="s">
        <v>493</v>
      </c>
      <c r="E216" s="705" t="s">
        <v>408</v>
      </c>
      <c r="F216" s="705">
        <v>1</v>
      </c>
      <c r="G216" s="705">
        <v>1</v>
      </c>
      <c r="H216" s="719">
        <v>46087</v>
      </c>
      <c r="I216" s="719">
        <v>46087</v>
      </c>
      <c r="J216" s="705" t="s">
        <v>366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3" t="s">
        <v>360</v>
      </c>
      <c r="C217" s="705" t="s">
        <v>492</v>
      </c>
      <c r="D217" s="705" t="s">
        <v>494</v>
      </c>
      <c r="E217" s="705" t="s">
        <v>368</v>
      </c>
      <c r="F217" s="705">
        <v>1</v>
      </c>
      <c r="G217" s="705">
        <v>1</v>
      </c>
      <c r="H217" s="719">
        <v>46097</v>
      </c>
      <c r="I217" s="719">
        <v>46097</v>
      </c>
      <c r="J217" s="705" t="s">
        <v>366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3" t="s">
        <v>360</v>
      </c>
      <c r="C218" s="705" t="s">
        <v>492</v>
      </c>
      <c r="D218" s="705" t="s">
        <v>494</v>
      </c>
      <c r="E218" s="705" t="s">
        <v>373</v>
      </c>
      <c r="F218" s="705">
        <v>1</v>
      </c>
      <c r="G218" s="705">
        <v>1</v>
      </c>
      <c r="H218" s="719">
        <v>46097</v>
      </c>
      <c r="I218" s="719">
        <v>46097</v>
      </c>
      <c r="J218" s="705" t="s">
        <v>366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3" t="s">
        <v>360</v>
      </c>
      <c r="C219" s="705" t="s">
        <v>492</v>
      </c>
      <c r="D219" s="705" t="s">
        <v>494</v>
      </c>
      <c r="E219" s="705" t="s">
        <v>408</v>
      </c>
      <c r="F219" s="705">
        <v>1</v>
      </c>
      <c r="G219" s="705">
        <v>1</v>
      </c>
      <c r="H219" s="719">
        <v>46087</v>
      </c>
      <c r="I219" s="719">
        <v>46087</v>
      </c>
      <c r="J219" s="705" t="s">
        <v>366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3" t="s">
        <v>360</v>
      </c>
      <c r="C220" s="705" t="s">
        <v>492</v>
      </c>
      <c r="D220" s="705" t="s">
        <v>495</v>
      </c>
      <c r="E220" s="705" t="s">
        <v>368</v>
      </c>
      <c r="F220" s="705">
        <v>2</v>
      </c>
      <c r="G220" s="705">
        <v>2</v>
      </c>
      <c r="H220" s="719">
        <v>46099</v>
      </c>
      <c r="I220" s="719">
        <v>46099</v>
      </c>
      <c r="J220" s="705" t="s">
        <v>366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3" t="s">
        <v>360</v>
      </c>
      <c r="C221" s="705" t="s">
        <v>492</v>
      </c>
      <c r="D221" s="705" t="s">
        <v>495</v>
      </c>
      <c r="E221" s="705" t="s">
        <v>373</v>
      </c>
      <c r="F221" s="705">
        <v>1</v>
      </c>
      <c r="G221" s="705">
        <v>1</v>
      </c>
      <c r="H221" s="719">
        <v>46099</v>
      </c>
      <c r="I221" s="719">
        <v>46099</v>
      </c>
      <c r="J221" s="705" t="s">
        <v>366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3" t="s">
        <v>360</v>
      </c>
      <c r="C222" s="705" t="s">
        <v>492</v>
      </c>
      <c r="D222" s="705" t="s">
        <v>495</v>
      </c>
      <c r="E222" s="705" t="s">
        <v>408</v>
      </c>
      <c r="F222" s="705">
        <v>1</v>
      </c>
      <c r="G222" s="705">
        <v>1</v>
      </c>
      <c r="H222" s="719">
        <v>46087</v>
      </c>
      <c r="I222" s="719">
        <v>46087</v>
      </c>
      <c r="J222" s="705" t="s">
        <v>366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3" t="s">
        <v>360</v>
      </c>
      <c r="C223" s="705" t="s">
        <v>492</v>
      </c>
      <c r="D223" s="705" t="s">
        <v>496</v>
      </c>
      <c r="E223" s="705" t="s">
        <v>368</v>
      </c>
      <c r="F223" s="705">
        <v>1</v>
      </c>
      <c r="G223" s="705">
        <v>1</v>
      </c>
      <c r="H223" s="719">
        <v>46097</v>
      </c>
      <c r="I223" s="719">
        <v>46097</v>
      </c>
      <c r="J223" s="705" t="s">
        <v>366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3" t="s">
        <v>360</v>
      </c>
      <c r="C224" s="705" t="s">
        <v>492</v>
      </c>
      <c r="D224" s="705" t="s">
        <v>496</v>
      </c>
      <c r="E224" s="705" t="s">
        <v>373</v>
      </c>
      <c r="F224" s="705">
        <v>1</v>
      </c>
      <c r="G224" s="705">
        <v>1</v>
      </c>
      <c r="H224" s="719">
        <v>46097</v>
      </c>
      <c r="I224" s="719">
        <v>46097</v>
      </c>
      <c r="J224" s="705" t="s">
        <v>366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3" t="s">
        <v>360</v>
      </c>
      <c r="C225" s="705" t="s">
        <v>492</v>
      </c>
      <c r="D225" s="705" t="s">
        <v>496</v>
      </c>
      <c r="E225" s="705" t="s">
        <v>408</v>
      </c>
      <c r="F225" s="705">
        <v>1</v>
      </c>
      <c r="G225" s="705">
        <v>1</v>
      </c>
      <c r="H225" s="719">
        <v>46087</v>
      </c>
      <c r="I225" s="719">
        <v>46087</v>
      </c>
      <c r="J225" s="705" t="s">
        <v>366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3" t="s">
        <v>360</v>
      </c>
      <c r="C226" s="705" t="s">
        <v>492</v>
      </c>
      <c r="D226" s="705" t="s">
        <v>497</v>
      </c>
      <c r="E226" s="705" t="s">
        <v>368</v>
      </c>
      <c r="F226" s="705">
        <v>1</v>
      </c>
      <c r="G226" s="705">
        <v>1</v>
      </c>
      <c r="H226" s="719">
        <v>46097</v>
      </c>
      <c r="I226" s="719">
        <v>46097</v>
      </c>
      <c r="J226" s="705" t="s">
        <v>366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3" t="s">
        <v>360</v>
      </c>
      <c r="C227" s="705" t="s">
        <v>492</v>
      </c>
      <c r="D227" s="705" t="s">
        <v>497</v>
      </c>
      <c r="E227" s="705" t="s">
        <v>373</v>
      </c>
      <c r="F227" s="705">
        <v>2</v>
      </c>
      <c r="G227" s="705">
        <v>2</v>
      </c>
      <c r="H227" s="719">
        <v>46097</v>
      </c>
      <c r="I227" s="719">
        <v>46097</v>
      </c>
      <c r="J227" s="705" t="s">
        <v>366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3" t="s">
        <v>360</v>
      </c>
      <c r="C228" s="705" t="s">
        <v>492</v>
      </c>
      <c r="D228" s="705" t="s">
        <v>497</v>
      </c>
      <c r="E228" s="705" t="s">
        <v>408</v>
      </c>
      <c r="F228" s="705">
        <v>1</v>
      </c>
      <c r="G228" s="705">
        <v>1</v>
      </c>
      <c r="H228" s="719">
        <v>46087</v>
      </c>
      <c r="I228" s="719">
        <v>46087</v>
      </c>
      <c r="J228" s="705" t="s">
        <v>366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3" t="s">
        <v>360</v>
      </c>
      <c r="C229" s="705" t="s">
        <v>492</v>
      </c>
      <c r="D229" s="705" t="s">
        <v>498</v>
      </c>
      <c r="E229" s="705" t="s">
        <v>368</v>
      </c>
      <c r="F229" s="705">
        <v>1</v>
      </c>
      <c r="G229" s="705">
        <v>1</v>
      </c>
      <c r="H229" s="719">
        <v>46070</v>
      </c>
      <c r="I229" s="719">
        <v>46070</v>
      </c>
      <c r="J229" s="705" t="s">
        <v>366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3" t="s">
        <v>360</v>
      </c>
      <c r="C230" s="705" t="s">
        <v>492</v>
      </c>
      <c r="D230" s="705" t="s">
        <v>498</v>
      </c>
      <c r="E230" s="705" t="s">
        <v>373</v>
      </c>
      <c r="F230" s="705">
        <v>1</v>
      </c>
      <c r="G230" s="705">
        <v>1</v>
      </c>
      <c r="H230" s="719">
        <v>46070</v>
      </c>
      <c r="I230" s="719">
        <v>46070</v>
      </c>
      <c r="J230" s="705" t="s">
        <v>366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3" t="s">
        <v>360</v>
      </c>
      <c r="C231" s="705" t="s">
        <v>492</v>
      </c>
      <c r="D231" s="705" t="s">
        <v>499</v>
      </c>
      <c r="E231" s="705" t="s">
        <v>368</v>
      </c>
      <c r="F231" s="705">
        <v>1</v>
      </c>
      <c r="G231" s="705"/>
      <c r="H231" s="719"/>
      <c r="I231" s="719">
        <v>46132</v>
      </c>
      <c r="J231" s="705" t="s">
        <v>363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3" t="s">
        <v>360</v>
      </c>
      <c r="C232" s="705" t="s">
        <v>492</v>
      </c>
      <c r="D232" s="705" t="s">
        <v>499</v>
      </c>
      <c r="E232" s="705" t="s">
        <v>373</v>
      </c>
      <c r="F232" s="705">
        <v>1</v>
      </c>
      <c r="G232" s="705"/>
      <c r="H232" s="719"/>
      <c r="I232" s="719">
        <v>46132</v>
      </c>
      <c r="J232" s="705" t="s">
        <v>363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3" t="s">
        <v>360</v>
      </c>
      <c r="C233" s="705" t="s">
        <v>492</v>
      </c>
      <c r="D233" s="705" t="s">
        <v>500</v>
      </c>
      <c r="E233" s="705" t="s">
        <v>368</v>
      </c>
      <c r="F233" s="705">
        <v>1</v>
      </c>
      <c r="G233" s="705">
        <v>1</v>
      </c>
      <c r="H233" s="719">
        <v>46100</v>
      </c>
      <c r="I233" s="719">
        <v>46100</v>
      </c>
      <c r="J233" s="705" t="s">
        <v>366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3" t="s">
        <v>360</v>
      </c>
      <c r="C234" s="705" t="s">
        <v>492</v>
      </c>
      <c r="D234" s="705" t="s">
        <v>500</v>
      </c>
      <c r="E234" s="705" t="s">
        <v>373</v>
      </c>
      <c r="F234" s="705">
        <v>1</v>
      </c>
      <c r="G234" s="705">
        <v>1</v>
      </c>
      <c r="H234" s="719">
        <v>46100</v>
      </c>
      <c r="I234" s="719">
        <v>46100</v>
      </c>
      <c r="J234" s="705" t="s">
        <v>366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3" t="s">
        <v>360</v>
      </c>
      <c r="C235" s="705" t="s">
        <v>492</v>
      </c>
      <c r="D235" s="705" t="s">
        <v>501</v>
      </c>
      <c r="E235" s="705" t="s">
        <v>368</v>
      </c>
      <c r="F235" s="705">
        <v>1</v>
      </c>
      <c r="G235" s="705">
        <v>1</v>
      </c>
      <c r="H235" s="719">
        <v>46100</v>
      </c>
      <c r="I235" s="719">
        <v>46100</v>
      </c>
      <c r="J235" s="705" t="s">
        <v>366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3" t="s">
        <v>360</v>
      </c>
      <c r="C236" s="705" t="s">
        <v>492</v>
      </c>
      <c r="D236" s="705" t="s">
        <v>501</v>
      </c>
      <c r="E236" s="705" t="s">
        <v>373</v>
      </c>
      <c r="F236" s="705">
        <v>1</v>
      </c>
      <c r="G236" s="705">
        <v>1</v>
      </c>
      <c r="H236" s="719">
        <v>46100</v>
      </c>
      <c r="I236" s="719">
        <v>46100</v>
      </c>
      <c r="J236" s="705" t="s">
        <v>366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3" t="s">
        <v>360</v>
      </c>
      <c r="C237" s="705" t="s">
        <v>492</v>
      </c>
      <c r="D237" s="705" t="s">
        <v>502</v>
      </c>
      <c r="E237" s="705" t="s">
        <v>368</v>
      </c>
      <c r="F237" s="705">
        <v>1</v>
      </c>
      <c r="G237" s="705">
        <v>1</v>
      </c>
      <c r="H237" s="719">
        <v>46101</v>
      </c>
      <c r="I237" s="719">
        <v>46133</v>
      </c>
      <c r="J237" s="705" t="s">
        <v>363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3" t="s">
        <v>360</v>
      </c>
      <c r="C238" s="705" t="s">
        <v>492</v>
      </c>
      <c r="D238" s="705" t="s">
        <v>502</v>
      </c>
      <c r="E238" s="705" t="s">
        <v>373</v>
      </c>
      <c r="F238" s="705">
        <v>1</v>
      </c>
      <c r="G238" s="705">
        <v>1</v>
      </c>
      <c r="H238" s="719">
        <v>46101</v>
      </c>
      <c r="I238" s="719">
        <v>46133</v>
      </c>
      <c r="J238" s="705" t="s">
        <v>363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3" t="s">
        <v>360</v>
      </c>
      <c r="C239" s="705" t="s">
        <v>492</v>
      </c>
      <c r="D239" s="705" t="s">
        <v>503</v>
      </c>
      <c r="E239" s="705" t="s">
        <v>368</v>
      </c>
      <c r="F239" s="705">
        <v>1</v>
      </c>
      <c r="G239" s="705">
        <v>1</v>
      </c>
      <c r="H239" s="719">
        <v>46101</v>
      </c>
      <c r="I239" s="719">
        <v>46133</v>
      </c>
      <c r="J239" s="705" t="s">
        <v>363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3" t="s">
        <v>360</v>
      </c>
      <c r="C240" s="705" t="s">
        <v>492</v>
      </c>
      <c r="D240" s="705" t="s">
        <v>503</v>
      </c>
      <c r="E240" s="705" t="s">
        <v>373</v>
      </c>
      <c r="F240" s="705">
        <v>1</v>
      </c>
      <c r="G240" s="705">
        <v>1</v>
      </c>
      <c r="H240" s="719">
        <v>46101</v>
      </c>
      <c r="I240" s="719">
        <v>46133</v>
      </c>
      <c r="J240" s="705" t="s">
        <v>363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3" t="s">
        <v>360</v>
      </c>
      <c r="C241" s="705" t="s">
        <v>492</v>
      </c>
      <c r="D241" s="705" t="s">
        <v>504</v>
      </c>
      <c r="E241" s="705" t="s">
        <v>368</v>
      </c>
      <c r="F241" s="705">
        <v>1</v>
      </c>
      <c r="G241" s="705">
        <v>1</v>
      </c>
      <c r="H241" s="719">
        <v>46101</v>
      </c>
      <c r="I241" s="719">
        <v>46133</v>
      </c>
      <c r="J241" s="705" t="s">
        <v>363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3" t="s">
        <v>360</v>
      </c>
      <c r="C242" s="705" t="s">
        <v>492</v>
      </c>
      <c r="D242" s="705" t="s">
        <v>504</v>
      </c>
      <c r="E242" s="705" t="s">
        <v>373</v>
      </c>
      <c r="F242" s="705">
        <v>1</v>
      </c>
      <c r="G242" s="705">
        <v>1</v>
      </c>
      <c r="H242" s="719">
        <v>46101</v>
      </c>
      <c r="I242" s="719">
        <v>46133</v>
      </c>
      <c r="J242" s="705" t="s">
        <v>363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3" t="s">
        <v>360</v>
      </c>
      <c r="C243" s="705" t="s">
        <v>492</v>
      </c>
      <c r="D243" s="705" t="s">
        <v>504</v>
      </c>
      <c r="E243" s="705" t="s">
        <v>408</v>
      </c>
      <c r="F243" s="705">
        <v>1</v>
      </c>
      <c r="G243" s="705">
        <v>1</v>
      </c>
      <c r="H243" s="719">
        <v>46101</v>
      </c>
      <c r="I243" s="719">
        <v>46133</v>
      </c>
      <c r="J243" s="705" t="s">
        <v>363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3" t="s">
        <v>360</v>
      </c>
      <c r="C244" s="705" t="s">
        <v>492</v>
      </c>
      <c r="D244" s="705" t="s">
        <v>505</v>
      </c>
      <c r="E244" s="705" t="s">
        <v>368</v>
      </c>
      <c r="F244" s="705">
        <v>1</v>
      </c>
      <c r="G244" s="705">
        <v>1</v>
      </c>
      <c r="H244" s="719">
        <v>46101</v>
      </c>
      <c r="I244" s="719">
        <v>46133</v>
      </c>
      <c r="J244" s="705" t="s">
        <v>363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3" t="s">
        <v>360</v>
      </c>
      <c r="C245" s="705" t="s">
        <v>492</v>
      </c>
      <c r="D245" s="705" t="s">
        <v>505</v>
      </c>
      <c r="E245" s="705" t="s">
        <v>373</v>
      </c>
      <c r="F245" s="705">
        <v>1</v>
      </c>
      <c r="G245" s="705">
        <v>1</v>
      </c>
      <c r="H245" s="719">
        <v>46101</v>
      </c>
      <c r="I245" s="719">
        <v>46133</v>
      </c>
      <c r="J245" s="705" t="s">
        <v>363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3" t="s">
        <v>360</v>
      </c>
      <c r="C246" s="705" t="s">
        <v>506</v>
      </c>
      <c r="D246" s="705" t="s">
        <v>507</v>
      </c>
      <c r="E246" s="705" t="s">
        <v>368</v>
      </c>
      <c r="F246" s="705">
        <v>1</v>
      </c>
      <c r="G246" s="705">
        <v>1</v>
      </c>
      <c r="H246" s="719">
        <v>46070</v>
      </c>
      <c r="I246" s="719">
        <v>46069</v>
      </c>
      <c r="J246" s="705" t="s">
        <v>366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3" t="s">
        <v>360</v>
      </c>
      <c r="C247" s="705" t="s">
        <v>506</v>
      </c>
      <c r="D247" s="705" t="s">
        <v>507</v>
      </c>
      <c r="E247" s="705" t="s">
        <v>373</v>
      </c>
      <c r="F247" s="705">
        <v>1</v>
      </c>
      <c r="G247" s="705">
        <v>1</v>
      </c>
      <c r="H247" s="719">
        <v>46070</v>
      </c>
      <c r="I247" s="719">
        <v>46069</v>
      </c>
      <c r="J247" s="705" t="s">
        <v>366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3" t="s">
        <v>360</v>
      </c>
      <c r="C248" s="705" t="s">
        <v>506</v>
      </c>
      <c r="D248" s="705" t="s">
        <v>507</v>
      </c>
      <c r="E248" s="705" t="s">
        <v>410</v>
      </c>
      <c r="F248" s="705">
        <v>2</v>
      </c>
      <c r="G248" s="705">
        <v>1</v>
      </c>
      <c r="H248" s="719">
        <v>46062</v>
      </c>
      <c r="I248" s="719">
        <v>46174</v>
      </c>
      <c r="J248" s="705" t="s">
        <v>396</v>
      </c>
      <c r="K248" t="str">
        <f t="shared" si="11"/>
        <v>Switch</v>
      </c>
      <c r="L248" s="647" t="s">
        <v>508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3" t="s">
        <v>360</v>
      </c>
      <c r="C249" s="705" t="s">
        <v>506</v>
      </c>
      <c r="D249" s="705" t="s">
        <v>509</v>
      </c>
      <c r="E249" s="705" t="s">
        <v>368</v>
      </c>
      <c r="F249" s="705">
        <v>1</v>
      </c>
      <c r="G249" s="705">
        <v>1</v>
      </c>
      <c r="H249" s="719">
        <v>46099</v>
      </c>
      <c r="I249" s="719">
        <v>46099</v>
      </c>
      <c r="J249" s="705" t="s">
        <v>366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3" t="s">
        <v>360</v>
      </c>
      <c r="C250" s="705" t="s">
        <v>506</v>
      </c>
      <c r="D250" s="705" t="s">
        <v>509</v>
      </c>
      <c r="E250" s="705" t="s">
        <v>373</v>
      </c>
      <c r="F250" s="705">
        <v>1</v>
      </c>
      <c r="G250" s="705">
        <v>1</v>
      </c>
      <c r="H250" s="719">
        <v>46099</v>
      </c>
      <c r="I250" s="719">
        <v>46099</v>
      </c>
      <c r="J250" s="705" t="s">
        <v>366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3" t="s">
        <v>360</v>
      </c>
      <c r="C251" s="705" t="s">
        <v>506</v>
      </c>
      <c r="D251" s="705" t="s">
        <v>509</v>
      </c>
      <c r="E251" s="705" t="s">
        <v>408</v>
      </c>
      <c r="F251" s="705">
        <v>1</v>
      </c>
      <c r="G251" s="705">
        <v>1</v>
      </c>
      <c r="H251" s="719">
        <v>46087</v>
      </c>
      <c r="I251" s="719">
        <v>46087</v>
      </c>
      <c r="J251" s="705" t="s">
        <v>366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3" t="s">
        <v>360</v>
      </c>
      <c r="C252" s="705" t="s">
        <v>506</v>
      </c>
      <c r="D252" s="705" t="s">
        <v>510</v>
      </c>
      <c r="E252" s="705" t="s">
        <v>368</v>
      </c>
      <c r="F252" s="705">
        <v>1</v>
      </c>
      <c r="G252" s="705"/>
      <c r="H252" s="719"/>
      <c r="I252" s="719">
        <v>46135</v>
      </c>
      <c r="J252" s="705" t="s">
        <v>363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3" t="s">
        <v>360</v>
      </c>
      <c r="C253" s="705" t="s">
        <v>506</v>
      </c>
      <c r="D253" s="705" t="s">
        <v>510</v>
      </c>
      <c r="E253" s="705" t="s">
        <v>373</v>
      </c>
      <c r="F253" s="705">
        <v>1</v>
      </c>
      <c r="G253" s="705"/>
      <c r="H253" s="719"/>
      <c r="I253" s="719">
        <v>46135</v>
      </c>
      <c r="J253" s="705" t="s">
        <v>363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3" t="s">
        <v>360</v>
      </c>
      <c r="C254" s="705" t="s">
        <v>506</v>
      </c>
      <c r="D254" s="705" t="s">
        <v>510</v>
      </c>
      <c r="E254" s="705" t="s">
        <v>408</v>
      </c>
      <c r="F254" s="705">
        <v>1</v>
      </c>
      <c r="G254" s="705">
        <v>1</v>
      </c>
      <c r="H254" s="719">
        <v>46087</v>
      </c>
      <c r="I254" s="719">
        <v>46087</v>
      </c>
      <c r="J254" s="705" t="s">
        <v>366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3" t="s">
        <v>360</v>
      </c>
      <c r="C255" s="705" t="s">
        <v>506</v>
      </c>
      <c r="D255" s="705" t="s">
        <v>511</v>
      </c>
      <c r="E255" s="705" t="s">
        <v>368</v>
      </c>
      <c r="F255" s="705">
        <v>2</v>
      </c>
      <c r="G255" s="705">
        <v>2</v>
      </c>
      <c r="H255" s="719">
        <v>46070</v>
      </c>
      <c r="I255" s="719">
        <v>46069</v>
      </c>
      <c r="J255" s="705" t="s">
        <v>366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3" t="s">
        <v>360</v>
      </c>
      <c r="C256" s="705" t="s">
        <v>506</v>
      </c>
      <c r="D256" s="705" t="s">
        <v>511</v>
      </c>
      <c r="E256" s="705" t="s">
        <v>373</v>
      </c>
      <c r="F256" s="705">
        <v>1</v>
      </c>
      <c r="G256" s="705">
        <v>1</v>
      </c>
      <c r="H256" s="719">
        <v>46070</v>
      </c>
      <c r="I256" s="719">
        <v>46069</v>
      </c>
      <c r="J256" s="705" t="s">
        <v>366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3" t="s">
        <v>360</v>
      </c>
      <c r="C257" s="705" t="s">
        <v>506</v>
      </c>
      <c r="D257" s="705" t="s">
        <v>512</v>
      </c>
      <c r="E257" s="705" t="s">
        <v>368</v>
      </c>
      <c r="F257" s="705">
        <v>1</v>
      </c>
      <c r="G257" s="705"/>
      <c r="H257" s="719"/>
      <c r="I257" s="719">
        <v>46174</v>
      </c>
      <c r="J257" s="705" t="s">
        <v>396</v>
      </c>
      <c r="K257" t="str">
        <f t="shared" si="11"/>
        <v>Switch</v>
      </c>
      <c r="L257" t="s">
        <v>456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3" t="s">
        <v>360</v>
      </c>
      <c r="C258" s="705" t="s">
        <v>506</v>
      </c>
      <c r="D258" s="705" t="s">
        <v>512</v>
      </c>
      <c r="E258" s="705" t="s">
        <v>373</v>
      </c>
      <c r="F258" s="705">
        <v>1</v>
      </c>
      <c r="G258" s="705"/>
      <c r="H258" s="719"/>
      <c r="I258" s="719">
        <v>46174</v>
      </c>
      <c r="J258" s="705" t="s">
        <v>396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3" t="s">
        <v>360</v>
      </c>
      <c r="C259" s="705" t="s">
        <v>506</v>
      </c>
      <c r="D259" s="705" t="s">
        <v>513</v>
      </c>
      <c r="E259" s="705" t="s">
        <v>368</v>
      </c>
      <c r="F259" s="705">
        <v>1</v>
      </c>
      <c r="G259" s="705">
        <v>1</v>
      </c>
      <c r="H259" s="719">
        <v>46097</v>
      </c>
      <c r="I259" s="719">
        <v>46097</v>
      </c>
      <c r="J259" s="705" t="s">
        <v>366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3" t="s">
        <v>360</v>
      </c>
      <c r="C260" s="705" t="s">
        <v>506</v>
      </c>
      <c r="D260" s="705" t="s">
        <v>513</v>
      </c>
      <c r="E260" s="705" t="s">
        <v>373</v>
      </c>
      <c r="F260" s="705">
        <v>1</v>
      </c>
      <c r="G260" s="705">
        <v>1</v>
      </c>
      <c r="H260" s="719">
        <v>46097</v>
      </c>
      <c r="I260" s="719">
        <v>46097</v>
      </c>
      <c r="J260" s="705" t="s">
        <v>366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3" t="s">
        <v>360</v>
      </c>
      <c r="C261" s="705" t="s">
        <v>506</v>
      </c>
      <c r="D261" s="705" t="s">
        <v>514</v>
      </c>
      <c r="E261" s="705" t="s">
        <v>368</v>
      </c>
      <c r="F261" s="705">
        <v>1</v>
      </c>
      <c r="G261" s="705">
        <v>1</v>
      </c>
      <c r="H261" s="719">
        <v>46097</v>
      </c>
      <c r="I261" s="719">
        <v>46097</v>
      </c>
      <c r="J261" s="705" t="s">
        <v>366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3" t="s">
        <v>360</v>
      </c>
      <c r="C262" s="705" t="s">
        <v>506</v>
      </c>
      <c r="D262" s="705" t="s">
        <v>514</v>
      </c>
      <c r="E262" s="705" t="s">
        <v>373</v>
      </c>
      <c r="F262" s="705">
        <v>1</v>
      </c>
      <c r="G262" s="705">
        <v>1</v>
      </c>
      <c r="H262" s="719">
        <v>46097</v>
      </c>
      <c r="I262" s="719">
        <v>46097</v>
      </c>
      <c r="J262" s="705" t="s">
        <v>366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3" t="s">
        <v>360</v>
      </c>
      <c r="C263" s="705" t="s">
        <v>506</v>
      </c>
      <c r="D263" s="705" t="s">
        <v>515</v>
      </c>
      <c r="E263" s="705" t="s">
        <v>368</v>
      </c>
      <c r="F263" s="705">
        <v>2</v>
      </c>
      <c r="G263" s="705">
        <v>2</v>
      </c>
      <c r="H263" s="719">
        <v>46101</v>
      </c>
      <c r="I263" s="719">
        <v>46135</v>
      </c>
      <c r="J263" s="705" t="s">
        <v>363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3" t="s">
        <v>360</v>
      </c>
      <c r="C264" s="705" t="s">
        <v>506</v>
      </c>
      <c r="D264" s="705" t="s">
        <v>515</v>
      </c>
      <c r="E264" s="705" t="s">
        <v>373</v>
      </c>
      <c r="F264" s="705">
        <v>2</v>
      </c>
      <c r="G264" s="705">
        <v>2</v>
      </c>
      <c r="H264" s="719">
        <v>46101</v>
      </c>
      <c r="I264" s="719">
        <v>46135</v>
      </c>
      <c r="J264" s="705" t="s">
        <v>363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3" t="s">
        <v>360</v>
      </c>
      <c r="C265" s="705" t="s">
        <v>506</v>
      </c>
      <c r="D265" s="705" t="s">
        <v>515</v>
      </c>
      <c r="E265" s="705" t="s">
        <v>408</v>
      </c>
      <c r="F265" s="705">
        <v>1</v>
      </c>
      <c r="G265" s="705">
        <v>1</v>
      </c>
      <c r="H265" s="719">
        <v>46101</v>
      </c>
      <c r="I265" s="719">
        <v>46135</v>
      </c>
      <c r="J265" s="705" t="s">
        <v>363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3" t="s">
        <v>360</v>
      </c>
      <c r="C266" s="705" t="s">
        <v>506</v>
      </c>
      <c r="D266" s="705" t="s">
        <v>516</v>
      </c>
      <c r="E266" s="705" t="s">
        <v>368</v>
      </c>
      <c r="F266" s="705">
        <v>1</v>
      </c>
      <c r="G266" s="705">
        <v>1</v>
      </c>
      <c r="H266" s="719">
        <v>46101</v>
      </c>
      <c r="I266" s="719">
        <v>46135</v>
      </c>
      <c r="J266" s="705" t="s">
        <v>363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3" t="s">
        <v>360</v>
      </c>
      <c r="C267" s="705" t="s">
        <v>506</v>
      </c>
      <c r="D267" s="705" t="s">
        <v>516</v>
      </c>
      <c r="E267" s="705" t="s">
        <v>373</v>
      </c>
      <c r="F267" s="705">
        <v>1</v>
      </c>
      <c r="G267" s="705">
        <v>1</v>
      </c>
      <c r="H267" s="719">
        <v>46101</v>
      </c>
      <c r="I267" s="719">
        <v>46135</v>
      </c>
      <c r="J267" s="705" t="s">
        <v>363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3" t="s">
        <v>360</v>
      </c>
      <c r="C268" s="704" t="s">
        <v>517</v>
      </c>
      <c r="D268" s="705" t="s">
        <v>40</v>
      </c>
      <c r="E268" s="705" t="s">
        <v>362</v>
      </c>
      <c r="F268" s="705">
        <v>11</v>
      </c>
      <c r="G268" s="705"/>
      <c r="H268" s="719"/>
      <c r="I268" s="719">
        <v>46121</v>
      </c>
      <c r="J268" s="705" t="s">
        <v>363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3" t="s">
        <v>360</v>
      </c>
      <c r="C269" s="704" t="s">
        <v>517</v>
      </c>
      <c r="D269" s="705" t="s">
        <v>518</v>
      </c>
      <c r="E269" s="705" t="s">
        <v>408</v>
      </c>
      <c r="F269" s="705">
        <v>1</v>
      </c>
      <c r="G269" s="705"/>
      <c r="H269" s="719"/>
      <c r="I269" s="719">
        <v>46122</v>
      </c>
      <c r="J269" s="705" t="s">
        <v>363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3" t="s">
        <v>360</v>
      </c>
      <c r="C270" s="704" t="s">
        <v>517</v>
      </c>
      <c r="D270" s="705" t="s">
        <v>519</v>
      </c>
      <c r="E270" s="705" t="s">
        <v>373</v>
      </c>
      <c r="F270" s="705">
        <v>1</v>
      </c>
      <c r="G270" s="705"/>
      <c r="H270" s="719"/>
      <c r="I270" s="719">
        <v>46122</v>
      </c>
      <c r="J270" s="705" t="s">
        <v>363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3" t="s">
        <v>360</v>
      </c>
      <c r="C271" s="704" t="s">
        <v>517</v>
      </c>
      <c r="D271" s="704" t="s">
        <v>520</v>
      </c>
      <c r="E271" s="705" t="s">
        <v>368</v>
      </c>
      <c r="F271" s="705">
        <v>1</v>
      </c>
      <c r="G271" s="705"/>
      <c r="H271" s="719"/>
      <c r="I271" s="719">
        <v>46122</v>
      </c>
      <c r="J271" s="705" t="s">
        <v>363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3" t="s">
        <v>360</v>
      </c>
      <c r="C272" s="704" t="s">
        <v>517</v>
      </c>
      <c r="D272" s="704" t="s">
        <v>520</v>
      </c>
      <c r="E272" s="705" t="s">
        <v>373</v>
      </c>
      <c r="F272" s="705">
        <v>1</v>
      </c>
      <c r="G272" s="705"/>
      <c r="H272" s="719"/>
      <c r="I272" s="719">
        <v>46122</v>
      </c>
      <c r="J272" s="705" t="s">
        <v>363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3" t="s">
        <v>360</v>
      </c>
      <c r="C273" s="704" t="s">
        <v>517</v>
      </c>
      <c r="D273" s="704" t="s">
        <v>114</v>
      </c>
      <c r="E273" s="705" t="s">
        <v>368</v>
      </c>
      <c r="F273" s="705">
        <v>1</v>
      </c>
      <c r="G273" s="705"/>
      <c r="H273" s="719"/>
      <c r="I273" s="719">
        <v>46122</v>
      </c>
      <c r="J273" s="705" t="s">
        <v>363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3" t="s">
        <v>360</v>
      </c>
      <c r="C274" s="704" t="s">
        <v>517</v>
      </c>
      <c r="D274" s="704" t="s">
        <v>69</v>
      </c>
      <c r="E274" s="705" t="s">
        <v>368</v>
      </c>
      <c r="F274" s="705">
        <v>1</v>
      </c>
      <c r="G274" s="705"/>
      <c r="H274" s="719"/>
      <c r="I274" s="719">
        <v>46122</v>
      </c>
      <c r="J274" s="705" t="s">
        <v>363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3" t="s">
        <v>360</v>
      </c>
      <c r="C275" s="704" t="s">
        <v>517</v>
      </c>
      <c r="D275" s="704" t="s">
        <v>69</v>
      </c>
      <c r="E275" s="705" t="s">
        <v>373</v>
      </c>
      <c r="F275" s="705">
        <v>1</v>
      </c>
      <c r="G275" s="705"/>
      <c r="H275" s="719"/>
      <c r="I275" s="719">
        <v>46122</v>
      </c>
      <c r="J275" s="705" t="s">
        <v>363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3" t="s">
        <v>360</v>
      </c>
      <c r="C276" s="704" t="s">
        <v>521</v>
      </c>
      <c r="D276" s="705" t="s">
        <v>40</v>
      </c>
      <c r="E276" s="705" t="s">
        <v>362</v>
      </c>
      <c r="F276" s="705">
        <v>4</v>
      </c>
      <c r="G276" s="705"/>
      <c r="H276" s="719"/>
      <c r="I276" s="719">
        <v>46122</v>
      </c>
      <c r="J276" s="705" t="s">
        <v>363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3" t="s">
        <v>360</v>
      </c>
      <c r="C277" s="704" t="s">
        <v>521</v>
      </c>
      <c r="D277" s="705" t="s">
        <v>522</v>
      </c>
      <c r="E277" s="705" t="s">
        <v>368</v>
      </c>
      <c r="F277" s="705">
        <v>6</v>
      </c>
      <c r="G277" s="705"/>
      <c r="H277" s="719"/>
      <c r="I277" s="719">
        <v>46128</v>
      </c>
      <c r="J277" s="705" t="s">
        <v>363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3" t="s">
        <v>360</v>
      </c>
      <c r="C278" s="704" t="s">
        <v>521</v>
      </c>
      <c r="D278" s="705" t="s">
        <v>522</v>
      </c>
      <c r="E278" s="705" t="s">
        <v>373</v>
      </c>
      <c r="F278" s="705">
        <v>4</v>
      </c>
      <c r="G278" s="705"/>
      <c r="H278" s="719"/>
      <c r="I278" s="719">
        <v>46128</v>
      </c>
      <c r="J278" s="705" t="s">
        <v>363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3" t="s">
        <v>360</v>
      </c>
      <c r="C279" s="704" t="s">
        <v>523</v>
      </c>
      <c r="D279" s="705" t="s">
        <v>40</v>
      </c>
      <c r="E279" s="705" t="s">
        <v>362</v>
      </c>
      <c r="F279" s="705">
        <v>9</v>
      </c>
      <c r="G279" s="705"/>
      <c r="H279" s="719"/>
      <c r="I279" s="719">
        <v>46132</v>
      </c>
      <c r="J279" s="705" t="s">
        <v>363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3" t="s">
        <v>360</v>
      </c>
      <c r="C280" s="704" t="s">
        <v>523</v>
      </c>
      <c r="D280" s="704" t="s">
        <v>524</v>
      </c>
      <c r="E280" s="705" t="s">
        <v>372</v>
      </c>
      <c r="F280" s="705">
        <v>2</v>
      </c>
      <c r="G280" s="705"/>
      <c r="H280" s="719"/>
      <c r="I280" s="719">
        <v>46132</v>
      </c>
      <c r="J280" s="705" t="s">
        <v>363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3" t="s">
        <v>360</v>
      </c>
      <c r="C281" s="704" t="s">
        <v>523</v>
      </c>
      <c r="D281" s="704" t="s">
        <v>524</v>
      </c>
      <c r="E281" s="705" t="s">
        <v>365</v>
      </c>
      <c r="F281" s="705">
        <v>2</v>
      </c>
      <c r="G281" s="705"/>
      <c r="H281" s="719"/>
      <c r="I281" s="719">
        <v>46132</v>
      </c>
      <c r="J281" s="705" t="s">
        <v>363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3" t="s">
        <v>360</v>
      </c>
      <c r="C282" s="704" t="s">
        <v>525</v>
      </c>
      <c r="D282" s="705" t="s">
        <v>40</v>
      </c>
      <c r="E282" s="705" t="s">
        <v>362</v>
      </c>
      <c r="F282" s="705">
        <v>9</v>
      </c>
      <c r="G282" s="705"/>
      <c r="H282" s="719"/>
      <c r="I282" s="719">
        <v>46133</v>
      </c>
      <c r="J282" s="705" t="s">
        <v>363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3" t="s">
        <v>360</v>
      </c>
      <c r="C283" s="704" t="s">
        <v>525</v>
      </c>
      <c r="D283" s="705" t="s">
        <v>526</v>
      </c>
      <c r="E283" s="705" t="s">
        <v>372</v>
      </c>
      <c r="F283" s="705">
        <v>1</v>
      </c>
      <c r="G283" s="705"/>
      <c r="H283" s="719"/>
      <c r="I283" s="719">
        <v>46133</v>
      </c>
      <c r="J283" s="705" t="s">
        <v>363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3" t="s">
        <v>360</v>
      </c>
      <c r="C284" s="704" t="s">
        <v>525</v>
      </c>
      <c r="D284" s="705" t="s">
        <v>526</v>
      </c>
      <c r="E284" s="705" t="s">
        <v>373</v>
      </c>
      <c r="F284" s="705">
        <v>2</v>
      </c>
      <c r="G284" s="705"/>
      <c r="H284" s="719"/>
      <c r="I284" s="719">
        <v>46133</v>
      </c>
      <c r="J284" s="705" t="s">
        <v>363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3" t="s">
        <v>360</v>
      </c>
      <c r="C285" s="704" t="s">
        <v>527</v>
      </c>
      <c r="D285" s="705" t="s">
        <v>40</v>
      </c>
      <c r="E285" s="705" t="s">
        <v>362</v>
      </c>
      <c r="F285" s="705">
        <v>10</v>
      </c>
      <c r="G285" s="705"/>
      <c r="H285" s="719"/>
      <c r="I285" s="719">
        <v>46133</v>
      </c>
      <c r="J285" s="705" t="s">
        <v>363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3" t="s">
        <v>360</v>
      </c>
      <c r="C286" s="704" t="s">
        <v>528</v>
      </c>
      <c r="D286" s="705" t="s">
        <v>40</v>
      </c>
      <c r="E286" s="705" t="s">
        <v>362</v>
      </c>
      <c r="F286" s="705">
        <v>6</v>
      </c>
      <c r="G286" s="705"/>
      <c r="H286" s="719"/>
      <c r="I286" s="719">
        <v>46134</v>
      </c>
      <c r="J286" s="705" t="s">
        <v>363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3" t="s">
        <v>360</v>
      </c>
      <c r="C287" s="704" t="s">
        <v>528</v>
      </c>
      <c r="D287" s="704" t="s">
        <v>524</v>
      </c>
      <c r="E287" s="705" t="s">
        <v>372</v>
      </c>
      <c r="F287" s="705">
        <v>1</v>
      </c>
      <c r="G287" s="705"/>
      <c r="H287" s="719"/>
      <c r="I287" s="719">
        <v>46134</v>
      </c>
      <c r="J287" s="705" t="s">
        <v>363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3" t="s">
        <v>360</v>
      </c>
      <c r="C288" s="704" t="s">
        <v>528</v>
      </c>
      <c r="D288" s="704" t="s">
        <v>524</v>
      </c>
      <c r="E288" s="705" t="s">
        <v>365</v>
      </c>
      <c r="F288" s="705">
        <v>1</v>
      </c>
      <c r="G288" s="705"/>
      <c r="H288" s="719"/>
      <c r="I288" s="719">
        <v>46134</v>
      </c>
      <c r="J288" s="705" t="s">
        <v>363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3" t="s">
        <v>360</v>
      </c>
      <c r="C289" s="704" t="s">
        <v>528</v>
      </c>
      <c r="D289" s="704" t="s">
        <v>524</v>
      </c>
      <c r="E289" s="705" t="s">
        <v>410</v>
      </c>
      <c r="F289" s="705">
        <v>1</v>
      </c>
      <c r="G289" s="705"/>
      <c r="H289" s="719"/>
      <c r="I289" s="719">
        <v>46134</v>
      </c>
      <c r="J289" s="705" t="s">
        <v>363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3" t="s">
        <v>360</v>
      </c>
      <c r="C290" s="704" t="s">
        <v>528</v>
      </c>
      <c r="D290" s="704" t="s">
        <v>524</v>
      </c>
      <c r="E290" s="705" t="s">
        <v>408</v>
      </c>
      <c r="F290" s="705">
        <v>1</v>
      </c>
      <c r="G290" s="705"/>
      <c r="H290" s="719"/>
      <c r="I290" s="719">
        <v>46134</v>
      </c>
      <c r="J290" s="705" t="s">
        <v>363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3" t="s">
        <v>360</v>
      </c>
      <c r="C291" s="704" t="s">
        <v>529</v>
      </c>
      <c r="D291" s="705" t="s">
        <v>40</v>
      </c>
      <c r="E291" s="705" t="s">
        <v>362</v>
      </c>
      <c r="F291" s="705">
        <v>3</v>
      </c>
      <c r="G291" s="705"/>
      <c r="H291" s="719"/>
      <c r="I291" s="719">
        <v>46134</v>
      </c>
      <c r="J291" s="705" t="s">
        <v>363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3" t="s">
        <v>360</v>
      </c>
      <c r="C292" s="704" t="s">
        <v>529</v>
      </c>
      <c r="D292" s="704" t="s">
        <v>530</v>
      </c>
      <c r="E292" s="705" t="s">
        <v>372</v>
      </c>
      <c r="F292" s="705">
        <v>1</v>
      </c>
      <c r="G292" s="705"/>
      <c r="H292" s="719"/>
      <c r="I292" s="719">
        <v>46134</v>
      </c>
      <c r="J292" s="705" t="s">
        <v>363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3" t="s">
        <v>360</v>
      </c>
      <c r="C293" s="704" t="s">
        <v>529</v>
      </c>
      <c r="D293" s="704" t="s">
        <v>530</v>
      </c>
      <c r="E293" s="705" t="s">
        <v>373</v>
      </c>
      <c r="F293" s="705">
        <v>2</v>
      </c>
      <c r="G293" s="705"/>
      <c r="H293" s="719"/>
      <c r="I293" s="719">
        <v>46134</v>
      </c>
      <c r="J293" s="705" t="s">
        <v>363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3" t="s">
        <v>360</v>
      </c>
      <c r="C294" s="705" t="s">
        <v>531</v>
      </c>
      <c r="D294" s="705" t="s">
        <v>531</v>
      </c>
      <c r="E294" s="705" t="s">
        <v>368</v>
      </c>
      <c r="F294" s="705">
        <v>1</v>
      </c>
      <c r="G294" s="705"/>
      <c r="H294" s="719"/>
      <c r="I294" s="719">
        <v>46136</v>
      </c>
      <c r="J294" s="705" t="s">
        <v>363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3" t="s">
        <v>360</v>
      </c>
      <c r="C295" s="705" t="s">
        <v>531</v>
      </c>
      <c r="D295" s="705" t="s">
        <v>531</v>
      </c>
      <c r="E295" s="705" t="s">
        <v>373</v>
      </c>
      <c r="F295" s="705">
        <v>1</v>
      </c>
      <c r="G295" s="705"/>
      <c r="H295" s="719"/>
      <c r="I295" s="719">
        <v>46136</v>
      </c>
      <c r="J295" s="705" t="s">
        <v>363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3" t="s">
        <v>360</v>
      </c>
      <c r="C296" s="705" t="s">
        <v>532</v>
      </c>
      <c r="D296" s="705" t="s">
        <v>532</v>
      </c>
      <c r="E296" s="705" t="s">
        <v>368</v>
      </c>
      <c r="F296" s="705">
        <v>1</v>
      </c>
      <c r="G296" s="705"/>
      <c r="H296" s="719"/>
      <c r="I296" s="719">
        <v>46135</v>
      </c>
      <c r="J296" s="705" t="s">
        <v>363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3" t="s">
        <v>360</v>
      </c>
      <c r="C297" s="705" t="s">
        <v>532</v>
      </c>
      <c r="D297" s="705" t="s">
        <v>532</v>
      </c>
      <c r="E297" s="705" t="s">
        <v>373</v>
      </c>
      <c r="F297" s="705">
        <v>1</v>
      </c>
      <c r="G297" s="705"/>
      <c r="H297" s="719"/>
      <c r="I297" s="719">
        <v>46135</v>
      </c>
      <c r="J297" s="705" t="s">
        <v>363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3" t="s">
        <v>360</v>
      </c>
      <c r="C298" s="705" t="s">
        <v>533</v>
      </c>
      <c r="D298" s="705" t="s">
        <v>533</v>
      </c>
      <c r="E298" s="705" t="s">
        <v>368</v>
      </c>
      <c r="F298" s="705">
        <v>1</v>
      </c>
      <c r="G298" s="705"/>
      <c r="H298" s="719"/>
      <c r="I298" s="719">
        <v>46135</v>
      </c>
      <c r="J298" s="705" t="s">
        <v>363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3" t="s">
        <v>360</v>
      </c>
      <c r="C299" s="705" t="s">
        <v>533</v>
      </c>
      <c r="D299" s="705" t="s">
        <v>533</v>
      </c>
      <c r="E299" s="705" t="s">
        <v>373</v>
      </c>
      <c r="F299" s="705">
        <v>1</v>
      </c>
      <c r="G299" s="705"/>
      <c r="H299" s="719"/>
      <c r="I299" s="719">
        <v>46135</v>
      </c>
      <c r="J299" s="705" t="s">
        <v>363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3" t="s">
        <v>360</v>
      </c>
      <c r="C300" s="705" t="s">
        <v>534</v>
      </c>
      <c r="D300" s="704" t="s">
        <v>535</v>
      </c>
      <c r="E300" s="705" t="s">
        <v>368</v>
      </c>
      <c r="F300" s="705">
        <v>1</v>
      </c>
      <c r="G300" s="705"/>
      <c r="H300" s="719"/>
      <c r="I300" s="719">
        <v>46174</v>
      </c>
      <c r="J300" s="705" t="s">
        <v>396</v>
      </c>
      <c r="K300" t="str">
        <f t="shared" si="16"/>
        <v>Switch</v>
      </c>
      <c r="L300" t="s">
        <v>456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3" t="s">
        <v>360</v>
      </c>
      <c r="C301" s="704" t="s">
        <v>536</v>
      </c>
      <c r="D301" s="704" t="s">
        <v>537</v>
      </c>
      <c r="E301" s="705" t="s">
        <v>372</v>
      </c>
      <c r="F301" s="705">
        <v>1</v>
      </c>
      <c r="G301" s="705"/>
      <c r="H301" s="719"/>
      <c r="I301" s="719">
        <v>46135</v>
      </c>
      <c r="J301" s="705" t="s">
        <v>363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3" t="s">
        <v>360</v>
      </c>
      <c r="C302" s="704" t="s">
        <v>538</v>
      </c>
      <c r="D302" s="705" t="s">
        <v>526</v>
      </c>
      <c r="E302" s="705" t="s">
        <v>368</v>
      </c>
      <c r="F302" s="705">
        <v>1</v>
      </c>
      <c r="G302" s="705"/>
      <c r="H302" s="719"/>
      <c r="I302" s="719">
        <v>46135</v>
      </c>
      <c r="J302" s="705" t="s">
        <v>363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3" t="s">
        <v>539</v>
      </c>
      <c r="C303" s="704" t="s">
        <v>540</v>
      </c>
      <c r="D303" s="705" t="s">
        <v>541</v>
      </c>
      <c r="E303" s="705" t="s">
        <v>368</v>
      </c>
      <c r="F303" s="705">
        <v>4</v>
      </c>
      <c r="G303" s="705">
        <v>4</v>
      </c>
      <c r="H303" s="719">
        <v>46095</v>
      </c>
      <c r="I303" s="719">
        <v>46095</v>
      </c>
      <c r="J303" s="705" t="s">
        <v>366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3" t="s">
        <v>539</v>
      </c>
      <c r="C304" s="704" t="s">
        <v>540</v>
      </c>
      <c r="D304" s="705" t="s">
        <v>541</v>
      </c>
      <c r="E304" s="705" t="s">
        <v>373</v>
      </c>
      <c r="F304" s="705">
        <v>2</v>
      </c>
      <c r="G304" s="705">
        <v>2</v>
      </c>
      <c r="H304" s="719">
        <v>46095</v>
      </c>
      <c r="I304" s="719">
        <v>46095</v>
      </c>
      <c r="J304" s="705" t="s">
        <v>366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3" t="s">
        <v>539</v>
      </c>
      <c r="C305" s="704" t="s">
        <v>540</v>
      </c>
      <c r="D305" s="705" t="s">
        <v>542</v>
      </c>
      <c r="E305" s="705" t="s">
        <v>368</v>
      </c>
      <c r="F305" s="705">
        <v>8</v>
      </c>
      <c r="G305" s="705">
        <v>8</v>
      </c>
      <c r="H305" s="719">
        <v>46095</v>
      </c>
      <c r="I305" s="719">
        <v>46095</v>
      </c>
      <c r="J305" s="705" t="s">
        <v>366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3" t="s">
        <v>539</v>
      </c>
      <c r="C306" s="704" t="s">
        <v>540</v>
      </c>
      <c r="D306" s="705" t="s">
        <v>542</v>
      </c>
      <c r="E306" s="705" t="s">
        <v>373</v>
      </c>
      <c r="F306" s="705">
        <v>4</v>
      </c>
      <c r="G306" s="705">
        <v>4</v>
      </c>
      <c r="H306" s="719">
        <v>46095</v>
      </c>
      <c r="I306" s="719">
        <v>46095</v>
      </c>
      <c r="J306" s="705" t="s">
        <v>366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3" t="s">
        <v>539</v>
      </c>
      <c r="C307" s="706" t="s">
        <v>543</v>
      </c>
      <c r="D307" s="705" t="s">
        <v>40</v>
      </c>
      <c r="E307" s="705" t="s">
        <v>362</v>
      </c>
      <c r="F307" s="705">
        <v>24</v>
      </c>
      <c r="G307" s="705">
        <v>24</v>
      </c>
      <c r="H307" s="719">
        <v>46063</v>
      </c>
      <c r="I307" s="719">
        <v>46079</v>
      </c>
      <c r="J307" s="705" t="s">
        <v>366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3" t="s">
        <v>539</v>
      </c>
      <c r="C308" s="704" t="s">
        <v>540</v>
      </c>
      <c r="D308" s="705" t="s">
        <v>544</v>
      </c>
      <c r="E308" s="705" t="s">
        <v>373</v>
      </c>
      <c r="F308" s="705">
        <v>2</v>
      </c>
      <c r="G308" s="705">
        <v>2</v>
      </c>
      <c r="H308" s="719">
        <v>46095</v>
      </c>
      <c r="I308" s="719">
        <v>46095</v>
      </c>
      <c r="J308" s="705" t="s">
        <v>366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3" t="s">
        <v>539</v>
      </c>
      <c r="C309" s="704" t="s">
        <v>540</v>
      </c>
      <c r="D309" s="705" t="s">
        <v>545</v>
      </c>
      <c r="E309" s="705" t="s">
        <v>368</v>
      </c>
      <c r="F309" s="705">
        <v>4</v>
      </c>
      <c r="G309" s="705">
        <v>4</v>
      </c>
      <c r="H309" s="719">
        <v>46095</v>
      </c>
      <c r="I309" s="719">
        <v>46095</v>
      </c>
      <c r="J309" s="705" t="s">
        <v>366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3" t="s">
        <v>539</v>
      </c>
      <c r="C310" s="704" t="s">
        <v>540</v>
      </c>
      <c r="D310" s="705" t="s">
        <v>546</v>
      </c>
      <c r="E310" s="705" t="s">
        <v>368</v>
      </c>
      <c r="F310" s="705">
        <v>1</v>
      </c>
      <c r="G310" s="705">
        <v>1</v>
      </c>
      <c r="H310" s="719">
        <v>46095</v>
      </c>
      <c r="I310" s="719">
        <v>46095</v>
      </c>
      <c r="J310" s="705" t="s">
        <v>366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3" t="s">
        <v>539</v>
      </c>
      <c r="C311" s="704" t="s">
        <v>540</v>
      </c>
      <c r="D311" s="705" t="s">
        <v>483</v>
      </c>
      <c r="E311" s="705" t="s">
        <v>368</v>
      </c>
      <c r="F311" s="705">
        <v>7</v>
      </c>
      <c r="G311" s="705">
        <v>7</v>
      </c>
      <c r="H311" s="719">
        <v>46095</v>
      </c>
      <c r="I311" s="719">
        <v>46095</v>
      </c>
      <c r="J311" s="705" t="s">
        <v>366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3" t="s">
        <v>539</v>
      </c>
      <c r="C312" s="704" t="s">
        <v>540</v>
      </c>
      <c r="D312" s="705" t="s">
        <v>483</v>
      </c>
      <c r="E312" s="705" t="s">
        <v>373</v>
      </c>
      <c r="F312" s="705">
        <v>1</v>
      </c>
      <c r="G312" s="705">
        <v>1</v>
      </c>
      <c r="H312" s="719">
        <v>46095</v>
      </c>
      <c r="I312" s="719">
        <v>46095</v>
      </c>
      <c r="J312" s="705" t="s">
        <v>366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3" t="s">
        <v>539</v>
      </c>
      <c r="C313" s="704" t="s">
        <v>540</v>
      </c>
      <c r="D313" s="705" t="s">
        <v>483</v>
      </c>
      <c r="E313" s="705" t="s">
        <v>547</v>
      </c>
      <c r="F313" s="705">
        <v>2</v>
      </c>
      <c r="G313" s="705">
        <v>2</v>
      </c>
      <c r="H313" s="719">
        <v>46063</v>
      </c>
      <c r="I313" s="719">
        <v>46085</v>
      </c>
      <c r="J313" s="705" t="s">
        <v>366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3" t="s">
        <v>539</v>
      </c>
      <c r="C314" s="706" t="s">
        <v>548</v>
      </c>
      <c r="D314" s="705" t="s">
        <v>549</v>
      </c>
      <c r="E314" s="705" t="s">
        <v>368</v>
      </c>
      <c r="F314" s="705">
        <v>4</v>
      </c>
      <c r="G314" s="705">
        <v>4</v>
      </c>
      <c r="H314" s="719">
        <v>46078</v>
      </c>
      <c r="I314" s="719">
        <v>46078</v>
      </c>
      <c r="J314" s="705" t="s">
        <v>366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3" t="s">
        <v>539</v>
      </c>
      <c r="C315" s="704" t="s">
        <v>550</v>
      </c>
      <c r="D315" s="705" t="s">
        <v>551</v>
      </c>
      <c r="E315" s="705" t="s">
        <v>368</v>
      </c>
      <c r="F315" s="705">
        <v>1</v>
      </c>
      <c r="G315" s="705"/>
      <c r="H315" s="719"/>
      <c r="I315" s="719">
        <v>46174</v>
      </c>
      <c r="J315" s="705" t="s">
        <v>396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3" t="s">
        <v>539</v>
      </c>
      <c r="C316" s="704" t="s">
        <v>550</v>
      </c>
      <c r="D316" s="705" t="s">
        <v>552</v>
      </c>
      <c r="E316" s="705" t="s">
        <v>368</v>
      </c>
      <c r="F316" s="705">
        <v>2</v>
      </c>
      <c r="G316" s="705">
        <v>2</v>
      </c>
      <c r="H316" s="719">
        <v>46080</v>
      </c>
      <c r="I316" s="719">
        <v>46080</v>
      </c>
      <c r="J316" s="705" t="s">
        <v>366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3" t="s">
        <v>539</v>
      </c>
      <c r="C317" s="704" t="s">
        <v>550</v>
      </c>
      <c r="D317" s="705" t="s">
        <v>553</v>
      </c>
      <c r="E317" s="705" t="s">
        <v>368</v>
      </c>
      <c r="F317" s="705">
        <v>4</v>
      </c>
      <c r="G317" s="705">
        <v>4</v>
      </c>
      <c r="H317" s="719">
        <v>46078</v>
      </c>
      <c r="I317" s="719">
        <v>46078</v>
      </c>
      <c r="J317" s="705" t="s">
        <v>366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3" t="s">
        <v>539</v>
      </c>
      <c r="C318" s="704" t="s">
        <v>550</v>
      </c>
      <c r="D318" s="705" t="s">
        <v>554</v>
      </c>
      <c r="E318" s="705" t="s">
        <v>368</v>
      </c>
      <c r="F318" s="705">
        <v>2</v>
      </c>
      <c r="G318" s="705">
        <v>2</v>
      </c>
      <c r="H318" s="719">
        <v>46078</v>
      </c>
      <c r="I318" s="719">
        <v>46078</v>
      </c>
      <c r="J318" s="705" t="s">
        <v>366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3" t="s">
        <v>539</v>
      </c>
      <c r="C319" s="704" t="s">
        <v>550</v>
      </c>
      <c r="D319" s="704" t="s">
        <v>555</v>
      </c>
      <c r="E319" s="705" t="s">
        <v>368</v>
      </c>
      <c r="F319" s="705">
        <v>2</v>
      </c>
      <c r="G319" s="705">
        <v>2</v>
      </c>
      <c r="H319" s="719">
        <v>46080</v>
      </c>
      <c r="I319" s="719">
        <v>46080</v>
      </c>
      <c r="J319" s="705" t="s">
        <v>366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3" t="s">
        <v>539</v>
      </c>
      <c r="C320" s="704" t="s">
        <v>550</v>
      </c>
      <c r="D320" s="704" t="s">
        <v>556</v>
      </c>
      <c r="E320" s="705" t="s">
        <v>368</v>
      </c>
      <c r="F320" s="705">
        <v>2</v>
      </c>
      <c r="G320" s="705">
        <v>2</v>
      </c>
      <c r="H320" s="719">
        <v>46080</v>
      </c>
      <c r="I320" s="719">
        <v>46080</v>
      </c>
      <c r="J320" s="705" t="s">
        <v>366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3" t="s">
        <v>539</v>
      </c>
      <c r="C321" s="704" t="s">
        <v>550</v>
      </c>
      <c r="D321" s="704" t="s">
        <v>557</v>
      </c>
      <c r="E321" s="705" t="s">
        <v>368</v>
      </c>
      <c r="F321" s="705">
        <v>1</v>
      </c>
      <c r="G321" s="705">
        <v>1</v>
      </c>
      <c r="H321" s="719">
        <v>46080</v>
      </c>
      <c r="I321" s="719">
        <v>46080</v>
      </c>
      <c r="J321" s="705" t="s">
        <v>366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3" t="s">
        <v>539</v>
      </c>
      <c r="C322" s="704" t="s">
        <v>550</v>
      </c>
      <c r="D322" s="704" t="s">
        <v>558</v>
      </c>
      <c r="E322" s="705" t="s">
        <v>368</v>
      </c>
      <c r="F322" s="705">
        <v>1</v>
      </c>
      <c r="G322" s="705">
        <v>1</v>
      </c>
      <c r="H322" s="719">
        <v>46080</v>
      </c>
      <c r="I322" s="719">
        <v>46080</v>
      </c>
      <c r="J322" s="705" t="s">
        <v>366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3" t="s">
        <v>539</v>
      </c>
      <c r="C323" s="704" t="s">
        <v>550</v>
      </c>
      <c r="D323" s="704" t="s">
        <v>559</v>
      </c>
      <c r="E323" s="705" t="s">
        <v>368</v>
      </c>
      <c r="F323" s="705">
        <v>1</v>
      </c>
      <c r="G323" s="705">
        <v>1</v>
      </c>
      <c r="H323" s="719">
        <v>46080</v>
      </c>
      <c r="I323" s="719">
        <v>46080</v>
      </c>
      <c r="J323" s="705" t="s">
        <v>366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3" t="s">
        <v>539</v>
      </c>
      <c r="C324" s="704" t="s">
        <v>550</v>
      </c>
      <c r="D324" s="704" t="s">
        <v>560</v>
      </c>
      <c r="E324" s="705" t="s">
        <v>368</v>
      </c>
      <c r="F324" s="705">
        <v>4</v>
      </c>
      <c r="G324" s="705">
        <v>4</v>
      </c>
      <c r="H324" s="719">
        <v>46079</v>
      </c>
      <c r="I324" s="719">
        <v>46079</v>
      </c>
      <c r="J324" s="705" t="s">
        <v>366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3" t="s">
        <v>539</v>
      </c>
      <c r="C325" s="704" t="s">
        <v>550</v>
      </c>
      <c r="D325" s="704" t="s">
        <v>560</v>
      </c>
      <c r="E325" s="705" t="s">
        <v>373</v>
      </c>
      <c r="F325" s="705">
        <v>1</v>
      </c>
      <c r="G325" s="705">
        <v>1</v>
      </c>
      <c r="H325" s="719">
        <v>46079</v>
      </c>
      <c r="I325" s="719">
        <v>46079</v>
      </c>
      <c r="J325" s="705" t="s">
        <v>366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3" t="s">
        <v>539</v>
      </c>
      <c r="C326" s="704" t="s">
        <v>550</v>
      </c>
      <c r="D326" s="704" t="s">
        <v>561</v>
      </c>
      <c r="E326" s="705" t="s">
        <v>368</v>
      </c>
      <c r="F326" s="705">
        <v>4</v>
      </c>
      <c r="G326" s="705">
        <v>4</v>
      </c>
      <c r="H326" s="719">
        <v>46078</v>
      </c>
      <c r="I326" s="719">
        <v>46078</v>
      </c>
      <c r="J326" s="705" t="s">
        <v>366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3" t="s">
        <v>539</v>
      </c>
      <c r="C327" s="704" t="s">
        <v>550</v>
      </c>
      <c r="D327" s="704" t="s">
        <v>562</v>
      </c>
      <c r="E327" s="705" t="s">
        <v>368</v>
      </c>
      <c r="F327" s="705">
        <v>5</v>
      </c>
      <c r="G327" s="705">
        <v>5</v>
      </c>
      <c r="H327" s="719">
        <v>46079</v>
      </c>
      <c r="I327" s="719">
        <v>46079</v>
      </c>
      <c r="J327" s="705" t="s">
        <v>366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3" t="s">
        <v>539</v>
      </c>
      <c r="C328" s="704" t="s">
        <v>550</v>
      </c>
      <c r="D328" s="704" t="s">
        <v>561</v>
      </c>
      <c r="E328" s="705" t="s">
        <v>368</v>
      </c>
      <c r="F328" s="705">
        <v>1</v>
      </c>
      <c r="G328" s="705"/>
      <c r="H328" s="719"/>
      <c r="I328" s="719">
        <v>46174</v>
      </c>
      <c r="J328" s="705" t="s">
        <v>396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3" t="s">
        <v>539</v>
      </c>
      <c r="C329" s="704" t="s">
        <v>563</v>
      </c>
      <c r="D329" s="705" t="s">
        <v>564</v>
      </c>
      <c r="E329" s="705" t="s">
        <v>368</v>
      </c>
      <c r="F329" s="705">
        <v>3</v>
      </c>
      <c r="G329" s="705">
        <v>3</v>
      </c>
      <c r="H329" s="719">
        <v>46084</v>
      </c>
      <c r="I329" s="719">
        <v>46084</v>
      </c>
      <c r="J329" s="705" t="s">
        <v>366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3" t="s">
        <v>539</v>
      </c>
      <c r="C330" s="704" t="s">
        <v>563</v>
      </c>
      <c r="D330" s="705" t="s">
        <v>564</v>
      </c>
      <c r="E330" s="705" t="s">
        <v>408</v>
      </c>
      <c r="F330" s="705">
        <v>2</v>
      </c>
      <c r="G330" s="705">
        <v>2</v>
      </c>
      <c r="H330" s="719">
        <v>46084</v>
      </c>
      <c r="I330" s="719">
        <v>46084</v>
      </c>
      <c r="J330" s="705" t="s">
        <v>366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3" t="s">
        <v>539</v>
      </c>
      <c r="C331" s="704" t="s">
        <v>563</v>
      </c>
      <c r="D331" s="705" t="s">
        <v>564</v>
      </c>
      <c r="E331" s="705" t="s">
        <v>565</v>
      </c>
      <c r="F331" s="705">
        <v>2</v>
      </c>
      <c r="G331" s="705">
        <v>2</v>
      </c>
      <c r="H331" s="719">
        <v>46063</v>
      </c>
      <c r="I331" s="719">
        <v>46063</v>
      </c>
      <c r="J331" s="705" t="s">
        <v>366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3" t="s">
        <v>539</v>
      </c>
      <c r="C332" s="704" t="s">
        <v>563</v>
      </c>
      <c r="D332" s="705" t="s">
        <v>564</v>
      </c>
      <c r="E332" s="705" t="s">
        <v>419</v>
      </c>
      <c r="F332" s="705">
        <v>2</v>
      </c>
      <c r="G332" s="705">
        <v>2</v>
      </c>
      <c r="H332" s="719">
        <v>46063</v>
      </c>
      <c r="I332" s="719">
        <v>46063</v>
      </c>
      <c r="J332" s="705" t="s">
        <v>366</v>
      </c>
      <c r="K332" t="str">
        <f t="shared" si="19"/>
        <v>Infra</v>
      </c>
      <c r="L332" s="648" t="s">
        <v>420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3" t="s">
        <v>539</v>
      </c>
      <c r="C333" s="704" t="s">
        <v>563</v>
      </c>
      <c r="D333" s="705" t="s">
        <v>566</v>
      </c>
      <c r="E333" s="705" t="s">
        <v>368</v>
      </c>
      <c r="F333" s="705">
        <v>4</v>
      </c>
      <c r="G333" s="705">
        <v>4</v>
      </c>
      <c r="H333" s="719">
        <v>46084</v>
      </c>
      <c r="I333" s="719">
        <v>46084</v>
      </c>
      <c r="J333" s="705" t="s">
        <v>366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3" t="s">
        <v>539</v>
      </c>
      <c r="C334" s="704" t="s">
        <v>563</v>
      </c>
      <c r="D334" s="705" t="s">
        <v>566</v>
      </c>
      <c r="E334" s="705" t="s">
        <v>373</v>
      </c>
      <c r="F334" s="705">
        <v>3</v>
      </c>
      <c r="G334" s="705">
        <v>3</v>
      </c>
      <c r="H334" s="719">
        <v>46084</v>
      </c>
      <c r="I334" s="719">
        <v>46084</v>
      </c>
      <c r="J334" s="705" t="s">
        <v>366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3" t="s">
        <v>539</v>
      </c>
      <c r="C335" s="704" t="s">
        <v>563</v>
      </c>
      <c r="D335" s="705" t="s">
        <v>567</v>
      </c>
      <c r="E335" s="705" t="s">
        <v>368</v>
      </c>
      <c r="F335" s="705">
        <v>1</v>
      </c>
      <c r="G335" s="705">
        <v>1</v>
      </c>
      <c r="H335" s="719">
        <v>46084</v>
      </c>
      <c r="I335" s="719">
        <v>46084</v>
      </c>
      <c r="J335" s="705" t="s">
        <v>366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3" t="s">
        <v>539</v>
      </c>
      <c r="C336" s="704" t="s">
        <v>568</v>
      </c>
      <c r="D336" s="705" t="s">
        <v>569</v>
      </c>
      <c r="E336" s="705" t="s">
        <v>368</v>
      </c>
      <c r="F336" s="705">
        <v>1</v>
      </c>
      <c r="G336" s="705">
        <v>1</v>
      </c>
      <c r="H336" s="719">
        <v>46082</v>
      </c>
      <c r="I336" s="719">
        <v>46082</v>
      </c>
      <c r="J336" s="705" t="s">
        <v>366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3" t="s">
        <v>539</v>
      </c>
      <c r="C337" s="704" t="s">
        <v>568</v>
      </c>
      <c r="D337" s="705" t="s">
        <v>570</v>
      </c>
      <c r="E337" s="705" t="s">
        <v>408</v>
      </c>
      <c r="F337" s="705">
        <v>2</v>
      </c>
      <c r="G337" s="705">
        <v>2</v>
      </c>
      <c r="H337" s="719">
        <v>46081</v>
      </c>
      <c r="I337" s="719">
        <v>46081</v>
      </c>
      <c r="J337" s="705" t="s">
        <v>366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3" t="s">
        <v>539</v>
      </c>
      <c r="C338" s="704" t="s">
        <v>568</v>
      </c>
      <c r="D338" s="705" t="s">
        <v>571</v>
      </c>
      <c r="E338" s="705" t="s">
        <v>368</v>
      </c>
      <c r="F338" s="705">
        <v>7</v>
      </c>
      <c r="G338" s="705">
        <v>7</v>
      </c>
      <c r="H338" s="719">
        <v>46081</v>
      </c>
      <c r="I338" s="719">
        <v>46081</v>
      </c>
      <c r="J338" s="705" t="s">
        <v>366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3" t="s">
        <v>539</v>
      </c>
      <c r="C339" s="704" t="s">
        <v>568</v>
      </c>
      <c r="D339" s="705" t="s">
        <v>572</v>
      </c>
      <c r="E339" s="705" t="s">
        <v>368</v>
      </c>
      <c r="F339" s="705">
        <v>4</v>
      </c>
      <c r="G339" s="705">
        <v>4</v>
      </c>
      <c r="H339" s="719">
        <v>46081</v>
      </c>
      <c r="I339" s="719">
        <v>46081</v>
      </c>
      <c r="J339" s="705" t="s">
        <v>366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3" t="s">
        <v>539</v>
      </c>
      <c r="C340" s="704" t="s">
        <v>573</v>
      </c>
      <c r="D340" s="705" t="s">
        <v>569</v>
      </c>
      <c r="E340" s="705" t="s">
        <v>368</v>
      </c>
      <c r="F340" s="705">
        <v>8</v>
      </c>
      <c r="G340" s="705">
        <v>8</v>
      </c>
      <c r="H340" s="719">
        <v>46082</v>
      </c>
      <c r="I340" s="719">
        <v>46082</v>
      </c>
      <c r="J340" s="705" t="s">
        <v>366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3" t="s">
        <v>539</v>
      </c>
      <c r="C341" s="704" t="s">
        <v>573</v>
      </c>
      <c r="D341" s="705" t="s">
        <v>574</v>
      </c>
      <c r="E341" s="705" t="s">
        <v>408</v>
      </c>
      <c r="F341" s="705">
        <v>2</v>
      </c>
      <c r="G341" s="705">
        <v>2</v>
      </c>
      <c r="H341" s="719">
        <v>46082</v>
      </c>
      <c r="I341" s="719">
        <v>46082</v>
      </c>
      <c r="J341" s="705" t="s">
        <v>366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3" t="s">
        <v>539</v>
      </c>
      <c r="C342" s="704" t="s">
        <v>573</v>
      </c>
      <c r="D342" s="705" t="s">
        <v>575</v>
      </c>
      <c r="E342" s="705" t="s">
        <v>368</v>
      </c>
      <c r="F342" s="705">
        <v>1</v>
      </c>
      <c r="G342" s="705">
        <v>1</v>
      </c>
      <c r="H342" s="719">
        <v>46082</v>
      </c>
      <c r="I342" s="719">
        <v>46082</v>
      </c>
      <c r="J342" s="705" t="s">
        <v>366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3" t="s">
        <v>539</v>
      </c>
      <c r="C343" s="704" t="s">
        <v>576</v>
      </c>
      <c r="D343" s="705" t="s">
        <v>577</v>
      </c>
      <c r="E343" s="705" t="s">
        <v>408</v>
      </c>
      <c r="F343" s="705">
        <v>2</v>
      </c>
      <c r="G343" s="705">
        <v>2</v>
      </c>
      <c r="H343" s="719">
        <v>46084</v>
      </c>
      <c r="I343" s="719">
        <v>46084</v>
      </c>
      <c r="J343" s="705" t="s">
        <v>366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3" t="s">
        <v>539</v>
      </c>
      <c r="C344" s="704" t="s">
        <v>576</v>
      </c>
      <c r="D344" s="705" t="s">
        <v>578</v>
      </c>
      <c r="E344" s="705" t="s">
        <v>368</v>
      </c>
      <c r="F344" s="705">
        <v>4</v>
      </c>
      <c r="G344" s="705">
        <v>4</v>
      </c>
      <c r="H344" s="719">
        <v>46084</v>
      </c>
      <c r="I344" s="719">
        <v>46084</v>
      </c>
      <c r="J344" s="705" t="s">
        <v>366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3" t="s">
        <v>539</v>
      </c>
      <c r="C345" s="704" t="s">
        <v>576</v>
      </c>
      <c r="D345" s="704" t="s">
        <v>579</v>
      </c>
      <c r="E345" s="705" t="s">
        <v>368</v>
      </c>
      <c r="F345" s="705">
        <v>1</v>
      </c>
      <c r="G345" s="705">
        <v>1</v>
      </c>
      <c r="H345" s="719">
        <v>46084</v>
      </c>
      <c r="I345" s="719">
        <v>46084</v>
      </c>
      <c r="J345" s="705" t="s">
        <v>366</v>
      </c>
      <c r="K345" t="str">
        <f t="shared" si="19"/>
        <v>Switch</v>
      </c>
      <c r="L345" s="647" t="s">
        <v>580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3" t="s">
        <v>539</v>
      </c>
      <c r="C346" s="704" t="s">
        <v>581</v>
      </c>
      <c r="D346" s="705" t="s">
        <v>582</v>
      </c>
      <c r="E346" s="705" t="s">
        <v>368</v>
      </c>
      <c r="F346" s="705">
        <v>2</v>
      </c>
      <c r="G346" s="705">
        <v>2</v>
      </c>
      <c r="H346" s="719">
        <v>46084</v>
      </c>
      <c r="I346" s="719">
        <v>46084</v>
      </c>
      <c r="J346" s="705" t="s">
        <v>366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3" t="s">
        <v>539</v>
      </c>
      <c r="C347" s="704" t="s">
        <v>581</v>
      </c>
      <c r="D347" s="704" t="s">
        <v>583</v>
      </c>
      <c r="E347" s="705" t="s">
        <v>368</v>
      </c>
      <c r="F347" s="705">
        <v>2</v>
      </c>
      <c r="G347" s="705">
        <v>2</v>
      </c>
      <c r="H347" s="719">
        <v>46084</v>
      </c>
      <c r="I347" s="719">
        <v>46084</v>
      </c>
      <c r="J347" s="705" t="s">
        <v>366</v>
      </c>
      <c r="K347" t="str">
        <f t="shared" si="19"/>
        <v>Switch</v>
      </c>
      <c r="L347" s="647" t="s">
        <v>580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3" t="s">
        <v>539</v>
      </c>
      <c r="C348" s="704" t="s">
        <v>584</v>
      </c>
      <c r="D348" s="705" t="s">
        <v>585</v>
      </c>
      <c r="E348" s="705" t="s">
        <v>368</v>
      </c>
      <c r="F348" s="705">
        <v>3</v>
      </c>
      <c r="G348" s="705">
        <v>3</v>
      </c>
      <c r="H348" s="719">
        <v>46086</v>
      </c>
      <c r="I348" s="719">
        <v>46086</v>
      </c>
      <c r="J348" s="705" t="s">
        <v>366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3" t="s">
        <v>539</v>
      </c>
      <c r="C349" s="705" t="s">
        <v>586</v>
      </c>
      <c r="D349" s="705" t="s">
        <v>40</v>
      </c>
      <c r="E349" s="705" t="s">
        <v>362</v>
      </c>
      <c r="F349" s="705">
        <v>1</v>
      </c>
      <c r="G349" s="705"/>
      <c r="H349" s="719"/>
      <c r="I349" s="719">
        <v>46104</v>
      </c>
      <c r="J349" s="705" t="s">
        <v>363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3" t="s">
        <v>539</v>
      </c>
      <c r="C350" s="705" t="s">
        <v>586</v>
      </c>
      <c r="D350" s="705" t="s">
        <v>587</v>
      </c>
      <c r="E350" s="705" t="s">
        <v>368</v>
      </c>
      <c r="F350" s="705">
        <v>2</v>
      </c>
      <c r="G350" s="705"/>
      <c r="H350" s="719"/>
      <c r="I350" s="719">
        <v>46104</v>
      </c>
      <c r="J350" s="705" t="s">
        <v>363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3" t="s">
        <v>539</v>
      </c>
      <c r="C351" s="704" t="s">
        <v>588</v>
      </c>
      <c r="D351" s="705" t="s">
        <v>589</v>
      </c>
      <c r="E351" s="705" t="s">
        <v>368</v>
      </c>
      <c r="F351" s="705">
        <v>2</v>
      </c>
      <c r="G351" s="705">
        <v>2</v>
      </c>
      <c r="H351" s="719">
        <v>46095</v>
      </c>
      <c r="I351" s="719">
        <v>46095</v>
      </c>
      <c r="J351" s="705" t="s">
        <v>366</v>
      </c>
      <c r="K351" t="str">
        <f t="shared" si="19"/>
        <v>Switch</v>
      </c>
      <c r="L351" s="647" t="s">
        <v>590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3" t="s">
        <v>539</v>
      </c>
      <c r="C352" s="704" t="s">
        <v>588</v>
      </c>
      <c r="D352" s="705" t="s">
        <v>589</v>
      </c>
      <c r="E352" s="705" t="s">
        <v>408</v>
      </c>
      <c r="F352" s="705">
        <v>1</v>
      </c>
      <c r="G352" s="705">
        <v>2</v>
      </c>
      <c r="H352" s="719">
        <v>46095</v>
      </c>
      <c r="I352" s="719">
        <v>46095</v>
      </c>
      <c r="J352" s="705" t="s">
        <v>366</v>
      </c>
      <c r="K352" t="str">
        <f t="shared" si="19"/>
        <v>Switch</v>
      </c>
      <c r="L352" s="647" t="s">
        <v>591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3" t="s">
        <v>539</v>
      </c>
      <c r="C353" s="704" t="s">
        <v>592</v>
      </c>
      <c r="D353" s="705" t="s">
        <v>593</v>
      </c>
      <c r="E353" s="705" t="s">
        <v>368</v>
      </c>
      <c r="F353" s="705">
        <v>1</v>
      </c>
      <c r="G353" s="705">
        <v>1</v>
      </c>
      <c r="H353" s="719">
        <v>46080</v>
      </c>
      <c r="I353" s="719">
        <v>46080</v>
      </c>
      <c r="J353" s="705" t="s">
        <v>366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3" t="s">
        <v>539</v>
      </c>
      <c r="C354" s="704" t="s">
        <v>592</v>
      </c>
      <c r="D354" s="705" t="s">
        <v>594</v>
      </c>
      <c r="E354" s="705" t="s">
        <v>368</v>
      </c>
      <c r="F354" s="705">
        <v>2</v>
      </c>
      <c r="G354" s="705">
        <v>2</v>
      </c>
      <c r="H354" s="719">
        <v>46080</v>
      </c>
      <c r="I354" s="719">
        <v>46080</v>
      </c>
      <c r="J354" s="705" t="s">
        <v>366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3" t="s">
        <v>539</v>
      </c>
      <c r="C355" s="704" t="s">
        <v>595</v>
      </c>
      <c r="D355" s="705" t="s">
        <v>596</v>
      </c>
      <c r="E355" s="705" t="s">
        <v>368</v>
      </c>
      <c r="F355" s="705">
        <v>2</v>
      </c>
      <c r="G355" s="705">
        <v>2</v>
      </c>
      <c r="H355" s="719">
        <v>46095</v>
      </c>
      <c r="I355" s="719">
        <v>46095</v>
      </c>
      <c r="J355" s="705" t="s">
        <v>366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3" t="s">
        <v>539</v>
      </c>
      <c r="C356" s="705" t="s">
        <v>597</v>
      </c>
      <c r="D356" s="705" t="s">
        <v>598</v>
      </c>
      <c r="E356" s="705" t="s">
        <v>368</v>
      </c>
      <c r="F356" s="705">
        <v>2</v>
      </c>
      <c r="G356" s="705"/>
      <c r="H356" s="719"/>
      <c r="I356" s="719">
        <v>46104</v>
      </c>
      <c r="J356" s="705" t="s">
        <v>363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3" t="s">
        <v>539</v>
      </c>
      <c r="C357" s="705" t="s">
        <v>599</v>
      </c>
      <c r="D357" s="705" t="s">
        <v>600</v>
      </c>
      <c r="E357" s="705" t="s">
        <v>368</v>
      </c>
      <c r="F357" s="705">
        <v>2</v>
      </c>
      <c r="G357" s="705"/>
      <c r="H357" s="719"/>
      <c r="I357" s="719">
        <v>46104</v>
      </c>
      <c r="J357" s="705" t="s">
        <v>363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3" t="s">
        <v>539</v>
      </c>
      <c r="C358" s="704" t="s">
        <v>601</v>
      </c>
      <c r="D358" s="705" t="s">
        <v>602</v>
      </c>
      <c r="E358" s="705" t="s">
        <v>368</v>
      </c>
      <c r="F358" s="705">
        <v>2</v>
      </c>
      <c r="G358" s="705"/>
      <c r="H358" s="719"/>
      <c r="I358" s="719">
        <v>46104</v>
      </c>
      <c r="J358" s="705" t="s">
        <v>363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3" t="s">
        <v>539</v>
      </c>
      <c r="C359" s="705" t="s">
        <v>603</v>
      </c>
      <c r="D359" s="705" t="s">
        <v>604</v>
      </c>
      <c r="E359" s="705" t="s">
        <v>368</v>
      </c>
      <c r="F359" s="705">
        <v>2</v>
      </c>
      <c r="G359" s="705"/>
      <c r="H359" s="719"/>
      <c r="I359" s="719">
        <v>46104</v>
      </c>
      <c r="J359" s="705" t="s">
        <v>363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3" t="s">
        <v>539</v>
      </c>
      <c r="C360" s="705" t="s">
        <v>605</v>
      </c>
      <c r="D360" s="705" t="s">
        <v>564</v>
      </c>
      <c r="E360" s="705" t="s">
        <v>408</v>
      </c>
      <c r="F360" s="705">
        <v>2</v>
      </c>
      <c r="G360" s="705"/>
      <c r="H360" s="719"/>
      <c r="I360" s="719">
        <v>46104</v>
      </c>
      <c r="J360" s="705" t="s">
        <v>363</v>
      </c>
      <c r="K360" t="str">
        <f t="shared" si="19"/>
        <v>Switch</v>
      </c>
      <c r="L360" s="647" t="s">
        <v>606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3" t="s">
        <v>539</v>
      </c>
      <c r="C361" s="705" t="s">
        <v>607</v>
      </c>
      <c r="D361" s="705" t="s">
        <v>608</v>
      </c>
      <c r="E361" s="705" t="s">
        <v>368</v>
      </c>
      <c r="F361" s="705">
        <v>2</v>
      </c>
      <c r="G361" s="705"/>
      <c r="H361" s="719"/>
      <c r="I361" s="719">
        <v>46104</v>
      </c>
      <c r="J361" s="705" t="s">
        <v>363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3" t="s">
        <v>539</v>
      </c>
      <c r="C362" s="704" t="s">
        <v>609</v>
      </c>
      <c r="D362" s="705" t="s">
        <v>483</v>
      </c>
      <c r="E362" s="705" t="s">
        <v>547</v>
      </c>
      <c r="F362" s="705">
        <v>2</v>
      </c>
      <c r="G362" s="705"/>
      <c r="H362" s="719"/>
      <c r="I362" s="719">
        <v>46104</v>
      </c>
      <c r="J362" s="705" t="s">
        <v>363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3" t="s">
        <v>539</v>
      </c>
      <c r="C363" s="704" t="s">
        <v>610</v>
      </c>
      <c r="D363" s="705" t="s">
        <v>611</v>
      </c>
      <c r="E363" s="705" t="s">
        <v>368</v>
      </c>
      <c r="F363" s="705">
        <v>1</v>
      </c>
      <c r="G363" s="705">
        <v>1</v>
      </c>
      <c r="H363" s="719">
        <v>46079</v>
      </c>
      <c r="I363" s="719">
        <v>46079</v>
      </c>
      <c r="J363" s="705" t="s">
        <v>366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3" t="s">
        <v>539</v>
      </c>
      <c r="C364" s="704" t="s">
        <v>612</v>
      </c>
      <c r="D364" s="705" t="s">
        <v>613</v>
      </c>
      <c r="E364" s="705" t="s">
        <v>368</v>
      </c>
      <c r="F364" s="705">
        <v>1</v>
      </c>
      <c r="G364" s="705">
        <v>1</v>
      </c>
      <c r="H364" s="719">
        <v>46095</v>
      </c>
      <c r="I364" s="719">
        <v>46095</v>
      </c>
      <c r="J364" s="705" t="s">
        <v>366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3" t="s">
        <v>539</v>
      </c>
      <c r="C365" s="704" t="s">
        <v>614</v>
      </c>
      <c r="D365" s="705" t="s">
        <v>615</v>
      </c>
      <c r="E365" s="705" t="s">
        <v>368</v>
      </c>
      <c r="F365" s="705">
        <v>1</v>
      </c>
      <c r="G365" s="705">
        <v>1</v>
      </c>
      <c r="H365" s="719">
        <v>46079</v>
      </c>
      <c r="I365" s="719">
        <v>46079</v>
      </c>
      <c r="J365" s="705" t="s">
        <v>366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3" t="s">
        <v>539</v>
      </c>
      <c r="C366" s="704" t="s">
        <v>616</v>
      </c>
      <c r="D366" s="705" t="s">
        <v>617</v>
      </c>
      <c r="E366" s="705" t="s">
        <v>368</v>
      </c>
      <c r="F366" s="705">
        <v>1</v>
      </c>
      <c r="G366" s="705">
        <v>1</v>
      </c>
      <c r="H366" s="719">
        <v>46095</v>
      </c>
      <c r="I366" s="719">
        <v>46095</v>
      </c>
      <c r="J366" s="705" t="s">
        <v>366</v>
      </c>
      <c r="K366" t="str">
        <f t="shared" si="19"/>
        <v>Switch</v>
      </c>
      <c r="L366" s="647" t="s">
        <v>393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3" t="s">
        <v>539</v>
      </c>
      <c r="C367" s="704" t="s">
        <v>618</v>
      </c>
      <c r="D367" s="705" t="s">
        <v>619</v>
      </c>
      <c r="E367" s="705" t="s">
        <v>368</v>
      </c>
      <c r="F367" s="705">
        <v>1</v>
      </c>
      <c r="G367" s="705">
        <v>1</v>
      </c>
      <c r="H367" s="719">
        <v>46079</v>
      </c>
      <c r="I367" s="719">
        <v>46079</v>
      </c>
      <c r="J367" s="705" t="s">
        <v>366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3" t="s">
        <v>539</v>
      </c>
      <c r="C368" s="704" t="s">
        <v>620</v>
      </c>
      <c r="D368" s="705" t="s">
        <v>621</v>
      </c>
      <c r="E368" s="705" t="s">
        <v>368</v>
      </c>
      <c r="F368" s="705">
        <v>1</v>
      </c>
      <c r="G368" s="705">
        <v>1</v>
      </c>
      <c r="H368" s="719">
        <v>46080</v>
      </c>
      <c r="I368" s="719">
        <v>46080</v>
      </c>
      <c r="J368" s="705" t="s">
        <v>366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3" t="s">
        <v>539</v>
      </c>
      <c r="C369" s="704" t="s">
        <v>622</v>
      </c>
      <c r="D369" s="705" t="s">
        <v>623</v>
      </c>
      <c r="E369" s="705" t="s">
        <v>368</v>
      </c>
      <c r="F369" s="705">
        <v>1</v>
      </c>
      <c r="G369" s="705">
        <v>1</v>
      </c>
      <c r="H369" s="719">
        <v>46080</v>
      </c>
      <c r="I369" s="719">
        <v>46080</v>
      </c>
      <c r="J369" s="705" t="s">
        <v>366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3" t="s">
        <v>539</v>
      </c>
      <c r="C370" s="704" t="s">
        <v>624</v>
      </c>
      <c r="D370" s="705" t="s">
        <v>625</v>
      </c>
      <c r="E370" s="705" t="s">
        <v>368</v>
      </c>
      <c r="F370" s="705">
        <v>1</v>
      </c>
      <c r="G370" s="705">
        <v>1</v>
      </c>
      <c r="H370" s="719">
        <v>46080</v>
      </c>
      <c r="I370" s="719">
        <v>46080</v>
      </c>
      <c r="J370" s="705" t="s">
        <v>366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3" t="s">
        <v>539</v>
      </c>
      <c r="C371" s="704" t="s">
        <v>626</v>
      </c>
      <c r="D371" s="705" t="s">
        <v>627</v>
      </c>
      <c r="E371" s="705" t="s">
        <v>368</v>
      </c>
      <c r="F371" s="705">
        <v>1</v>
      </c>
      <c r="G371" s="705">
        <v>1</v>
      </c>
      <c r="H371" s="719">
        <v>46080</v>
      </c>
      <c r="I371" s="719">
        <v>46080</v>
      </c>
      <c r="J371" s="705" t="s">
        <v>366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3" t="s">
        <v>539</v>
      </c>
      <c r="C372" s="704" t="s">
        <v>628</v>
      </c>
      <c r="D372" s="705" t="s">
        <v>629</v>
      </c>
      <c r="E372" s="705" t="s">
        <v>368</v>
      </c>
      <c r="F372" s="705">
        <v>1</v>
      </c>
      <c r="G372" s="705">
        <v>1</v>
      </c>
      <c r="H372" s="719">
        <v>46080</v>
      </c>
      <c r="I372" s="719">
        <v>46080</v>
      </c>
      <c r="J372" s="705" t="s">
        <v>366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3" t="s">
        <v>539</v>
      </c>
      <c r="C373" s="704" t="s">
        <v>630</v>
      </c>
      <c r="D373" s="705" t="s">
        <v>631</v>
      </c>
      <c r="E373" s="705" t="s">
        <v>368</v>
      </c>
      <c r="F373" s="705">
        <v>1</v>
      </c>
      <c r="G373" s="705">
        <v>1</v>
      </c>
      <c r="H373" s="719">
        <v>46079</v>
      </c>
      <c r="I373" s="719">
        <v>46079</v>
      </c>
      <c r="J373" s="705" t="s">
        <v>366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3" t="s">
        <v>539</v>
      </c>
      <c r="C374" s="704" t="s">
        <v>632</v>
      </c>
      <c r="D374" s="705" t="s">
        <v>633</v>
      </c>
      <c r="E374" s="705" t="s">
        <v>368</v>
      </c>
      <c r="F374" s="705">
        <v>1</v>
      </c>
      <c r="G374" s="705">
        <v>1</v>
      </c>
      <c r="H374" s="719">
        <v>46095</v>
      </c>
      <c r="I374" s="719">
        <v>46095</v>
      </c>
      <c r="J374" s="705" t="s">
        <v>366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3" t="s">
        <v>634</v>
      </c>
      <c r="C375" s="704" t="s">
        <v>635</v>
      </c>
      <c r="D375" s="705" t="s">
        <v>40</v>
      </c>
      <c r="E375" s="705" t="s">
        <v>362</v>
      </c>
      <c r="F375" s="705">
        <v>44</v>
      </c>
      <c r="G375" s="705"/>
      <c r="H375" s="719"/>
      <c r="I375" s="719">
        <v>46139</v>
      </c>
      <c r="J375" s="705" t="s">
        <v>363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3" t="s">
        <v>634</v>
      </c>
      <c r="C376" s="704" t="s">
        <v>635</v>
      </c>
      <c r="D376" s="705" t="s">
        <v>636</v>
      </c>
      <c r="E376" s="705" t="s">
        <v>368</v>
      </c>
      <c r="F376" s="705">
        <v>3</v>
      </c>
      <c r="G376" s="705"/>
      <c r="H376" s="719"/>
      <c r="I376" s="719">
        <v>46142</v>
      </c>
      <c r="J376" s="705" t="s">
        <v>363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3" t="s">
        <v>634</v>
      </c>
      <c r="C377" s="704" t="s">
        <v>635</v>
      </c>
      <c r="D377" s="705" t="s">
        <v>636</v>
      </c>
      <c r="E377" s="705" t="s">
        <v>373</v>
      </c>
      <c r="F377" s="705">
        <v>2</v>
      </c>
      <c r="G377" s="705"/>
      <c r="H377" s="719"/>
      <c r="I377" s="719">
        <v>46142</v>
      </c>
      <c r="J377" s="705" t="s">
        <v>363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3" t="s">
        <v>634</v>
      </c>
      <c r="C378" s="704" t="s">
        <v>635</v>
      </c>
      <c r="D378" s="705" t="s">
        <v>637</v>
      </c>
      <c r="E378" s="705" t="s">
        <v>368</v>
      </c>
      <c r="F378" s="705">
        <v>3</v>
      </c>
      <c r="G378" s="705"/>
      <c r="H378" s="719"/>
      <c r="I378" s="719">
        <v>46147</v>
      </c>
      <c r="J378" s="705" t="s">
        <v>363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3" t="s">
        <v>634</v>
      </c>
      <c r="C379" s="704" t="s">
        <v>635</v>
      </c>
      <c r="D379" s="705" t="s">
        <v>637</v>
      </c>
      <c r="E379" s="705" t="s">
        <v>373</v>
      </c>
      <c r="F379" s="705">
        <v>3</v>
      </c>
      <c r="G379" s="705"/>
      <c r="H379" s="719"/>
      <c r="I379" s="719">
        <v>46147</v>
      </c>
      <c r="J379" s="705" t="s">
        <v>363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3" t="s">
        <v>634</v>
      </c>
      <c r="C380" s="704" t="s">
        <v>635</v>
      </c>
      <c r="D380" s="705" t="s">
        <v>638</v>
      </c>
      <c r="E380" s="705" t="s">
        <v>368</v>
      </c>
      <c r="F380" s="705">
        <v>3</v>
      </c>
      <c r="G380" s="705"/>
      <c r="H380" s="719"/>
      <c r="I380" s="719">
        <v>46147</v>
      </c>
      <c r="J380" s="705" t="s">
        <v>363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3" t="s">
        <v>634</v>
      </c>
      <c r="C381" s="704" t="s">
        <v>635</v>
      </c>
      <c r="D381" s="705" t="s">
        <v>638</v>
      </c>
      <c r="E381" s="705" t="s">
        <v>373</v>
      </c>
      <c r="F381" s="705">
        <v>3</v>
      </c>
      <c r="G381" s="705"/>
      <c r="H381" s="719"/>
      <c r="I381" s="719">
        <v>46147</v>
      </c>
      <c r="J381" s="705" t="s">
        <v>363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3" t="s">
        <v>634</v>
      </c>
      <c r="C382" s="704" t="s">
        <v>635</v>
      </c>
      <c r="D382" s="705" t="s">
        <v>639</v>
      </c>
      <c r="E382" s="705" t="s">
        <v>368</v>
      </c>
      <c r="F382" s="705">
        <v>3</v>
      </c>
      <c r="G382" s="705"/>
      <c r="H382" s="719"/>
      <c r="I382" s="719">
        <v>46148</v>
      </c>
      <c r="J382" s="705" t="s">
        <v>363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3" t="s">
        <v>634</v>
      </c>
      <c r="C383" s="704" t="s">
        <v>635</v>
      </c>
      <c r="D383" s="705" t="s">
        <v>639</v>
      </c>
      <c r="E383" s="705" t="s">
        <v>373</v>
      </c>
      <c r="F383" s="705">
        <v>3</v>
      </c>
      <c r="G383" s="705"/>
      <c r="H383" s="719"/>
      <c r="I383" s="719">
        <v>46148</v>
      </c>
      <c r="J383" s="705" t="s">
        <v>363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3" t="s">
        <v>634</v>
      </c>
      <c r="C384" s="704" t="s">
        <v>635</v>
      </c>
      <c r="D384" s="705" t="s">
        <v>640</v>
      </c>
      <c r="E384" s="705" t="s">
        <v>368</v>
      </c>
      <c r="F384" s="705">
        <v>3</v>
      </c>
      <c r="G384" s="705"/>
      <c r="H384" s="719"/>
      <c r="I384" s="719">
        <v>46148</v>
      </c>
      <c r="J384" s="705" t="s">
        <v>363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3" t="s">
        <v>634</v>
      </c>
      <c r="C385" s="704" t="s">
        <v>635</v>
      </c>
      <c r="D385" s="705" t="s">
        <v>640</v>
      </c>
      <c r="E385" s="705" t="s">
        <v>373</v>
      </c>
      <c r="F385" s="705">
        <v>3</v>
      </c>
      <c r="G385" s="705"/>
      <c r="H385" s="719"/>
      <c r="I385" s="719">
        <v>46148</v>
      </c>
      <c r="J385" s="705" t="s">
        <v>363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3" t="s">
        <v>634</v>
      </c>
      <c r="C386" s="704" t="s">
        <v>635</v>
      </c>
      <c r="D386" s="705" t="s">
        <v>641</v>
      </c>
      <c r="E386" s="705" t="s">
        <v>368</v>
      </c>
      <c r="F386" s="705">
        <v>3</v>
      </c>
      <c r="G386" s="705"/>
      <c r="H386" s="719"/>
      <c r="I386" s="719">
        <v>46149</v>
      </c>
      <c r="J386" s="705" t="s">
        <v>363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3" t="s">
        <v>634</v>
      </c>
      <c r="C387" s="704" t="s">
        <v>635</v>
      </c>
      <c r="D387" s="705" t="s">
        <v>641</v>
      </c>
      <c r="E387" s="705" t="s">
        <v>373</v>
      </c>
      <c r="F387" s="705">
        <v>3</v>
      </c>
      <c r="G387" s="705"/>
      <c r="H387" s="719"/>
      <c r="I387" s="719">
        <v>46149</v>
      </c>
      <c r="J387" s="705" t="s">
        <v>363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3" t="s">
        <v>634</v>
      </c>
      <c r="C388" s="704" t="s">
        <v>635</v>
      </c>
      <c r="D388" s="705" t="s">
        <v>642</v>
      </c>
      <c r="E388" s="705" t="s">
        <v>368</v>
      </c>
      <c r="F388" s="705">
        <v>3</v>
      </c>
      <c r="G388" s="705"/>
      <c r="H388" s="719"/>
      <c r="I388" s="719">
        <v>46149</v>
      </c>
      <c r="J388" s="705" t="s">
        <v>363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3" t="s">
        <v>634</v>
      </c>
      <c r="C389" s="704" t="s">
        <v>635</v>
      </c>
      <c r="D389" s="705" t="s">
        <v>642</v>
      </c>
      <c r="E389" s="705" t="s">
        <v>373</v>
      </c>
      <c r="F389" s="705">
        <v>3</v>
      </c>
      <c r="G389" s="705"/>
      <c r="H389" s="719"/>
      <c r="I389" s="719">
        <v>46149</v>
      </c>
      <c r="J389" s="705" t="s">
        <v>363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3" t="s">
        <v>634</v>
      </c>
      <c r="C390" s="704" t="s">
        <v>635</v>
      </c>
      <c r="D390" s="705" t="s">
        <v>643</v>
      </c>
      <c r="E390" s="705" t="s">
        <v>368</v>
      </c>
      <c r="F390" s="705">
        <v>3</v>
      </c>
      <c r="G390" s="705"/>
      <c r="H390" s="719"/>
      <c r="I390" s="719">
        <v>46150</v>
      </c>
      <c r="J390" s="705" t="s">
        <v>363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3" t="s">
        <v>634</v>
      </c>
      <c r="C391" s="704" t="s">
        <v>635</v>
      </c>
      <c r="D391" s="705" t="s">
        <v>643</v>
      </c>
      <c r="E391" s="705" t="s">
        <v>373</v>
      </c>
      <c r="F391" s="705">
        <v>3</v>
      </c>
      <c r="G391" s="705"/>
      <c r="H391" s="719"/>
      <c r="I391" s="719">
        <v>46150</v>
      </c>
      <c r="J391" s="705" t="s">
        <v>363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3" t="s">
        <v>634</v>
      </c>
      <c r="C392" s="704" t="s">
        <v>635</v>
      </c>
      <c r="D392" s="705" t="s">
        <v>644</v>
      </c>
      <c r="E392" s="705" t="s">
        <v>368</v>
      </c>
      <c r="F392" s="705">
        <v>3</v>
      </c>
      <c r="G392" s="705"/>
      <c r="H392" s="719"/>
      <c r="I392" s="719">
        <v>46150</v>
      </c>
      <c r="J392" s="705" t="s">
        <v>363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3" t="s">
        <v>634</v>
      </c>
      <c r="C393" s="704" t="s">
        <v>635</v>
      </c>
      <c r="D393" s="705" t="s">
        <v>644</v>
      </c>
      <c r="E393" s="705" t="s">
        <v>373</v>
      </c>
      <c r="F393" s="705">
        <v>3</v>
      </c>
      <c r="G393" s="705"/>
      <c r="H393" s="719"/>
      <c r="I393" s="719">
        <v>46150</v>
      </c>
      <c r="J393" s="705" t="s">
        <v>363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3" t="s">
        <v>634</v>
      </c>
      <c r="C394" s="704" t="s">
        <v>635</v>
      </c>
      <c r="D394" s="705" t="s">
        <v>645</v>
      </c>
      <c r="E394" s="705" t="s">
        <v>368</v>
      </c>
      <c r="F394" s="705">
        <v>3</v>
      </c>
      <c r="G394" s="705"/>
      <c r="H394" s="719"/>
      <c r="I394" s="719">
        <v>46153</v>
      </c>
      <c r="J394" s="705" t="s">
        <v>363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3" t="s">
        <v>634</v>
      </c>
      <c r="C395" s="704" t="s">
        <v>635</v>
      </c>
      <c r="D395" s="705" t="s">
        <v>645</v>
      </c>
      <c r="E395" s="705" t="s">
        <v>373</v>
      </c>
      <c r="F395" s="705">
        <v>3</v>
      </c>
      <c r="G395" s="705"/>
      <c r="H395" s="719"/>
      <c r="I395" s="719">
        <v>46153</v>
      </c>
      <c r="J395" s="705" t="s">
        <v>363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3" t="s">
        <v>634</v>
      </c>
      <c r="C396" s="704" t="s">
        <v>635</v>
      </c>
      <c r="D396" s="705" t="s">
        <v>646</v>
      </c>
      <c r="E396" s="705" t="s">
        <v>368</v>
      </c>
      <c r="F396" s="705">
        <v>1</v>
      </c>
      <c r="G396" s="705"/>
      <c r="H396" s="719"/>
      <c r="I396" s="719">
        <v>46153</v>
      </c>
      <c r="J396" s="705" t="s">
        <v>363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3" t="s">
        <v>634</v>
      </c>
      <c r="C397" s="704" t="s">
        <v>635</v>
      </c>
      <c r="D397" s="705" t="s">
        <v>646</v>
      </c>
      <c r="E397" s="705" t="s">
        <v>373</v>
      </c>
      <c r="F397" s="705">
        <v>1</v>
      </c>
      <c r="G397" s="705"/>
      <c r="H397" s="719"/>
      <c r="I397" s="719">
        <v>46153</v>
      </c>
      <c r="J397" s="705" t="s">
        <v>363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3" t="s">
        <v>634</v>
      </c>
      <c r="C398" s="704" t="s">
        <v>635</v>
      </c>
      <c r="D398" s="705" t="s">
        <v>647</v>
      </c>
      <c r="E398" s="705" t="s">
        <v>368</v>
      </c>
      <c r="F398" s="705">
        <v>1</v>
      </c>
      <c r="G398" s="705"/>
      <c r="H398" s="719"/>
      <c r="I398" s="719">
        <v>46153</v>
      </c>
      <c r="J398" s="705" t="s">
        <v>363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3" t="s">
        <v>634</v>
      </c>
      <c r="C399" s="704" t="s">
        <v>635</v>
      </c>
      <c r="D399" s="705" t="s">
        <v>647</v>
      </c>
      <c r="E399" s="705" t="s">
        <v>373</v>
      </c>
      <c r="F399" s="705">
        <v>1</v>
      </c>
      <c r="G399" s="705"/>
      <c r="H399" s="719"/>
      <c r="I399" s="719">
        <v>46153</v>
      </c>
      <c r="J399" s="705" t="s">
        <v>363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3" t="s">
        <v>634</v>
      </c>
      <c r="C400" s="704" t="s">
        <v>635</v>
      </c>
      <c r="D400" s="705" t="s">
        <v>647</v>
      </c>
      <c r="E400" s="705" t="s">
        <v>408</v>
      </c>
      <c r="F400" s="705">
        <v>1</v>
      </c>
      <c r="G400" s="705"/>
      <c r="H400" s="719"/>
      <c r="I400" s="719">
        <v>46153</v>
      </c>
      <c r="J400" s="705" t="s">
        <v>363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3" t="s">
        <v>634</v>
      </c>
      <c r="C401" s="704" t="s">
        <v>635</v>
      </c>
      <c r="D401" s="705" t="s">
        <v>648</v>
      </c>
      <c r="E401" s="705" t="s">
        <v>368</v>
      </c>
      <c r="F401" s="705">
        <v>3</v>
      </c>
      <c r="G401" s="705"/>
      <c r="H401" s="719"/>
      <c r="I401" s="719">
        <v>46155</v>
      </c>
      <c r="J401" s="705" t="s">
        <v>363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3" t="s">
        <v>634</v>
      </c>
      <c r="C402" s="704" t="s">
        <v>635</v>
      </c>
      <c r="D402" s="705" t="s">
        <v>648</v>
      </c>
      <c r="E402" s="705" t="s">
        <v>373</v>
      </c>
      <c r="F402" s="705">
        <v>1</v>
      </c>
      <c r="G402" s="705"/>
      <c r="H402" s="719"/>
      <c r="I402" s="719">
        <v>46155</v>
      </c>
      <c r="J402" s="705" t="s">
        <v>363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3" t="s">
        <v>634</v>
      </c>
      <c r="C403" s="704" t="s">
        <v>635</v>
      </c>
      <c r="D403" s="705" t="s">
        <v>648</v>
      </c>
      <c r="E403" s="705" t="s">
        <v>410</v>
      </c>
      <c r="F403" s="705">
        <v>1</v>
      </c>
      <c r="G403" s="705"/>
      <c r="H403" s="719"/>
      <c r="I403" s="719">
        <v>46155</v>
      </c>
      <c r="J403" s="705" t="s">
        <v>363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3" t="s">
        <v>634</v>
      </c>
      <c r="C404" s="704" t="s">
        <v>635</v>
      </c>
      <c r="D404" s="705" t="s">
        <v>648</v>
      </c>
      <c r="E404" s="705" t="s">
        <v>408</v>
      </c>
      <c r="F404" s="705">
        <v>1</v>
      </c>
      <c r="G404" s="705"/>
      <c r="H404" s="719"/>
      <c r="I404" s="719">
        <v>46155</v>
      </c>
      <c r="J404" s="705" t="s">
        <v>363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3" t="s">
        <v>634</v>
      </c>
      <c r="C405" s="704" t="s">
        <v>635</v>
      </c>
      <c r="D405" s="705" t="s">
        <v>649</v>
      </c>
      <c r="E405" s="705" t="s">
        <v>368</v>
      </c>
      <c r="F405" s="705">
        <v>1</v>
      </c>
      <c r="G405" s="705"/>
      <c r="H405" s="719"/>
      <c r="I405" s="719">
        <v>46155</v>
      </c>
      <c r="J405" s="705" t="s">
        <v>363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3" t="s">
        <v>634</v>
      </c>
      <c r="C406" s="704" t="s">
        <v>635</v>
      </c>
      <c r="D406" s="705" t="s">
        <v>649</v>
      </c>
      <c r="E406" s="705" t="s">
        <v>373</v>
      </c>
      <c r="F406" s="705">
        <v>1</v>
      </c>
      <c r="G406" s="705"/>
      <c r="H406" s="719"/>
      <c r="I406" s="719">
        <v>46155</v>
      </c>
      <c r="J406" s="705" t="s">
        <v>363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3" t="s">
        <v>634</v>
      </c>
      <c r="C407" s="704" t="s">
        <v>635</v>
      </c>
      <c r="D407" s="705" t="s">
        <v>649</v>
      </c>
      <c r="E407" s="705" t="s">
        <v>410</v>
      </c>
      <c r="F407" s="705">
        <v>1</v>
      </c>
      <c r="G407" s="705"/>
      <c r="H407" s="719"/>
      <c r="I407" s="719">
        <v>46155</v>
      </c>
      <c r="J407" s="705" t="s">
        <v>363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3" t="s">
        <v>634</v>
      </c>
      <c r="C408" s="704" t="s">
        <v>635</v>
      </c>
      <c r="D408" s="705" t="s">
        <v>649</v>
      </c>
      <c r="E408" s="705" t="s">
        <v>408</v>
      </c>
      <c r="F408" s="705">
        <v>1</v>
      </c>
      <c r="G408" s="705"/>
      <c r="H408" s="719"/>
      <c r="I408" s="719">
        <v>46155</v>
      </c>
      <c r="J408" s="705" t="s">
        <v>363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3" t="s">
        <v>634</v>
      </c>
      <c r="C409" s="704" t="s">
        <v>635</v>
      </c>
      <c r="D409" s="705" t="s">
        <v>650</v>
      </c>
      <c r="E409" s="705" t="s">
        <v>368</v>
      </c>
      <c r="F409" s="705">
        <v>1</v>
      </c>
      <c r="G409" s="705"/>
      <c r="H409" s="719"/>
      <c r="I409" s="719">
        <v>46155</v>
      </c>
      <c r="J409" s="705" t="s">
        <v>363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3" t="s">
        <v>634</v>
      </c>
      <c r="C410" s="704" t="s">
        <v>635</v>
      </c>
      <c r="D410" s="705" t="s">
        <v>650</v>
      </c>
      <c r="E410" s="705" t="s">
        <v>373</v>
      </c>
      <c r="F410" s="705">
        <v>1</v>
      </c>
      <c r="G410" s="705"/>
      <c r="H410" s="719"/>
      <c r="I410" s="719">
        <v>46155</v>
      </c>
      <c r="J410" s="705" t="s">
        <v>363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3" t="s">
        <v>634</v>
      </c>
      <c r="C411" s="704" t="s">
        <v>635</v>
      </c>
      <c r="D411" s="705" t="s">
        <v>650</v>
      </c>
      <c r="E411" s="705" t="s">
        <v>410</v>
      </c>
      <c r="F411" s="705">
        <v>1</v>
      </c>
      <c r="G411" s="705"/>
      <c r="H411" s="719"/>
      <c r="I411" s="719">
        <v>46155</v>
      </c>
      <c r="J411" s="705" t="s">
        <v>363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3" t="s">
        <v>634</v>
      </c>
      <c r="C412" s="704" t="s">
        <v>635</v>
      </c>
      <c r="D412" s="705" t="s">
        <v>651</v>
      </c>
      <c r="E412" s="705" t="s">
        <v>368</v>
      </c>
      <c r="F412" s="705">
        <v>1</v>
      </c>
      <c r="G412" s="705"/>
      <c r="H412" s="719"/>
      <c r="I412" s="719">
        <v>46156</v>
      </c>
      <c r="J412" s="705" t="s">
        <v>363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3" t="s">
        <v>634</v>
      </c>
      <c r="C413" s="704" t="s">
        <v>635</v>
      </c>
      <c r="D413" s="705" t="s">
        <v>651</v>
      </c>
      <c r="E413" s="705" t="s">
        <v>373</v>
      </c>
      <c r="F413" s="705">
        <v>1</v>
      </c>
      <c r="G413" s="705"/>
      <c r="H413" s="719"/>
      <c r="I413" s="719">
        <v>46156</v>
      </c>
      <c r="J413" s="705" t="s">
        <v>363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3" t="s">
        <v>634</v>
      </c>
      <c r="C414" s="704" t="s">
        <v>635</v>
      </c>
      <c r="D414" s="705" t="s">
        <v>652</v>
      </c>
      <c r="E414" s="705" t="s">
        <v>368</v>
      </c>
      <c r="F414" s="705">
        <v>1</v>
      </c>
      <c r="G414" s="705"/>
      <c r="H414" s="719"/>
      <c r="I414" s="719">
        <v>46156</v>
      </c>
      <c r="J414" s="705" t="s">
        <v>363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3" t="s">
        <v>634</v>
      </c>
      <c r="C415" s="704" t="s">
        <v>635</v>
      </c>
      <c r="D415" s="705" t="s">
        <v>652</v>
      </c>
      <c r="E415" s="705" t="s">
        <v>373</v>
      </c>
      <c r="F415" s="705">
        <v>1</v>
      </c>
      <c r="G415" s="705"/>
      <c r="H415" s="719"/>
      <c r="I415" s="719">
        <v>46156</v>
      </c>
      <c r="J415" s="705" t="s">
        <v>363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3" t="s">
        <v>634</v>
      </c>
      <c r="C416" s="704" t="s">
        <v>635</v>
      </c>
      <c r="D416" s="705" t="s">
        <v>652</v>
      </c>
      <c r="E416" s="705" t="s">
        <v>410</v>
      </c>
      <c r="F416" s="705">
        <v>1</v>
      </c>
      <c r="G416" s="705"/>
      <c r="H416" s="719"/>
      <c r="I416" s="719">
        <v>46156</v>
      </c>
      <c r="J416" s="705" t="s">
        <v>363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3" t="s">
        <v>634</v>
      </c>
      <c r="C417" s="704" t="s">
        <v>635</v>
      </c>
      <c r="D417" s="705" t="s">
        <v>653</v>
      </c>
      <c r="E417" s="705" t="s">
        <v>368</v>
      </c>
      <c r="F417" s="705">
        <v>4</v>
      </c>
      <c r="G417" s="705"/>
      <c r="H417" s="719"/>
      <c r="I417" s="719">
        <v>46156</v>
      </c>
      <c r="J417" s="705" t="s">
        <v>363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3" t="s">
        <v>634</v>
      </c>
      <c r="C418" s="704" t="s">
        <v>635</v>
      </c>
      <c r="D418" s="705" t="s">
        <v>653</v>
      </c>
      <c r="E418" s="705" t="s">
        <v>373</v>
      </c>
      <c r="F418" s="705">
        <v>3</v>
      </c>
      <c r="G418" s="705"/>
      <c r="H418" s="719"/>
      <c r="I418" s="719">
        <v>46156</v>
      </c>
      <c r="J418" s="705" t="s">
        <v>363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3" t="s">
        <v>634</v>
      </c>
      <c r="C419" s="704" t="s">
        <v>635</v>
      </c>
      <c r="D419" s="705" t="s">
        <v>653</v>
      </c>
      <c r="E419" s="705" t="s">
        <v>410</v>
      </c>
      <c r="F419" s="705">
        <v>2</v>
      </c>
      <c r="G419" s="705"/>
      <c r="H419" s="719"/>
      <c r="I419" s="719">
        <v>46156</v>
      </c>
      <c r="J419" s="705" t="s">
        <v>363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3" t="s">
        <v>634</v>
      </c>
      <c r="C420" s="704" t="s">
        <v>635</v>
      </c>
      <c r="D420" s="705" t="s">
        <v>654</v>
      </c>
      <c r="E420" s="705" t="s">
        <v>368</v>
      </c>
      <c r="F420" s="705">
        <v>3</v>
      </c>
      <c r="G420" s="705"/>
      <c r="H420" s="719"/>
      <c r="I420" s="719">
        <v>46157</v>
      </c>
      <c r="J420" s="705" t="s">
        <v>363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3" t="s">
        <v>634</v>
      </c>
      <c r="C421" s="704" t="s">
        <v>635</v>
      </c>
      <c r="D421" s="705" t="s">
        <v>654</v>
      </c>
      <c r="E421" s="705" t="s">
        <v>373</v>
      </c>
      <c r="F421" s="705">
        <v>1</v>
      </c>
      <c r="G421" s="705"/>
      <c r="H421" s="719"/>
      <c r="I421" s="719">
        <v>46157</v>
      </c>
      <c r="J421" s="705" t="s">
        <v>363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3" t="s">
        <v>634</v>
      </c>
      <c r="C422" s="704" t="s">
        <v>635</v>
      </c>
      <c r="D422" s="705" t="s">
        <v>654</v>
      </c>
      <c r="E422" s="705" t="s">
        <v>410</v>
      </c>
      <c r="F422" s="705">
        <v>1</v>
      </c>
      <c r="G422" s="705"/>
      <c r="H422" s="719"/>
      <c r="I422" s="719">
        <v>46157</v>
      </c>
      <c r="J422" s="705" t="s">
        <v>363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3" t="s">
        <v>634</v>
      </c>
      <c r="C423" s="704" t="s">
        <v>635</v>
      </c>
      <c r="D423" s="705" t="s">
        <v>654</v>
      </c>
      <c r="E423" s="705" t="s">
        <v>408</v>
      </c>
      <c r="F423" s="705">
        <v>1</v>
      </c>
      <c r="G423" s="705"/>
      <c r="H423" s="719"/>
      <c r="I423" s="719">
        <v>46157</v>
      </c>
      <c r="J423" s="705" t="s">
        <v>363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3" t="s">
        <v>634</v>
      </c>
      <c r="C424" s="704" t="s">
        <v>635</v>
      </c>
      <c r="D424" s="705" t="s">
        <v>655</v>
      </c>
      <c r="E424" s="705" t="s">
        <v>368</v>
      </c>
      <c r="F424" s="705">
        <v>3</v>
      </c>
      <c r="G424" s="705"/>
      <c r="H424" s="719"/>
      <c r="I424" s="719">
        <v>46157</v>
      </c>
      <c r="J424" s="705" t="s">
        <v>363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3" t="s">
        <v>634</v>
      </c>
      <c r="C425" s="704" t="s">
        <v>635</v>
      </c>
      <c r="D425" s="705" t="s">
        <v>655</v>
      </c>
      <c r="E425" s="705" t="s">
        <v>373</v>
      </c>
      <c r="F425" s="705">
        <v>2</v>
      </c>
      <c r="G425" s="705"/>
      <c r="H425" s="719"/>
      <c r="I425" s="719">
        <v>46157</v>
      </c>
      <c r="J425" s="705" t="s">
        <v>363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3" t="s">
        <v>634</v>
      </c>
      <c r="C426" s="704" t="s">
        <v>635</v>
      </c>
      <c r="D426" s="705" t="s">
        <v>655</v>
      </c>
      <c r="E426" s="705" t="s">
        <v>410</v>
      </c>
      <c r="F426" s="705">
        <v>1</v>
      </c>
      <c r="G426" s="705"/>
      <c r="H426" s="719"/>
      <c r="I426" s="719">
        <v>46157</v>
      </c>
      <c r="J426" s="705" t="s">
        <v>363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3" t="s">
        <v>634</v>
      </c>
      <c r="C427" s="704" t="s">
        <v>635</v>
      </c>
      <c r="D427" s="705" t="s">
        <v>656</v>
      </c>
      <c r="E427" s="705" t="s">
        <v>368</v>
      </c>
      <c r="F427" s="705">
        <v>2</v>
      </c>
      <c r="G427" s="705"/>
      <c r="H427" s="719"/>
      <c r="I427" s="719">
        <v>46160</v>
      </c>
      <c r="J427" s="705" t="s">
        <v>363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3" t="s">
        <v>634</v>
      </c>
      <c r="C428" s="704" t="s">
        <v>635</v>
      </c>
      <c r="D428" s="705" t="s">
        <v>656</v>
      </c>
      <c r="E428" s="705" t="s">
        <v>373</v>
      </c>
      <c r="F428" s="705">
        <v>1</v>
      </c>
      <c r="G428" s="705"/>
      <c r="H428" s="719"/>
      <c r="I428" s="719">
        <v>46160</v>
      </c>
      <c r="J428" s="705" t="s">
        <v>363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3" t="s">
        <v>634</v>
      </c>
      <c r="C429" s="704" t="s">
        <v>635</v>
      </c>
      <c r="D429" s="705" t="s">
        <v>656</v>
      </c>
      <c r="E429" s="705" t="s">
        <v>410</v>
      </c>
      <c r="F429" s="705">
        <v>1</v>
      </c>
      <c r="G429" s="705"/>
      <c r="H429" s="719"/>
      <c r="I429" s="719">
        <v>46160</v>
      </c>
      <c r="J429" s="705" t="s">
        <v>363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3" t="s">
        <v>634</v>
      </c>
      <c r="C430" s="704" t="s">
        <v>635</v>
      </c>
      <c r="D430" s="705" t="s">
        <v>657</v>
      </c>
      <c r="E430" s="705" t="s">
        <v>368</v>
      </c>
      <c r="F430" s="705">
        <v>1</v>
      </c>
      <c r="G430" s="705"/>
      <c r="H430" s="719"/>
      <c r="I430" s="719">
        <v>46160</v>
      </c>
      <c r="J430" s="705" t="s">
        <v>363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3" t="s">
        <v>634</v>
      </c>
      <c r="C431" s="704" t="s">
        <v>635</v>
      </c>
      <c r="D431" s="705" t="s">
        <v>657</v>
      </c>
      <c r="E431" s="705" t="s">
        <v>373</v>
      </c>
      <c r="F431" s="705">
        <v>1</v>
      </c>
      <c r="G431" s="705"/>
      <c r="H431" s="719"/>
      <c r="I431" s="719">
        <v>46160</v>
      </c>
      <c r="J431" s="705" t="s">
        <v>363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3" t="s">
        <v>634</v>
      </c>
      <c r="C432" s="704" t="s">
        <v>635</v>
      </c>
      <c r="D432" s="705" t="s">
        <v>657</v>
      </c>
      <c r="E432" s="705" t="s">
        <v>408</v>
      </c>
      <c r="F432" s="705">
        <v>1</v>
      </c>
      <c r="G432" s="705"/>
      <c r="H432" s="719"/>
      <c r="I432" s="719">
        <v>46160</v>
      </c>
      <c r="J432" s="705" t="s">
        <v>363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3" t="s">
        <v>634</v>
      </c>
      <c r="C433" s="704" t="s">
        <v>635</v>
      </c>
      <c r="D433" s="705" t="s">
        <v>658</v>
      </c>
      <c r="E433" s="705" t="s">
        <v>368</v>
      </c>
      <c r="F433" s="705">
        <v>1</v>
      </c>
      <c r="G433" s="705"/>
      <c r="H433" s="719"/>
      <c r="I433" s="719">
        <v>46160</v>
      </c>
      <c r="J433" s="705" t="s">
        <v>363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3" t="s">
        <v>634</v>
      </c>
      <c r="C434" s="704" t="s">
        <v>635</v>
      </c>
      <c r="D434" s="705" t="s">
        <v>658</v>
      </c>
      <c r="E434" s="705" t="s">
        <v>373</v>
      </c>
      <c r="F434" s="705">
        <v>1</v>
      </c>
      <c r="G434" s="705"/>
      <c r="H434" s="719"/>
      <c r="I434" s="719">
        <v>46160</v>
      </c>
      <c r="J434" s="705" t="s">
        <v>363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3" t="s">
        <v>634</v>
      </c>
      <c r="C435" s="704" t="s">
        <v>635</v>
      </c>
      <c r="D435" s="705" t="s">
        <v>659</v>
      </c>
      <c r="E435" s="705" t="s">
        <v>368</v>
      </c>
      <c r="F435" s="705">
        <v>1</v>
      </c>
      <c r="G435" s="705"/>
      <c r="H435" s="719"/>
      <c r="I435" s="719">
        <v>46161</v>
      </c>
      <c r="J435" s="705" t="s">
        <v>363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3" t="s">
        <v>634</v>
      </c>
      <c r="C436" s="704" t="s">
        <v>635</v>
      </c>
      <c r="D436" s="705" t="s">
        <v>659</v>
      </c>
      <c r="E436" s="705" t="s">
        <v>373</v>
      </c>
      <c r="F436" s="705">
        <v>1</v>
      </c>
      <c r="G436" s="705"/>
      <c r="H436" s="719"/>
      <c r="I436" s="719">
        <v>46161</v>
      </c>
      <c r="J436" s="705" t="s">
        <v>363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3" t="s">
        <v>634</v>
      </c>
      <c r="C437" s="704" t="s">
        <v>635</v>
      </c>
      <c r="D437" s="705" t="s">
        <v>660</v>
      </c>
      <c r="E437" s="705" t="s">
        <v>368</v>
      </c>
      <c r="F437" s="705">
        <v>1</v>
      </c>
      <c r="G437" s="705"/>
      <c r="H437" s="719"/>
      <c r="I437" s="719">
        <v>46161</v>
      </c>
      <c r="J437" s="705" t="s">
        <v>363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3" t="s">
        <v>634</v>
      </c>
      <c r="C438" s="704" t="s">
        <v>635</v>
      </c>
      <c r="D438" s="705" t="s">
        <v>660</v>
      </c>
      <c r="E438" s="705" t="s">
        <v>373</v>
      </c>
      <c r="F438" s="705">
        <v>1</v>
      </c>
      <c r="G438" s="705"/>
      <c r="H438" s="719"/>
      <c r="I438" s="719">
        <v>46161</v>
      </c>
      <c r="J438" s="705" t="s">
        <v>363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3" t="s">
        <v>634</v>
      </c>
      <c r="C439" s="704" t="s">
        <v>635</v>
      </c>
      <c r="D439" s="705" t="s">
        <v>661</v>
      </c>
      <c r="E439" s="705" t="s">
        <v>368</v>
      </c>
      <c r="F439" s="705">
        <v>1</v>
      </c>
      <c r="G439" s="705"/>
      <c r="H439" s="719"/>
      <c r="I439" s="719">
        <v>46161</v>
      </c>
      <c r="J439" s="705" t="s">
        <v>363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3" t="s">
        <v>634</v>
      </c>
      <c r="C440" s="704" t="s">
        <v>635</v>
      </c>
      <c r="D440" s="705" t="s">
        <v>661</v>
      </c>
      <c r="E440" s="705" t="s">
        <v>373</v>
      </c>
      <c r="F440" s="705">
        <v>1</v>
      </c>
      <c r="G440" s="705"/>
      <c r="H440" s="719"/>
      <c r="I440" s="719">
        <v>46161</v>
      </c>
      <c r="J440" s="705" t="s">
        <v>363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3" t="s">
        <v>634</v>
      </c>
      <c r="C441" s="704" t="s">
        <v>635</v>
      </c>
      <c r="D441" s="705" t="s">
        <v>662</v>
      </c>
      <c r="E441" s="705" t="s">
        <v>368</v>
      </c>
      <c r="F441" s="705">
        <v>1</v>
      </c>
      <c r="G441" s="705"/>
      <c r="H441" s="719"/>
      <c r="I441" s="719">
        <v>46161</v>
      </c>
      <c r="J441" s="705" t="s">
        <v>363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3" t="s">
        <v>634</v>
      </c>
      <c r="C442" s="704" t="s">
        <v>635</v>
      </c>
      <c r="D442" s="705" t="s">
        <v>662</v>
      </c>
      <c r="E442" s="705" t="s">
        <v>373</v>
      </c>
      <c r="F442" s="705">
        <v>1</v>
      </c>
      <c r="G442" s="705"/>
      <c r="H442" s="719"/>
      <c r="I442" s="719">
        <v>46161</v>
      </c>
      <c r="J442" s="705" t="s">
        <v>363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3" t="s">
        <v>634</v>
      </c>
      <c r="C443" s="704" t="s">
        <v>635</v>
      </c>
      <c r="D443" s="705" t="s">
        <v>663</v>
      </c>
      <c r="E443" s="705" t="s">
        <v>368</v>
      </c>
      <c r="F443" s="705">
        <v>1</v>
      </c>
      <c r="G443" s="705"/>
      <c r="H443" s="719"/>
      <c r="I443" s="719">
        <v>46161</v>
      </c>
      <c r="J443" s="705" t="s">
        <v>363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3" t="s">
        <v>634</v>
      </c>
      <c r="C444" s="704" t="s">
        <v>635</v>
      </c>
      <c r="D444" s="705" t="s">
        <v>663</v>
      </c>
      <c r="E444" s="705" t="s">
        <v>373</v>
      </c>
      <c r="F444" s="705">
        <v>1</v>
      </c>
      <c r="G444" s="705"/>
      <c r="H444" s="719"/>
      <c r="I444" s="719">
        <v>46161</v>
      </c>
      <c r="J444" s="705" t="s">
        <v>363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3" t="s">
        <v>634</v>
      </c>
      <c r="C445" s="704" t="s">
        <v>635</v>
      </c>
      <c r="D445" s="705" t="s">
        <v>664</v>
      </c>
      <c r="E445" s="705" t="s">
        <v>368</v>
      </c>
      <c r="F445" s="705">
        <v>1</v>
      </c>
      <c r="G445" s="705"/>
      <c r="H445" s="719"/>
      <c r="I445" s="719">
        <v>46161</v>
      </c>
      <c r="J445" s="705" t="s">
        <v>363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3" t="s">
        <v>634</v>
      </c>
      <c r="C446" s="704" t="s">
        <v>635</v>
      </c>
      <c r="D446" s="705" t="s">
        <v>664</v>
      </c>
      <c r="E446" s="705" t="s">
        <v>373</v>
      </c>
      <c r="F446" s="705">
        <v>2</v>
      </c>
      <c r="G446" s="705"/>
      <c r="H446" s="719"/>
      <c r="I446" s="719">
        <v>46161</v>
      </c>
      <c r="J446" s="705" t="s">
        <v>363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3" t="s">
        <v>634</v>
      </c>
      <c r="C447" s="704" t="s">
        <v>635</v>
      </c>
      <c r="D447" s="705" t="s">
        <v>665</v>
      </c>
      <c r="E447" s="705" t="s">
        <v>368</v>
      </c>
      <c r="F447" s="705">
        <v>1</v>
      </c>
      <c r="G447" s="705"/>
      <c r="H447" s="719"/>
      <c r="I447" s="719">
        <v>46162</v>
      </c>
      <c r="J447" s="705" t="s">
        <v>363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3" t="s">
        <v>634</v>
      </c>
      <c r="C448" s="704" t="s">
        <v>635</v>
      </c>
      <c r="D448" s="705" t="s">
        <v>665</v>
      </c>
      <c r="E448" s="705" t="s">
        <v>373</v>
      </c>
      <c r="F448" s="705">
        <v>1</v>
      </c>
      <c r="G448" s="705"/>
      <c r="H448" s="719"/>
      <c r="I448" s="719">
        <v>46162</v>
      </c>
      <c r="J448" s="705" t="s">
        <v>363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3" t="s">
        <v>634</v>
      </c>
      <c r="C449" s="704" t="s">
        <v>635</v>
      </c>
      <c r="D449" s="705" t="s">
        <v>666</v>
      </c>
      <c r="E449" s="705" t="s">
        <v>368</v>
      </c>
      <c r="F449" s="705">
        <v>1</v>
      </c>
      <c r="G449" s="705"/>
      <c r="H449" s="719"/>
      <c r="I449" s="719">
        <v>46162</v>
      </c>
      <c r="J449" s="705" t="s">
        <v>363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3" t="s">
        <v>634</v>
      </c>
      <c r="C450" s="704" t="s">
        <v>635</v>
      </c>
      <c r="D450" s="705" t="s">
        <v>666</v>
      </c>
      <c r="E450" s="705" t="s">
        <v>373</v>
      </c>
      <c r="F450" s="705">
        <v>1</v>
      </c>
      <c r="G450" s="705"/>
      <c r="H450" s="719"/>
      <c r="I450" s="719">
        <v>46162</v>
      </c>
      <c r="J450" s="705" t="s">
        <v>363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3" t="s">
        <v>634</v>
      </c>
      <c r="C451" s="704" t="s">
        <v>635</v>
      </c>
      <c r="D451" s="705" t="s">
        <v>667</v>
      </c>
      <c r="E451" s="705" t="s">
        <v>368</v>
      </c>
      <c r="F451" s="705">
        <v>1</v>
      </c>
      <c r="G451" s="705"/>
      <c r="H451" s="719"/>
      <c r="I451" s="719">
        <v>46162</v>
      </c>
      <c r="J451" s="705" t="s">
        <v>363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3" t="s">
        <v>634</v>
      </c>
      <c r="C452" s="704" t="s">
        <v>635</v>
      </c>
      <c r="D452" s="705" t="s">
        <v>667</v>
      </c>
      <c r="E452" s="705" t="s">
        <v>373</v>
      </c>
      <c r="F452" s="705">
        <v>1</v>
      </c>
      <c r="G452" s="705"/>
      <c r="H452" s="719"/>
      <c r="I452" s="719">
        <v>46162</v>
      </c>
      <c r="J452" s="705" t="s">
        <v>363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3" t="s">
        <v>634</v>
      </c>
      <c r="C453" s="704" t="s">
        <v>635</v>
      </c>
      <c r="D453" s="705" t="s">
        <v>668</v>
      </c>
      <c r="E453" s="705" t="s">
        <v>368</v>
      </c>
      <c r="F453" s="705">
        <v>1</v>
      </c>
      <c r="G453" s="705"/>
      <c r="H453" s="719"/>
      <c r="I453" s="719">
        <v>46162</v>
      </c>
      <c r="J453" s="705" t="s">
        <v>363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3" t="s">
        <v>634</v>
      </c>
      <c r="C454" s="704" t="s">
        <v>635</v>
      </c>
      <c r="D454" s="705" t="s">
        <v>668</v>
      </c>
      <c r="E454" s="705" t="s">
        <v>373</v>
      </c>
      <c r="F454" s="705">
        <v>1</v>
      </c>
      <c r="G454" s="705"/>
      <c r="H454" s="719"/>
      <c r="I454" s="719">
        <v>46162</v>
      </c>
      <c r="J454" s="705" t="s">
        <v>363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3" t="s">
        <v>634</v>
      </c>
      <c r="C455" s="704" t="s">
        <v>635</v>
      </c>
      <c r="D455" s="705" t="s">
        <v>669</v>
      </c>
      <c r="E455" s="705" t="s">
        <v>368</v>
      </c>
      <c r="F455" s="705">
        <v>1</v>
      </c>
      <c r="G455" s="705"/>
      <c r="H455" s="719"/>
      <c r="I455" s="719">
        <v>46162</v>
      </c>
      <c r="J455" s="705" t="s">
        <v>363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3" t="s">
        <v>634</v>
      </c>
      <c r="C456" s="704" t="s">
        <v>635</v>
      </c>
      <c r="D456" s="705" t="s">
        <v>669</v>
      </c>
      <c r="E456" s="705" t="s">
        <v>373</v>
      </c>
      <c r="F456" s="705">
        <v>1</v>
      </c>
      <c r="G456" s="705"/>
      <c r="H456" s="719"/>
      <c r="I456" s="719">
        <v>46162</v>
      </c>
      <c r="J456" s="705" t="s">
        <v>363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3" t="s">
        <v>634</v>
      </c>
      <c r="C457" s="704" t="s">
        <v>635</v>
      </c>
      <c r="D457" s="705" t="s">
        <v>670</v>
      </c>
      <c r="E457" s="705" t="s">
        <v>368</v>
      </c>
      <c r="F457" s="705">
        <v>1</v>
      </c>
      <c r="G457" s="705"/>
      <c r="H457" s="719"/>
      <c r="I457" s="719">
        <v>46162</v>
      </c>
      <c r="J457" s="705" t="s">
        <v>363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3" t="s">
        <v>634</v>
      </c>
      <c r="C458" s="704" t="s">
        <v>635</v>
      </c>
      <c r="D458" s="705" t="s">
        <v>670</v>
      </c>
      <c r="E458" s="705" t="s">
        <v>373</v>
      </c>
      <c r="F458" s="705">
        <v>1</v>
      </c>
      <c r="G458" s="705"/>
      <c r="H458" s="719"/>
      <c r="I458" s="719">
        <v>46162</v>
      </c>
      <c r="J458" s="705" t="s">
        <v>363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3" t="s">
        <v>634</v>
      </c>
      <c r="C459" s="704" t="s">
        <v>635</v>
      </c>
      <c r="D459" s="705" t="s">
        <v>671</v>
      </c>
      <c r="E459" s="705" t="s">
        <v>368</v>
      </c>
      <c r="F459" s="705">
        <v>1</v>
      </c>
      <c r="G459" s="705"/>
      <c r="H459" s="719"/>
      <c r="I459" s="719">
        <v>46163</v>
      </c>
      <c r="J459" s="705" t="s">
        <v>363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3" t="s">
        <v>634</v>
      </c>
      <c r="C460" s="704" t="s">
        <v>635</v>
      </c>
      <c r="D460" s="705" t="s">
        <v>671</v>
      </c>
      <c r="E460" s="705" t="s">
        <v>373</v>
      </c>
      <c r="F460" s="705">
        <v>1</v>
      </c>
      <c r="G460" s="705"/>
      <c r="H460" s="719"/>
      <c r="I460" s="719">
        <v>46163</v>
      </c>
      <c r="J460" s="705" t="s">
        <v>363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3" t="s">
        <v>634</v>
      </c>
      <c r="C461" s="704" t="s">
        <v>635</v>
      </c>
      <c r="D461" s="705" t="s">
        <v>672</v>
      </c>
      <c r="E461" s="705" t="s">
        <v>368</v>
      </c>
      <c r="F461" s="705">
        <v>1</v>
      </c>
      <c r="G461" s="705"/>
      <c r="H461" s="719"/>
      <c r="I461" s="719">
        <v>46163</v>
      </c>
      <c r="J461" s="705" t="s">
        <v>363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3" t="s">
        <v>634</v>
      </c>
      <c r="C462" s="704" t="s">
        <v>635</v>
      </c>
      <c r="D462" s="705" t="s">
        <v>672</v>
      </c>
      <c r="E462" s="705" t="s">
        <v>373</v>
      </c>
      <c r="F462" s="705">
        <v>1</v>
      </c>
      <c r="G462" s="705"/>
      <c r="H462" s="719"/>
      <c r="I462" s="719">
        <v>46163</v>
      </c>
      <c r="J462" s="705" t="s">
        <v>363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3" t="s">
        <v>634</v>
      </c>
      <c r="C463" s="704" t="s">
        <v>635</v>
      </c>
      <c r="D463" s="705" t="s">
        <v>673</v>
      </c>
      <c r="E463" s="705" t="s">
        <v>368</v>
      </c>
      <c r="F463" s="705">
        <v>1</v>
      </c>
      <c r="G463" s="705"/>
      <c r="H463" s="719"/>
      <c r="I463" s="719">
        <v>46163</v>
      </c>
      <c r="J463" s="705" t="s">
        <v>363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3" t="s">
        <v>634</v>
      </c>
      <c r="C464" s="704" t="s">
        <v>635</v>
      </c>
      <c r="D464" s="705" t="s">
        <v>674</v>
      </c>
      <c r="E464" s="705" t="s">
        <v>368</v>
      </c>
      <c r="F464" s="705">
        <v>2</v>
      </c>
      <c r="G464" s="705"/>
      <c r="H464" s="719"/>
      <c r="I464" s="719">
        <v>46163</v>
      </c>
      <c r="J464" s="705" t="s">
        <v>363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3" t="s">
        <v>634</v>
      </c>
      <c r="C465" s="704" t="s">
        <v>635</v>
      </c>
      <c r="D465" s="705" t="s">
        <v>674</v>
      </c>
      <c r="E465" s="705" t="s">
        <v>373</v>
      </c>
      <c r="F465" s="705">
        <v>1</v>
      </c>
      <c r="G465" s="705"/>
      <c r="H465" s="719"/>
      <c r="I465" s="719">
        <v>46163</v>
      </c>
      <c r="J465" s="705" t="s">
        <v>363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3" t="s">
        <v>634</v>
      </c>
      <c r="C466" s="704" t="s">
        <v>635</v>
      </c>
      <c r="D466" s="705" t="s">
        <v>675</v>
      </c>
      <c r="E466" s="705" t="s">
        <v>368</v>
      </c>
      <c r="F466" s="705">
        <v>2</v>
      </c>
      <c r="G466" s="705"/>
      <c r="H466" s="719"/>
      <c r="I466" s="719">
        <v>46163</v>
      </c>
      <c r="J466" s="705" t="s">
        <v>363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3" t="s">
        <v>634</v>
      </c>
      <c r="C467" s="704" t="s">
        <v>635</v>
      </c>
      <c r="D467" s="705" t="s">
        <v>675</v>
      </c>
      <c r="E467" s="705" t="s">
        <v>373</v>
      </c>
      <c r="F467" s="705">
        <v>1</v>
      </c>
      <c r="G467" s="705"/>
      <c r="H467" s="719"/>
      <c r="I467" s="719">
        <v>46163</v>
      </c>
      <c r="J467" s="705" t="s">
        <v>363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3" t="s">
        <v>634</v>
      </c>
      <c r="C468" s="704" t="s">
        <v>635</v>
      </c>
      <c r="D468" s="705" t="s">
        <v>676</v>
      </c>
      <c r="E468" s="705" t="s">
        <v>368</v>
      </c>
      <c r="F468" s="705">
        <v>2</v>
      </c>
      <c r="G468" s="705"/>
      <c r="H468" s="719"/>
      <c r="I468" s="719">
        <v>46164</v>
      </c>
      <c r="J468" s="705" t="s">
        <v>363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3" t="s">
        <v>634</v>
      </c>
      <c r="C469" s="704" t="s">
        <v>635</v>
      </c>
      <c r="D469" s="705" t="s">
        <v>676</v>
      </c>
      <c r="E469" s="705" t="s">
        <v>373</v>
      </c>
      <c r="F469" s="705">
        <v>1</v>
      </c>
      <c r="G469" s="705"/>
      <c r="H469" s="719"/>
      <c r="I469" s="719">
        <v>46164</v>
      </c>
      <c r="J469" s="705" t="s">
        <v>363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3" t="s">
        <v>634</v>
      </c>
      <c r="C470" s="704" t="s">
        <v>635</v>
      </c>
      <c r="D470" s="705" t="s">
        <v>677</v>
      </c>
      <c r="E470" s="705" t="s">
        <v>368</v>
      </c>
      <c r="F470" s="705">
        <v>2</v>
      </c>
      <c r="G470" s="705"/>
      <c r="H470" s="719"/>
      <c r="I470" s="719">
        <v>46164</v>
      </c>
      <c r="J470" s="705" t="s">
        <v>363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3" t="s">
        <v>634</v>
      </c>
      <c r="C471" s="704" t="s">
        <v>635</v>
      </c>
      <c r="D471" s="705" t="s">
        <v>677</v>
      </c>
      <c r="E471" s="705" t="s">
        <v>373</v>
      </c>
      <c r="F471" s="705">
        <v>1</v>
      </c>
      <c r="G471" s="705"/>
      <c r="H471" s="719"/>
      <c r="I471" s="719">
        <v>46164</v>
      </c>
      <c r="J471" s="705" t="s">
        <v>363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3" t="s">
        <v>634</v>
      </c>
      <c r="C472" s="704" t="s">
        <v>635</v>
      </c>
      <c r="D472" s="705" t="s">
        <v>678</v>
      </c>
      <c r="E472" s="705" t="s">
        <v>368</v>
      </c>
      <c r="F472" s="705">
        <v>2</v>
      </c>
      <c r="G472" s="705"/>
      <c r="H472" s="719"/>
      <c r="I472" s="719">
        <v>46164</v>
      </c>
      <c r="J472" s="705" t="s">
        <v>363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3" t="s">
        <v>634</v>
      </c>
      <c r="C473" s="704" t="s">
        <v>635</v>
      </c>
      <c r="D473" s="705" t="s">
        <v>678</v>
      </c>
      <c r="E473" s="705" t="s">
        <v>373</v>
      </c>
      <c r="F473" s="705">
        <v>1</v>
      </c>
      <c r="G473" s="705"/>
      <c r="H473" s="719"/>
      <c r="I473" s="719">
        <v>46164</v>
      </c>
      <c r="J473" s="705" t="s">
        <v>363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3" t="s">
        <v>634</v>
      </c>
      <c r="C474" s="704" t="s">
        <v>635</v>
      </c>
      <c r="D474" s="705" t="s">
        <v>679</v>
      </c>
      <c r="E474" s="705" t="s">
        <v>368</v>
      </c>
      <c r="F474" s="705">
        <v>1</v>
      </c>
      <c r="G474" s="705"/>
      <c r="H474" s="719"/>
      <c r="I474" s="719">
        <v>46164</v>
      </c>
      <c r="J474" s="705" t="s">
        <v>363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3" t="s">
        <v>634</v>
      </c>
      <c r="C475" s="704" t="s">
        <v>635</v>
      </c>
      <c r="D475" s="705" t="s">
        <v>679</v>
      </c>
      <c r="E475" s="705" t="s">
        <v>373</v>
      </c>
      <c r="F475" s="705">
        <v>1</v>
      </c>
      <c r="G475" s="705"/>
      <c r="H475" s="719"/>
      <c r="I475" s="719">
        <v>46164</v>
      </c>
      <c r="J475" s="705" t="s">
        <v>363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3" t="s">
        <v>634</v>
      </c>
      <c r="C476" s="704" t="s">
        <v>635</v>
      </c>
      <c r="D476" s="705" t="s">
        <v>679</v>
      </c>
      <c r="E476" s="705" t="s">
        <v>410</v>
      </c>
      <c r="F476" s="705">
        <v>1</v>
      </c>
      <c r="G476" s="705"/>
      <c r="H476" s="719"/>
      <c r="I476" s="719">
        <v>46164</v>
      </c>
      <c r="J476" s="705" t="s">
        <v>363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3" t="s">
        <v>634</v>
      </c>
      <c r="C477" s="704" t="s">
        <v>635</v>
      </c>
      <c r="D477" s="705" t="s">
        <v>679</v>
      </c>
      <c r="E477" s="705" t="s">
        <v>408</v>
      </c>
      <c r="F477" s="705">
        <v>1</v>
      </c>
      <c r="G477" s="705"/>
      <c r="H477" s="719"/>
      <c r="I477" s="719">
        <v>46164</v>
      </c>
      <c r="J477" s="705" t="s">
        <v>363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3" t="s">
        <v>634</v>
      </c>
      <c r="C478" s="704" t="s">
        <v>635</v>
      </c>
      <c r="D478" s="705" t="s">
        <v>680</v>
      </c>
      <c r="E478" s="705" t="s">
        <v>368</v>
      </c>
      <c r="F478" s="705">
        <v>1</v>
      </c>
      <c r="G478" s="705"/>
      <c r="H478" s="719"/>
      <c r="I478" s="719">
        <v>46167</v>
      </c>
      <c r="J478" s="705" t="s">
        <v>363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3" t="s">
        <v>634</v>
      </c>
      <c r="C479" s="704" t="s">
        <v>635</v>
      </c>
      <c r="D479" s="705" t="s">
        <v>680</v>
      </c>
      <c r="E479" s="705" t="s">
        <v>373</v>
      </c>
      <c r="F479" s="705">
        <v>1</v>
      </c>
      <c r="G479" s="705"/>
      <c r="H479" s="719"/>
      <c r="I479" s="719">
        <v>46167</v>
      </c>
      <c r="J479" s="705" t="s">
        <v>363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3" t="s">
        <v>634</v>
      </c>
      <c r="C480" s="704" t="s">
        <v>635</v>
      </c>
      <c r="D480" s="705" t="s">
        <v>681</v>
      </c>
      <c r="E480" s="705" t="s">
        <v>368</v>
      </c>
      <c r="F480" s="705">
        <v>2</v>
      </c>
      <c r="G480" s="705"/>
      <c r="H480" s="719"/>
      <c r="I480" s="719">
        <v>46167</v>
      </c>
      <c r="J480" s="705" t="s">
        <v>363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3" t="s">
        <v>634</v>
      </c>
      <c r="C481" s="704" t="s">
        <v>635</v>
      </c>
      <c r="D481" s="705" t="s">
        <v>681</v>
      </c>
      <c r="E481" s="705" t="s">
        <v>373</v>
      </c>
      <c r="F481" s="705">
        <v>1</v>
      </c>
      <c r="G481" s="705"/>
      <c r="H481" s="719"/>
      <c r="I481" s="719">
        <v>46167</v>
      </c>
      <c r="J481" s="705" t="s">
        <v>363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3" t="s">
        <v>634</v>
      </c>
      <c r="C482" s="704" t="s">
        <v>635</v>
      </c>
      <c r="D482" s="705" t="s">
        <v>681</v>
      </c>
      <c r="E482" s="705" t="s">
        <v>410</v>
      </c>
      <c r="F482" s="705">
        <v>1</v>
      </c>
      <c r="G482" s="705"/>
      <c r="H482" s="719"/>
      <c r="I482" s="719">
        <v>46167</v>
      </c>
      <c r="J482" s="705" t="s">
        <v>363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3" t="s">
        <v>634</v>
      </c>
      <c r="C483" s="704" t="s">
        <v>635</v>
      </c>
      <c r="D483" s="705" t="s">
        <v>681</v>
      </c>
      <c r="E483" s="705" t="s">
        <v>408</v>
      </c>
      <c r="F483" s="705">
        <v>1</v>
      </c>
      <c r="G483" s="705"/>
      <c r="H483" s="719"/>
      <c r="I483" s="719">
        <v>46167</v>
      </c>
      <c r="J483" s="705" t="s">
        <v>363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3" t="s">
        <v>634</v>
      </c>
      <c r="C484" s="704" t="s">
        <v>635</v>
      </c>
      <c r="D484" s="705" t="s">
        <v>682</v>
      </c>
      <c r="E484" s="705" t="s">
        <v>368</v>
      </c>
      <c r="F484" s="705">
        <v>1</v>
      </c>
      <c r="G484" s="705"/>
      <c r="H484" s="719"/>
      <c r="I484" s="719">
        <v>46167</v>
      </c>
      <c r="J484" s="705" t="s">
        <v>363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3" t="s">
        <v>634</v>
      </c>
      <c r="C485" s="704" t="s">
        <v>635</v>
      </c>
      <c r="D485" s="705" t="s">
        <v>682</v>
      </c>
      <c r="E485" s="705" t="s">
        <v>373</v>
      </c>
      <c r="F485" s="705">
        <v>1</v>
      </c>
      <c r="G485" s="705"/>
      <c r="H485" s="719"/>
      <c r="I485" s="719">
        <v>46167</v>
      </c>
      <c r="J485" s="705" t="s">
        <v>363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3" t="s">
        <v>634</v>
      </c>
      <c r="C486" s="704" t="s">
        <v>635</v>
      </c>
      <c r="D486" s="705" t="s">
        <v>683</v>
      </c>
      <c r="E486" s="705" t="s">
        <v>368</v>
      </c>
      <c r="F486" s="705">
        <v>1</v>
      </c>
      <c r="G486" s="705"/>
      <c r="H486" s="719"/>
      <c r="I486" s="719">
        <v>46167</v>
      </c>
      <c r="J486" s="705" t="s">
        <v>363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3" t="s">
        <v>634</v>
      </c>
      <c r="C487" s="704" t="s">
        <v>635</v>
      </c>
      <c r="D487" s="705" t="s">
        <v>683</v>
      </c>
      <c r="E487" s="705" t="s">
        <v>373</v>
      </c>
      <c r="F487" s="705">
        <v>1</v>
      </c>
      <c r="G487" s="705"/>
      <c r="H487" s="719"/>
      <c r="I487" s="719">
        <v>46167</v>
      </c>
      <c r="J487" s="705" t="s">
        <v>363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3" t="s">
        <v>634</v>
      </c>
      <c r="C488" s="704" t="s">
        <v>635</v>
      </c>
      <c r="D488" s="705" t="s">
        <v>683</v>
      </c>
      <c r="E488" s="705" t="s">
        <v>410</v>
      </c>
      <c r="F488" s="705">
        <v>1</v>
      </c>
      <c r="G488" s="705"/>
      <c r="H488" s="719"/>
      <c r="I488" s="719">
        <v>46167</v>
      </c>
      <c r="J488" s="705" t="s">
        <v>363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3" t="s">
        <v>634</v>
      </c>
      <c r="C489" s="704" t="s">
        <v>635</v>
      </c>
      <c r="D489" s="705" t="s">
        <v>683</v>
      </c>
      <c r="E489" s="705" t="s">
        <v>408</v>
      </c>
      <c r="F489" s="705">
        <v>1</v>
      </c>
      <c r="G489" s="705"/>
      <c r="H489" s="719"/>
      <c r="I489" s="719">
        <v>46167</v>
      </c>
      <c r="J489" s="705" t="s">
        <v>363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3" t="s">
        <v>634</v>
      </c>
      <c r="C490" s="704" t="s">
        <v>635</v>
      </c>
      <c r="D490" s="705" t="s">
        <v>684</v>
      </c>
      <c r="E490" s="705" t="s">
        <v>368</v>
      </c>
      <c r="F490" s="705">
        <v>2</v>
      </c>
      <c r="G490" s="705"/>
      <c r="H490" s="719"/>
      <c r="I490" s="719">
        <v>46168</v>
      </c>
      <c r="J490" s="705" t="s">
        <v>363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3" t="s">
        <v>634</v>
      </c>
      <c r="C491" s="704" t="s">
        <v>635</v>
      </c>
      <c r="D491" s="705" t="s">
        <v>684</v>
      </c>
      <c r="E491" s="705" t="s">
        <v>373</v>
      </c>
      <c r="F491" s="705">
        <v>1</v>
      </c>
      <c r="G491" s="705"/>
      <c r="H491" s="719"/>
      <c r="I491" s="719">
        <v>46168</v>
      </c>
      <c r="J491" s="705" t="s">
        <v>363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3" t="s">
        <v>634</v>
      </c>
      <c r="C492" s="704" t="s">
        <v>635</v>
      </c>
      <c r="D492" s="705" t="s">
        <v>684</v>
      </c>
      <c r="E492" s="705" t="s">
        <v>410</v>
      </c>
      <c r="F492" s="705">
        <v>1</v>
      </c>
      <c r="G492" s="705"/>
      <c r="H492" s="719"/>
      <c r="I492" s="719">
        <v>46168</v>
      </c>
      <c r="J492" s="705" t="s">
        <v>363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3" t="s">
        <v>634</v>
      </c>
      <c r="C493" s="704" t="s">
        <v>635</v>
      </c>
      <c r="D493" s="705" t="s">
        <v>684</v>
      </c>
      <c r="E493" s="705" t="s">
        <v>408</v>
      </c>
      <c r="F493" s="705">
        <v>1</v>
      </c>
      <c r="G493" s="705"/>
      <c r="H493" s="719"/>
      <c r="I493" s="719">
        <v>46168</v>
      </c>
      <c r="J493" s="705" t="s">
        <v>363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3" t="s">
        <v>634</v>
      </c>
      <c r="C494" s="704" t="s">
        <v>635</v>
      </c>
      <c r="D494" s="705" t="s">
        <v>685</v>
      </c>
      <c r="E494" s="705" t="s">
        <v>368</v>
      </c>
      <c r="F494" s="705">
        <v>1</v>
      </c>
      <c r="G494" s="705"/>
      <c r="H494" s="719"/>
      <c r="I494" s="719">
        <v>46168</v>
      </c>
      <c r="J494" s="705" t="s">
        <v>363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3" t="s">
        <v>634</v>
      </c>
      <c r="C495" s="704" t="s">
        <v>635</v>
      </c>
      <c r="D495" s="705" t="s">
        <v>685</v>
      </c>
      <c r="E495" s="705" t="s">
        <v>373</v>
      </c>
      <c r="F495" s="705">
        <v>1</v>
      </c>
      <c r="G495" s="705"/>
      <c r="H495" s="719"/>
      <c r="I495" s="719">
        <v>46168</v>
      </c>
      <c r="J495" s="705" t="s">
        <v>363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3" t="s">
        <v>634</v>
      </c>
      <c r="C496" s="704" t="s">
        <v>635</v>
      </c>
      <c r="D496" s="705" t="s">
        <v>686</v>
      </c>
      <c r="E496" s="705" t="s">
        <v>368</v>
      </c>
      <c r="F496" s="705">
        <v>1</v>
      </c>
      <c r="G496" s="705"/>
      <c r="H496" s="719"/>
      <c r="I496" s="719">
        <v>46168</v>
      </c>
      <c r="J496" s="705" t="s">
        <v>363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3" t="s">
        <v>634</v>
      </c>
      <c r="C497" s="704" t="s">
        <v>635</v>
      </c>
      <c r="D497" s="705" t="s">
        <v>687</v>
      </c>
      <c r="E497" s="705" t="s">
        <v>368</v>
      </c>
      <c r="F497" s="705">
        <v>1</v>
      </c>
      <c r="G497" s="705"/>
      <c r="H497" s="719"/>
      <c r="I497" s="719">
        <v>46168</v>
      </c>
      <c r="J497" s="705" t="s">
        <v>363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3" t="s">
        <v>634</v>
      </c>
      <c r="C498" s="704" t="s">
        <v>635</v>
      </c>
      <c r="D498" s="705" t="s">
        <v>688</v>
      </c>
      <c r="E498" s="705" t="s">
        <v>368</v>
      </c>
      <c r="F498" s="705">
        <v>1</v>
      </c>
      <c r="G498" s="705"/>
      <c r="H498" s="719"/>
      <c r="I498" s="719">
        <v>46168</v>
      </c>
      <c r="J498" s="705" t="s">
        <v>363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3" t="s">
        <v>634</v>
      </c>
      <c r="C499" s="704" t="s">
        <v>635</v>
      </c>
      <c r="D499" s="705" t="s">
        <v>689</v>
      </c>
      <c r="E499" s="705" t="s">
        <v>368</v>
      </c>
      <c r="F499" s="705">
        <v>1</v>
      </c>
      <c r="G499" s="705"/>
      <c r="H499" s="719"/>
      <c r="I499" s="719">
        <v>46169</v>
      </c>
      <c r="J499" s="705" t="s">
        <v>363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3" t="s">
        <v>634</v>
      </c>
      <c r="C500" s="704" t="s">
        <v>635</v>
      </c>
      <c r="D500" s="705" t="s">
        <v>690</v>
      </c>
      <c r="E500" s="705" t="s">
        <v>368</v>
      </c>
      <c r="F500" s="705">
        <v>1</v>
      </c>
      <c r="G500" s="705"/>
      <c r="H500" s="719"/>
      <c r="I500" s="719">
        <v>46169</v>
      </c>
      <c r="J500" s="705" t="s">
        <v>363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3" t="s">
        <v>634</v>
      </c>
      <c r="C501" s="704" t="s">
        <v>635</v>
      </c>
      <c r="D501" s="705" t="s">
        <v>691</v>
      </c>
      <c r="E501" s="705" t="s">
        <v>368</v>
      </c>
      <c r="F501" s="705">
        <v>1</v>
      </c>
      <c r="G501" s="705"/>
      <c r="H501" s="719"/>
      <c r="I501" s="719">
        <v>46169</v>
      </c>
      <c r="J501" s="705" t="s">
        <v>363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3" t="s">
        <v>634</v>
      </c>
      <c r="C502" s="704" t="s">
        <v>635</v>
      </c>
      <c r="D502" s="705" t="s">
        <v>691</v>
      </c>
      <c r="E502" s="705" t="s">
        <v>373</v>
      </c>
      <c r="F502" s="705">
        <v>1</v>
      </c>
      <c r="G502" s="705"/>
      <c r="H502" s="719"/>
      <c r="I502" s="719">
        <v>46169</v>
      </c>
      <c r="J502" s="705" t="s">
        <v>363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3" t="s">
        <v>634</v>
      </c>
      <c r="C503" s="705" t="s">
        <v>692</v>
      </c>
      <c r="D503" s="705" t="s">
        <v>693</v>
      </c>
      <c r="E503" s="705" t="s">
        <v>372</v>
      </c>
      <c r="F503" s="705">
        <v>3</v>
      </c>
      <c r="G503" s="705"/>
      <c r="H503" s="719"/>
      <c r="I503" s="719">
        <v>46139</v>
      </c>
      <c r="J503" s="705" t="s">
        <v>363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3" t="s">
        <v>634</v>
      </c>
      <c r="C504" s="705" t="s">
        <v>692</v>
      </c>
      <c r="D504" s="705" t="s">
        <v>693</v>
      </c>
      <c r="E504" s="705" t="s">
        <v>368</v>
      </c>
      <c r="F504" s="705">
        <v>23</v>
      </c>
      <c r="G504" s="705"/>
      <c r="H504" s="719"/>
      <c r="I504" s="719">
        <v>46139</v>
      </c>
      <c r="J504" s="705" t="s">
        <v>363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3" t="s">
        <v>634</v>
      </c>
      <c r="C505" s="705" t="s">
        <v>692</v>
      </c>
      <c r="D505" s="705" t="s">
        <v>693</v>
      </c>
      <c r="E505" s="705" t="s">
        <v>365</v>
      </c>
      <c r="F505" s="705">
        <v>3</v>
      </c>
      <c r="G505" s="705"/>
      <c r="H505" s="719"/>
      <c r="I505" s="719">
        <v>46139</v>
      </c>
      <c r="J505" s="705" t="s">
        <v>363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3" t="s">
        <v>634</v>
      </c>
      <c r="C506" s="705" t="s">
        <v>692</v>
      </c>
      <c r="D506" s="705" t="s">
        <v>693</v>
      </c>
      <c r="E506" s="705" t="s">
        <v>373</v>
      </c>
      <c r="F506" s="705">
        <v>9</v>
      </c>
      <c r="G506" s="705"/>
      <c r="H506" s="719"/>
      <c r="I506" s="719">
        <v>46139</v>
      </c>
      <c r="J506" s="705" t="s">
        <v>363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3" t="s">
        <v>634</v>
      </c>
      <c r="C507" s="705" t="s">
        <v>692</v>
      </c>
      <c r="D507" s="705" t="s">
        <v>693</v>
      </c>
      <c r="E507" s="705" t="s">
        <v>408</v>
      </c>
      <c r="F507" s="705">
        <v>1</v>
      </c>
      <c r="G507" s="705"/>
      <c r="H507" s="719"/>
      <c r="I507" s="719">
        <v>46139</v>
      </c>
      <c r="J507" s="705" t="s">
        <v>363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3" t="s">
        <v>634</v>
      </c>
      <c r="C508" s="705" t="s">
        <v>692</v>
      </c>
      <c r="D508" s="705" t="s">
        <v>694</v>
      </c>
      <c r="E508" s="705" t="s">
        <v>368</v>
      </c>
      <c r="F508" s="705">
        <v>1</v>
      </c>
      <c r="G508" s="705"/>
      <c r="H508" s="719"/>
      <c r="I508" s="719">
        <v>46142</v>
      </c>
      <c r="J508" s="705" t="s">
        <v>363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3" t="s">
        <v>634</v>
      </c>
      <c r="C509" s="705" t="s">
        <v>692</v>
      </c>
      <c r="D509" s="705" t="s">
        <v>694</v>
      </c>
      <c r="E509" s="705" t="s">
        <v>373</v>
      </c>
      <c r="F509" s="705">
        <v>1</v>
      </c>
      <c r="G509" s="705"/>
      <c r="H509" s="719"/>
      <c r="I509" s="719">
        <v>46142</v>
      </c>
      <c r="J509" s="705" t="s">
        <v>363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3" t="s">
        <v>634</v>
      </c>
      <c r="C510" s="705" t="s">
        <v>692</v>
      </c>
      <c r="D510" s="705" t="s">
        <v>695</v>
      </c>
      <c r="E510" s="705" t="s">
        <v>368</v>
      </c>
      <c r="F510" s="705">
        <v>2</v>
      </c>
      <c r="G510" s="705"/>
      <c r="H510" s="719"/>
      <c r="I510" s="719">
        <v>46142</v>
      </c>
      <c r="J510" s="705" t="s">
        <v>363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3" t="s">
        <v>634</v>
      </c>
      <c r="C511" s="705" t="s">
        <v>692</v>
      </c>
      <c r="D511" s="705" t="s">
        <v>695</v>
      </c>
      <c r="E511" s="705" t="s">
        <v>373</v>
      </c>
      <c r="F511" s="705">
        <v>1</v>
      </c>
      <c r="G511" s="705"/>
      <c r="H511" s="719"/>
      <c r="I511" s="719">
        <v>46142</v>
      </c>
      <c r="J511" s="705" t="s">
        <v>363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3" t="s">
        <v>634</v>
      </c>
      <c r="C512" s="705" t="s">
        <v>696</v>
      </c>
      <c r="D512" s="705" t="s">
        <v>697</v>
      </c>
      <c r="E512" s="705" t="s">
        <v>372</v>
      </c>
      <c r="F512" s="705">
        <v>3</v>
      </c>
      <c r="G512" s="705"/>
      <c r="H512" s="719"/>
      <c r="I512" s="719">
        <v>46147</v>
      </c>
      <c r="J512" s="705" t="s">
        <v>363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3" t="s">
        <v>634</v>
      </c>
      <c r="C513" s="705" t="s">
        <v>696</v>
      </c>
      <c r="D513" s="705" t="s">
        <v>697</v>
      </c>
      <c r="E513" s="705" t="s">
        <v>368</v>
      </c>
      <c r="F513" s="705">
        <v>17</v>
      </c>
      <c r="G513" s="705"/>
      <c r="H513" s="719"/>
      <c r="I513" s="719">
        <v>46147</v>
      </c>
      <c r="J513" s="705" t="s">
        <v>363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3" t="s">
        <v>634</v>
      </c>
      <c r="C514" s="705" t="s">
        <v>696</v>
      </c>
      <c r="D514" s="705" t="s">
        <v>697</v>
      </c>
      <c r="E514" s="705" t="s">
        <v>365</v>
      </c>
      <c r="F514" s="705">
        <v>4</v>
      </c>
      <c r="G514" s="705"/>
      <c r="H514" s="719"/>
      <c r="I514" s="719">
        <v>46147</v>
      </c>
      <c r="J514" s="705" t="s">
        <v>363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3" t="s">
        <v>634</v>
      </c>
      <c r="C515" s="705" t="s">
        <v>696</v>
      </c>
      <c r="D515" s="705" t="s">
        <v>697</v>
      </c>
      <c r="E515" s="705" t="s">
        <v>373</v>
      </c>
      <c r="F515" s="705">
        <v>12</v>
      </c>
      <c r="G515" s="705"/>
      <c r="H515" s="719"/>
      <c r="I515" s="719">
        <v>46147</v>
      </c>
      <c r="J515" s="705" t="s">
        <v>363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3" t="s">
        <v>634</v>
      </c>
      <c r="C516" s="705" t="s">
        <v>696</v>
      </c>
      <c r="D516" s="705" t="s">
        <v>697</v>
      </c>
      <c r="E516" s="705" t="s">
        <v>408</v>
      </c>
      <c r="F516" s="705">
        <v>1</v>
      </c>
      <c r="G516" s="705"/>
      <c r="H516" s="719"/>
      <c r="I516" s="719">
        <v>46147</v>
      </c>
      <c r="J516" s="705" t="s">
        <v>363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3" t="s">
        <v>634</v>
      </c>
      <c r="C517" s="705" t="s">
        <v>696</v>
      </c>
      <c r="D517" s="705" t="s">
        <v>698</v>
      </c>
      <c r="E517" s="705" t="s">
        <v>368</v>
      </c>
      <c r="F517" s="705">
        <v>1</v>
      </c>
      <c r="G517" s="705"/>
      <c r="H517" s="719"/>
      <c r="I517" s="719">
        <v>46150</v>
      </c>
      <c r="J517" s="705" t="s">
        <v>363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3" t="s">
        <v>634</v>
      </c>
      <c r="C518" s="705" t="s">
        <v>696</v>
      </c>
      <c r="D518" s="705" t="s">
        <v>698</v>
      </c>
      <c r="E518" s="705" t="s">
        <v>373</v>
      </c>
      <c r="F518" s="705">
        <v>1</v>
      </c>
      <c r="G518" s="705"/>
      <c r="H518" s="719"/>
      <c r="I518" s="719">
        <v>46150</v>
      </c>
      <c r="J518" s="705" t="s">
        <v>363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3" t="s">
        <v>634</v>
      </c>
      <c r="C519" s="704" t="s">
        <v>699</v>
      </c>
      <c r="D519" s="704" t="s">
        <v>700</v>
      </c>
      <c r="E519" s="705" t="s">
        <v>368</v>
      </c>
      <c r="F519" s="705">
        <v>1</v>
      </c>
      <c r="G519" s="705"/>
      <c r="H519" s="719"/>
      <c r="I519" s="719">
        <v>46150</v>
      </c>
      <c r="J519" s="705" t="s">
        <v>363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3" t="s">
        <v>634</v>
      </c>
      <c r="C520" s="704" t="s">
        <v>699</v>
      </c>
      <c r="D520" s="704" t="s">
        <v>700</v>
      </c>
      <c r="E520" s="705" t="s">
        <v>373</v>
      </c>
      <c r="F520" s="705">
        <v>2</v>
      </c>
      <c r="G520" s="705"/>
      <c r="H520" s="719"/>
      <c r="I520" s="719">
        <v>46150</v>
      </c>
      <c r="J520" s="705" t="s">
        <v>363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3" t="s">
        <v>634</v>
      </c>
      <c r="C521" s="704" t="s">
        <v>699</v>
      </c>
      <c r="D521" s="704" t="s">
        <v>701</v>
      </c>
      <c r="E521" s="705" t="s">
        <v>368</v>
      </c>
      <c r="F521" s="705">
        <v>2</v>
      </c>
      <c r="G521" s="705"/>
      <c r="H521" s="719"/>
      <c r="I521" s="719">
        <v>46150</v>
      </c>
      <c r="J521" s="705" t="s">
        <v>363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3" t="s">
        <v>634</v>
      </c>
      <c r="C522" s="704" t="s">
        <v>699</v>
      </c>
      <c r="D522" s="704" t="s">
        <v>701</v>
      </c>
      <c r="E522" s="705" t="s">
        <v>373</v>
      </c>
      <c r="F522" s="705">
        <v>1</v>
      </c>
      <c r="G522" s="705"/>
      <c r="H522" s="719"/>
      <c r="I522" s="719">
        <v>46150</v>
      </c>
      <c r="J522" s="705" t="s">
        <v>363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3" t="s">
        <v>634</v>
      </c>
      <c r="C523" s="704" t="s">
        <v>699</v>
      </c>
      <c r="D523" s="704" t="s">
        <v>701</v>
      </c>
      <c r="E523" s="705" t="s">
        <v>408</v>
      </c>
      <c r="F523" s="705">
        <v>2</v>
      </c>
      <c r="G523" s="705"/>
      <c r="H523" s="719"/>
      <c r="I523" s="719">
        <v>46150</v>
      </c>
      <c r="J523" s="705" t="s">
        <v>363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3" t="s">
        <v>634</v>
      </c>
      <c r="C524" s="705" t="s">
        <v>702</v>
      </c>
      <c r="D524" s="705" t="s">
        <v>634</v>
      </c>
      <c r="E524" s="705" t="s">
        <v>416</v>
      </c>
      <c r="F524" s="705">
        <v>2</v>
      </c>
      <c r="G524" s="705"/>
      <c r="H524" s="719"/>
      <c r="I524" s="719">
        <v>46150</v>
      </c>
      <c r="J524" s="705" t="s">
        <v>363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3" t="s">
        <v>634</v>
      </c>
      <c r="C525" s="705" t="s">
        <v>702</v>
      </c>
      <c r="D525" s="705" t="s">
        <v>634</v>
      </c>
      <c r="E525" s="705" t="s">
        <v>419</v>
      </c>
      <c r="F525" s="705">
        <v>2</v>
      </c>
      <c r="G525" s="705">
        <v>2</v>
      </c>
      <c r="H525" s="719">
        <v>46063</v>
      </c>
      <c r="I525" s="719">
        <v>46063</v>
      </c>
      <c r="J525" s="705" t="s">
        <v>366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3" t="s">
        <v>423</v>
      </c>
      <c r="C526" s="705" t="s">
        <v>703</v>
      </c>
      <c r="D526" s="705" t="s">
        <v>704</v>
      </c>
      <c r="E526" s="705" t="s">
        <v>368</v>
      </c>
      <c r="F526" s="705">
        <v>2</v>
      </c>
      <c r="G526" s="705"/>
      <c r="H526" s="719"/>
      <c r="I526" s="719">
        <v>46170</v>
      </c>
      <c r="J526" s="705" t="s">
        <v>363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3" t="s">
        <v>423</v>
      </c>
      <c r="C527" s="705" t="s">
        <v>703</v>
      </c>
      <c r="D527" s="705" t="s">
        <v>704</v>
      </c>
      <c r="E527" s="705" t="s">
        <v>373</v>
      </c>
      <c r="F527" s="705">
        <v>1</v>
      </c>
      <c r="G527" s="705"/>
      <c r="H527" s="719"/>
      <c r="I527" s="719">
        <v>46170</v>
      </c>
      <c r="J527" s="705" t="s">
        <v>363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3" t="s">
        <v>423</v>
      </c>
      <c r="C528" s="705" t="s">
        <v>703</v>
      </c>
      <c r="D528" s="705" t="s">
        <v>704</v>
      </c>
      <c r="E528" s="705" t="s">
        <v>408</v>
      </c>
      <c r="F528" s="705">
        <v>1</v>
      </c>
      <c r="G528" s="705"/>
      <c r="H528" s="719"/>
      <c r="I528" s="719">
        <v>46170</v>
      </c>
      <c r="J528" s="705" t="s">
        <v>363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3" t="s">
        <v>423</v>
      </c>
      <c r="C529" s="705" t="s">
        <v>703</v>
      </c>
      <c r="D529" s="705" t="s">
        <v>705</v>
      </c>
      <c r="E529" s="705" t="s">
        <v>368</v>
      </c>
      <c r="F529" s="705">
        <v>1</v>
      </c>
      <c r="G529" s="705"/>
      <c r="H529" s="719"/>
      <c r="I529" s="719">
        <v>46170</v>
      </c>
      <c r="J529" s="705" t="s">
        <v>363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3" t="s">
        <v>423</v>
      </c>
      <c r="C530" s="705" t="s">
        <v>703</v>
      </c>
      <c r="D530" s="705" t="s">
        <v>705</v>
      </c>
      <c r="E530" s="705" t="s">
        <v>373</v>
      </c>
      <c r="F530" s="705">
        <v>1</v>
      </c>
      <c r="G530" s="705"/>
      <c r="H530" s="719"/>
      <c r="I530" s="719">
        <v>46170</v>
      </c>
      <c r="J530" s="705" t="s">
        <v>363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3" t="s">
        <v>423</v>
      </c>
      <c r="C531" s="705" t="s">
        <v>703</v>
      </c>
      <c r="D531" s="705" t="s">
        <v>705</v>
      </c>
      <c r="E531" s="705" t="s">
        <v>410</v>
      </c>
      <c r="F531" s="705">
        <v>1</v>
      </c>
      <c r="G531" s="705"/>
      <c r="H531" s="719"/>
      <c r="I531" s="719">
        <v>46170</v>
      </c>
      <c r="J531" s="705" t="s">
        <v>363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3" t="s">
        <v>423</v>
      </c>
      <c r="C532" s="705" t="s">
        <v>703</v>
      </c>
      <c r="D532" s="705" t="s">
        <v>706</v>
      </c>
      <c r="E532" s="705" t="s">
        <v>368</v>
      </c>
      <c r="F532" s="705">
        <v>1</v>
      </c>
      <c r="G532" s="705"/>
      <c r="H532" s="719"/>
      <c r="I532" s="719">
        <v>46170</v>
      </c>
      <c r="J532" s="705" t="s">
        <v>363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3" t="s">
        <v>423</v>
      </c>
      <c r="C533" s="705" t="s">
        <v>703</v>
      </c>
      <c r="D533" s="705" t="s">
        <v>707</v>
      </c>
      <c r="E533" s="705" t="s">
        <v>368</v>
      </c>
      <c r="F533" s="705">
        <v>1</v>
      </c>
      <c r="G533" s="705"/>
      <c r="H533" s="719"/>
      <c r="I533" s="719">
        <v>46170</v>
      </c>
      <c r="J533" s="705" t="s">
        <v>363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3" t="s">
        <v>423</v>
      </c>
      <c r="C534" s="705" t="s">
        <v>703</v>
      </c>
      <c r="D534" s="705" t="s">
        <v>707</v>
      </c>
      <c r="E534" s="705" t="s">
        <v>373</v>
      </c>
      <c r="F534" s="705">
        <v>1</v>
      </c>
      <c r="G534" s="705"/>
      <c r="H534" s="719"/>
      <c r="I534" s="719">
        <v>46170</v>
      </c>
      <c r="J534" s="705" t="s">
        <v>363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3" t="s">
        <v>423</v>
      </c>
      <c r="C535" s="705" t="s">
        <v>703</v>
      </c>
      <c r="D535" s="705" t="s">
        <v>708</v>
      </c>
      <c r="E535" s="705" t="s">
        <v>368</v>
      </c>
      <c r="F535" s="705">
        <v>1</v>
      </c>
      <c r="G535" s="705"/>
      <c r="H535" s="719"/>
      <c r="I535" s="719">
        <v>46170</v>
      </c>
      <c r="J535" s="705" t="s">
        <v>363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3" t="s">
        <v>423</v>
      </c>
      <c r="C536" s="705" t="s">
        <v>703</v>
      </c>
      <c r="D536" s="705" t="s">
        <v>708</v>
      </c>
      <c r="E536" s="705" t="s">
        <v>373</v>
      </c>
      <c r="F536" s="705">
        <v>1</v>
      </c>
      <c r="G536" s="705"/>
      <c r="H536" s="719"/>
      <c r="I536" s="719">
        <v>46170</v>
      </c>
      <c r="J536" s="705" t="s">
        <v>363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3" t="s">
        <v>423</v>
      </c>
      <c r="C537" s="705" t="s">
        <v>703</v>
      </c>
      <c r="D537" s="705" t="s">
        <v>708</v>
      </c>
      <c r="E537" s="705" t="s">
        <v>410</v>
      </c>
      <c r="F537" s="705">
        <v>1</v>
      </c>
      <c r="G537" s="705"/>
      <c r="H537" s="719"/>
      <c r="I537" s="719">
        <v>46170</v>
      </c>
      <c r="J537" s="705" t="s">
        <v>363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3" t="s">
        <v>423</v>
      </c>
      <c r="C538" s="705" t="s">
        <v>703</v>
      </c>
      <c r="D538" s="705" t="s">
        <v>709</v>
      </c>
      <c r="E538" s="705" t="s">
        <v>368</v>
      </c>
      <c r="F538" s="705">
        <v>1</v>
      </c>
      <c r="G538" s="705"/>
      <c r="H538" s="719"/>
      <c r="I538" s="719">
        <v>46171</v>
      </c>
      <c r="J538" s="705" t="s">
        <v>363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3" t="s">
        <v>423</v>
      </c>
      <c r="C539" s="705" t="s">
        <v>703</v>
      </c>
      <c r="D539" s="705" t="s">
        <v>709</v>
      </c>
      <c r="E539" s="705" t="s">
        <v>373</v>
      </c>
      <c r="F539" s="705">
        <v>1</v>
      </c>
      <c r="G539" s="705"/>
      <c r="H539" s="719"/>
      <c r="I539" s="719">
        <v>46171</v>
      </c>
      <c r="J539" s="705" t="s">
        <v>363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3" t="s">
        <v>423</v>
      </c>
      <c r="C540" s="705" t="s">
        <v>703</v>
      </c>
      <c r="D540" s="705" t="s">
        <v>709</v>
      </c>
      <c r="E540" s="705" t="s">
        <v>410</v>
      </c>
      <c r="F540" s="705">
        <v>1</v>
      </c>
      <c r="G540" s="705"/>
      <c r="H540" s="719"/>
      <c r="I540" s="719">
        <v>46171</v>
      </c>
      <c r="J540" s="705" t="s">
        <v>363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3" t="s">
        <v>423</v>
      </c>
      <c r="C541" s="705" t="s">
        <v>703</v>
      </c>
      <c r="D541" s="705" t="s">
        <v>710</v>
      </c>
      <c r="E541" s="705" t="s">
        <v>368</v>
      </c>
      <c r="F541" s="705">
        <v>1</v>
      </c>
      <c r="G541" s="705"/>
      <c r="H541" s="719"/>
      <c r="I541" s="719">
        <v>46171</v>
      </c>
      <c r="J541" s="705" t="s">
        <v>363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3" t="s">
        <v>423</v>
      </c>
      <c r="C542" s="705" t="s">
        <v>703</v>
      </c>
      <c r="D542" s="705" t="s">
        <v>711</v>
      </c>
      <c r="E542" s="705" t="s">
        <v>368</v>
      </c>
      <c r="F542" s="705">
        <v>1</v>
      </c>
      <c r="G542" s="705"/>
      <c r="H542" s="719"/>
      <c r="I542" s="719">
        <v>46171</v>
      </c>
      <c r="J542" s="705" t="s">
        <v>363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3" t="s">
        <v>423</v>
      </c>
      <c r="C543" s="705" t="s">
        <v>703</v>
      </c>
      <c r="D543" s="705" t="s">
        <v>711</v>
      </c>
      <c r="E543" s="705" t="s">
        <v>373</v>
      </c>
      <c r="F543" s="705">
        <v>1</v>
      </c>
      <c r="G543" s="705"/>
      <c r="H543" s="719"/>
      <c r="I543" s="719">
        <v>46171</v>
      </c>
      <c r="J543" s="705" t="s">
        <v>363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3" t="s">
        <v>423</v>
      </c>
      <c r="C544" s="705" t="s">
        <v>703</v>
      </c>
      <c r="D544" s="705" t="s">
        <v>712</v>
      </c>
      <c r="E544" s="705" t="s">
        <v>368</v>
      </c>
      <c r="F544" s="705">
        <v>2</v>
      </c>
      <c r="G544" s="705"/>
      <c r="H544" s="719"/>
      <c r="I544" s="719">
        <v>46171</v>
      </c>
      <c r="J544" s="705" t="s">
        <v>363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3" t="s">
        <v>423</v>
      </c>
      <c r="C545" s="705" t="s">
        <v>703</v>
      </c>
      <c r="D545" s="705" t="s">
        <v>712</v>
      </c>
      <c r="E545" s="705" t="s">
        <v>373</v>
      </c>
      <c r="F545" s="705">
        <v>1</v>
      </c>
      <c r="G545" s="705"/>
      <c r="H545" s="719"/>
      <c r="I545" s="719">
        <v>46171</v>
      </c>
      <c r="J545" s="705" t="s">
        <v>363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3" t="s">
        <v>423</v>
      </c>
      <c r="C546" s="705" t="s">
        <v>703</v>
      </c>
      <c r="D546" s="705" t="s">
        <v>712</v>
      </c>
      <c r="E546" s="705" t="s">
        <v>410</v>
      </c>
      <c r="F546" s="705">
        <v>1</v>
      </c>
      <c r="G546" s="705"/>
      <c r="H546" s="719"/>
      <c r="I546" s="719">
        <v>46171</v>
      </c>
      <c r="J546" s="705" t="s">
        <v>363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3" t="s">
        <v>423</v>
      </c>
      <c r="C547" s="705" t="s">
        <v>703</v>
      </c>
      <c r="D547" s="705" t="s">
        <v>713</v>
      </c>
      <c r="E547" s="705" t="s">
        <v>368</v>
      </c>
      <c r="F547" s="705">
        <v>1</v>
      </c>
      <c r="G547" s="705"/>
      <c r="H547" s="719"/>
      <c r="I547" s="719">
        <v>46171</v>
      </c>
      <c r="J547" s="705" t="s">
        <v>363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3" t="s">
        <v>423</v>
      </c>
      <c r="C548" s="705" t="s">
        <v>703</v>
      </c>
      <c r="D548" s="705" t="s">
        <v>713</v>
      </c>
      <c r="E548" s="705" t="s">
        <v>373</v>
      </c>
      <c r="F548" s="705">
        <v>1</v>
      </c>
      <c r="G548" s="705"/>
      <c r="H548" s="719"/>
      <c r="I548" s="719">
        <v>46171</v>
      </c>
      <c r="J548" s="705" t="s">
        <v>363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3" t="s">
        <v>423</v>
      </c>
      <c r="C549" s="705" t="s">
        <v>703</v>
      </c>
      <c r="D549" s="705" t="s">
        <v>714</v>
      </c>
      <c r="E549" s="705" t="s">
        <v>368</v>
      </c>
      <c r="F549" s="705">
        <v>1</v>
      </c>
      <c r="G549" s="705"/>
      <c r="H549" s="719"/>
      <c r="I549" s="719">
        <v>46174</v>
      </c>
      <c r="J549" s="705" t="s">
        <v>363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3" t="s">
        <v>423</v>
      </c>
      <c r="C550" s="705" t="s">
        <v>703</v>
      </c>
      <c r="D550" s="705" t="s">
        <v>714</v>
      </c>
      <c r="E550" s="705" t="s">
        <v>373</v>
      </c>
      <c r="F550" s="705">
        <v>1</v>
      </c>
      <c r="G550" s="705"/>
      <c r="H550" s="719"/>
      <c r="I550" s="719">
        <v>46174</v>
      </c>
      <c r="J550" s="705" t="s">
        <v>363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3" t="s">
        <v>423</v>
      </c>
      <c r="C551" s="705" t="s">
        <v>703</v>
      </c>
      <c r="D551" s="705" t="s">
        <v>715</v>
      </c>
      <c r="E551" s="705" t="s">
        <v>368</v>
      </c>
      <c r="F551" s="705">
        <v>1</v>
      </c>
      <c r="G551" s="705"/>
      <c r="H551" s="719"/>
      <c r="I551" s="719">
        <v>46174</v>
      </c>
      <c r="J551" s="705" t="s">
        <v>363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3" t="s">
        <v>423</v>
      </c>
      <c r="C552" s="705" t="s">
        <v>703</v>
      </c>
      <c r="D552" s="705" t="s">
        <v>715</v>
      </c>
      <c r="E552" s="705" t="s">
        <v>373</v>
      </c>
      <c r="F552" s="705">
        <v>1</v>
      </c>
      <c r="G552" s="705"/>
      <c r="H552" s="719"/>
      <c r="I552" s="719">
        <v>46174</v>
      </c>
      <c r="J552" s="705" t="s">
        <v>363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3" t="s">
        <v>423</v>
      </c>
      <c r="C553" s="705" t="s">
        <v>703</v>
      </c>
      <c r="D553" s="705" t="s">
        <v>716</v>
      </c>
      <c r="E553" s="705" t="s">
        <v>368</v>
      </c>
      <c r="F553" s="705">
        <v>1</v>
      </c>
      <c r="G553" s="705"/>
      <c r="H553" s="719"/>
      <c r="I553" s="719">
        <v>46174</v>
      </c>
      <c r="J553" s="705" t="s">
        <v>363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3" t="s">
        <v>423</v>
      </c>
      <c r="C554" s="705" t="s">
        <v>703</v>
      </c>
      <c r="D554" s="705" t="s">
        <v>716</v>
      </c>
      <c r="E554" s="705" t="s">
        <v>373</v>
      </c>
      <c r="F554" s="705">
        <v>1</v>
      </c>
      <c r="G554" s="705"/>
      <c r="H554" s="719"/>
      <c r="I554" s="719">
        <v>46174</v>
      </c>
      <c r="J554" s="705" t="s">
        <v>363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3" t="s">
        <v>423</v>
      </c>
      <c r="C555" s="705" t="s">
        <v>703</v>
      </c>
      <c r="D555" s="705" t="s">
        <v>717</v>
      </c>
      <c r="E555" s="705" t="s">
        <v>368</v>
      </c>
      <c r="F555" s="705">
        <v>1</v>
      </c>
      <c r="G555" s="705"/>
      <c r="H555" s="719"/>
      <c r="I555" s="719">
        <v>46174</v>
      </c>
      <c r="J555" s="705" t="s">
        <v>363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3" t="s">
        <v>423</v>
      </c>
      <c r="C556" s="705" t="s">
        <v>703</v>
      </c>
      <c r="D556" s="705" t="s">
        <v>717</v>
      </c>
      <c r="E556" s="705" t="s">
        <v>373</v>
      </c>
      <c r="F556" s="705">
        <v>1</v>
      </c>
      <c r="G556" s="705"/>
      <c r="H556" s="719"/>
      <c r="I556" s="719">
        <v>46174</v>
      </c>
      <c r="J556" s="705" t="s">
        <v>363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3" t="s">
        <v>423</v>
      </c>
      <c r="C557" s="705" t="s">
        <v>703</v>
      </c>
      <c r="D557" s="705" t="s">
        <v>718</v>
      </c>
      <c r="E557" s="705" t="s">
        <v>368</v>
      </c>
      <c r="F557" s="705">
        <v>1</v>
      </c>
      <c r="G557" s="705"/>
      <c r="H557" s="719"/>
      <c r="I557" s="719">
        <v>46174</v>
      </c>
      <c r="J557" s="705" t="s">
        <v>363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3" t="s">
        <v>423</v>
      </c>
      <c r="C558" s="705" t="s">
        <v>703</v>
      </c>
      <c r="D558" s="705" t="s">
        <v>718</v>
      </c>
      <c r="E558" s="705" t="s">
        <v>373</v>
      </c>
      <c r="F558" s="705">
        <v>1</v>
      </c>
      <c r="G558" s="705"/>
      <c r="H558" s="719"/>
      <c r="I558" s="719">
        <v>46174</v>
      </c>
      <c r="J558" s="705" t="s">
        <v>363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3" t="s">
        <v>423</v>
      </c>
      <c r="C559" s="705" t="s">
        <v>703</v>
      </c>
      <c r="D559" s="705" t="s">
        <v>719</v>
      </c>
      <c r="E559" s="705" t="s">
        <v>368</v>
      </c>
      <c r="F559" s="705">
        <v>1</v>
      </c>
      <c r="G559" s="705"/>
      <c r="H559" s="719"/>
      <c r="I559" s="719">
        <v>46174</v>
      </c>
      <c r="J559" s="705" t="s">
        <v>363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3" t="s">
        <v>423</v>
      </c>
      <c r="C560" s="705" t="s">
        <v>703</v>
      </c>
      <c r="D560" s="705" t="s">
        <v>720</v>
      </c>
      <c r="E560" s="705" t="s">
        <v>368</v>
      </c>
      <c r="F560" s="705">
        <v>1</v>
      </c>
      <c r="G560" s="705"/>
      <c r="H560" s="719"/>
      <c r="I560" s="719">
        <v>46175</v>
      </c>
      <c r="J560" s="705" t="s">
        <v>363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3" t="s">
        <v>423</v>
      </c>
      <c r="C561" s="705" t="s">
        <v>703</v>
      </c>
      <c r="D561" s="705" t="s">
        <v>721</v>
      </c>
      <c r="E561" s="705" t="s">
        <v>368</v>
      </c>
      <c r="F561" s="705">
        <v>1</v>
      </c>
      <c r="G561" s="705"/>
      <c r="H561" s="719"/>
      <c r="I561" s="719">
        <v>46175</v>
      </c>
      <c r="J561" s="705" t="s">
        <v>363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3" t="s">
        <v>423</v>
      </c>
      <c r="C562" s="705" t="s">
        <v>703</v>
      </c>
      <c r="D562" s="705" t="s">
        <v>722</v>
      </c>
      <c r="E562" s="705" t="s">
        <v>368</v>
      </c>
      <c r="F562" s="705">
        <v>1</v>
      </c>
      <c r="G562" s="705"/>
      <c r="H562" s="719"/>
      <c r="I562" s="719">
        <v>46175</v>
      </c>
      <c r="J562" s="705" t="s">
        <v>363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3" t="s">
        <v>423</v>
      </c>
      <c r="C563" s="705" t="s">
        <v>703</v>
      </c>
      <c r="D563" s="705" t="s">
        <v>722</v>
      </c>
      <c r="E563" s="705" t="s">
        <v>373</v>
      </c>
      <c r="F563" s="705">
        <v>1</v>
      </c>
      <c r="G563" s="705"/>
      <c r="H563" s="719"/>
      <c r="I563" s="719">
        <v>46175</v>
      </c>
      <c r="J563" s="705" t="s">
        <v>363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3" t="s">
        <v>423</v>
      </c>
      <c r="C564" s="705" t="s">
        <v>703</v>
      </c>
      <c r="D564" s="705" t="s">
        <v>723</v>
      </c>
      <c r="E564" s="705" t="s">
        <v>368</v>
      </c>
      <c r="F564" s="705">
        <v>1</v>
      </c>
      <c r="G564" s="705"/>
      <c r="H564" s="719"/>
      <c r="I564" s="719">
        <v>46175</v>
      </c>
      <c r="J564" s="705" t="s">
        <v>363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3" t="s">
        <v>423</v>
      </c>
      <c r="C565" s="705" t="s">
        <v>703</v>
      </c>
      <c r="D565" s="705" t="s">
        <v>723</v>
      </c>
      <c r="E565" s="705" t="s">
        <v>373</v>
      </c>
      <c r="F565" s="705">
        <v>1</v>
      </c>
      <c r="G565" s="705"/>
      <c r="H565" s="719"/>
      <c r="I565" s="719">
        <v>46175</v>
      </c>
      <c r="J565" s="705" t="s">
        <v>363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3" t="s">
        <v>423</v>
      </c>
      <c r="C566" s="705" t="s">
        <v>703</v>
      </c>
      <c r="D566" s="705" t="s">
        <v>723</v>
      </c>
      <c r="E566" s="705" t="s">
        <v>410</v>
      </c>
      <c r="F566" s="705">
        <v>1</v>
      </c>
      <c r="G566" s="705"/>
      <c r="H566" s="719"/>
      <c r="I566" s="719">
        <v>46175</v>
      </c>
      <c r="J566" s="705" t="s">
        <v>363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3" t="s">
        <v>423</v>
      </c>
      <c r="C567" s="705" t="s">
        <v>703</v>
      </c>
      <c r="D567" s="705" t="s">
        <v>724</v>
      </c>
      <c r="E567" s="705" t="s">
        <v>368</v>
      </c>
      <c r="F567" s="705">
        <v>1</v>
      </c>
      <c r="G567" s="705"/>
      <c r="H567" s="719"/>
      <c r="I567" s="719">
        <v>46175</v>
      </c>
      <c r="J567" s="705" t="s">
        <v>363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3" t="s">
        <v>423</v>
      </c>
      <c r="C568" s="705" t="s">
        <v>703</v>
      </c>
      <c r="D568" s="705" t="s">
        <v>724</v>
      </c>
      <c r="E568" s="705" t="s">
        <v>408</v>
      </c>
      <c r="F568" s="705">
        <v>1</v>
      </c>
      <c r="G568" s="705"/>
      <c r="H568" s="719"/>
      <c r="I568" s="719">
        <v>46175</v>
      </c>
      <c r="J568" s="705" t="s">
        <v>363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3" t="s">
        <v>423</v>
      </c>
      <c r="C569" s="705" t="s">
        <v>703</v>
      </c>
      <c r="D569" s="705" t="s">
        <v>725</v>
      </c>
      <c r="E569" s="705" t="s">
        <v>368</v>
      </c>
      <c r="F569" s="705">
        <v>1</v>
      </c>
      <c r="G569" s="705"/>
      <c r="H569" s="719"/>
      <c r="I569" s="719">
        <v>46175</v>
      </c>
      <c r="J569" s="705" t="s">
        <v>363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3" t="s">
        <v>423</v>
      </c>
      <c r="C570" s="705" t="s">
        <v>703</v>
      </c>
      <c r="D570" s="705" t="s">
        <v>725</v>
      </c>
      <c r="E570" s="705" t="s">
        <v>408</v>
      </c>
      <c r="F570" s="705">
        <v>1</v>
      </c>
      <c r="G570" s="705"/>
      <c r="H570" s="719"/>
      <c r="I570" s="719">
        <v>46175</v>
      </c>
      <c r="J570" s="705" t="s">
        <v>363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3" t="s">
        <v>423</v>
      </c>
      <c r="C571" s="705" t="s">
        <v>703</v>
      </c>
      <c r="D571" s="705" t="s">
        <v>726</v>
      </c>
      <c r="E571" s="705" t="s">
        <v>368</v>
      </c>
      <c r="F571" s="705">
        <v>1</v>
      </c>
      <c r="G571" s="705"/>
      <c r="H571" s="719"/>
      <c r="I571" s="719">
        <v>46175</v>
      </c>
      <c r="J571" s="705" t="s">
        <v>363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3" t="s">
        <v>423</v>
      </c>
      <c r="C572" s="705" t="s">
        <v>703</v>
      </c>
      <c r="D572" s="705" t="s">
        <v>726</v>
      </c>
      <c r="E572" s="705" t="s">
        <v>408</v>
      </c>
      <c r="F572" s="705">
        <v>1</v>
      </c>
      <c r="G572" s="705"/>
      <c r="H572" s="719"/>
      <c r="I572" s="719">
        <v>46175</v>
      </c>
      <c r="J572" s="705" t="s">
        <v>363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3" t="s">
        <v>423</v>
      </c>
      <c r="C573" s="705" t="s">
        <v>703</v>
      </c>
      <c r="D573" s="705" t="s">
        <v>727</v>
      </c>
      <c r="E573" s="705" t="s">
        <v>368</v>
      </c>
      <c r="F573" s="705">
        <v>1</v>
      </c>
      <c r="G573" s="705"/>
      <c r="H573" s="719"/>
      <c r="I573" s="719">
        <v>46177</v>
      </c>
      <c r="J573" s="705" t="s">
        <v>363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3" t="s">
        <v>423</v>
      </c>
      <c r="C574" s="705" t="s">
        <v>703</v>
      </c>
      <c r="D574" s="705" t="s">
        <v>727</v>
      </c>
      <c r="E574" s="705" t="s">
        <v>373</v>
      </c>
      <c r="F574" s="705">
        <v>1</v>
      </c>
      <c r="G574" s="705"/>
      <c r="H574" s="719"/>
      <c r="I574" s="719">
        <v>46177</v>
      </c>
      <c r="J574" s="705" t="s">
        <v>363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3" t="s">
        <v>423</v>
      </c>
      <c r="C575" s="705" t="s">
        <v>703</v>
      </c>
      <c r="D575" s="705" t="s">
        <v>727</v>
      </c>
      <c r="E575" s="705" t="s">
        <v>408</v>
      </c>
      <c r="F575" s="705">
        <v>1</v>
      </c>
      <c r="G575" s="705"/>
      <c r="H575" s="719"/>
      <c r="I575" s="719">
        <v>46177</v>
      </c>
      <c r="J575" s="705" t="s">
        <v>363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3" t="s">
        <v>423</v>
      </c>
      <c r="C576" s="705" t="s">
        <v>703</v>
      </c>
      <c r="D576" s="705" t="s">
        <v>728</v>
      </c>
      <c r="E576" s="705" t="s">
        <v>368</v>
      </c>
      <c r="F576" s="705">
        <v>1</v>
      </c>
      <c r="G576" s="705"/>
      <c r="H576" s="719"/>
      <c r="I576" s="719">
        <v>46177</v>
      </c>
      <c r="J576" s="705" t="s">
        <v>363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3" t="s">
        <v>423</v>
      </c>
      <c r="C577" s="705" t="s">
        <v>703</v>
      </c>
      <c r="D577" s="705" t="s">
        <v>728</v>
      </c>
      <c r="E577" s="705" t="s">
        <v>373</v>
      </c>
      <c r="F577" s="705">
        <v>1</v>
      </c>
      <c r="G577" s="705"/>
      <c r="H577" s="719"/>
      <c r="I577" s="719">
        <v>46177</v>
      </c>
      <c r="J577" s="705" t="s">
        <v>363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3" t="s">
        <v>423</v>
      </c>
      <c r="C578" s="705" t="s">
        <v>703</v>
      </c>
      <c r="D578" s="705" t="s">
        <v>729</v>
      </c>
      <c r="E578" s="705" t="s">
        <v>368</v>
      </c>
      <c r="F578" s="705">
        <v>1</v>
      </c>
      <c r="G578" s="705"/>
      <c r="H578" s="719"/>
      <c r="I578" s="719">
        <v>46177</v>
      </c>
      <c r="J578" s="705" t="s">
        <v>363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3" t="s">
        <v>423</v>
      </c>
      <c r="C579" s="705" t="s">
        <v>703</v>
      </c>
      <c r="D579" s="705" t="s">
        <v>730</v>
      </c>
      <c r="E579" s="705" t="s">
        <v>368</v>
      </c>
      <c r="F579" s="705">
        <v>1</v>
      </c>
      <c r="G579" s="705"/>
      <c r="H579" s="719"/>
      <c r="I579" s="719">
        <v>46177</v>
      </c>
      <c r="J579" s="705" t="s">
        <v>363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3" t="s">
        <v>423</v>
      </c>
      <c r="C580" s="705" t="s">
        <v>703</v>
      </c>
      <c r="D580" s="705" t="s">
        <v>731</v>
      </c>
      <c r="E580" s="705" t="s">
        <v>368</v>
      </c>
      <c r="F580" s="705">
        <v>1</v>
      </c>
      <c r="G580" s="705"/>
      <c r="H580" s="719"/>
      <c r="I580" s="719">
        <v>46177</v>
      </c>
      <c r="J580" s="705" t="s">
        <v>363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3" t="s">
        <v>423</v>
      </c>
      <c r="C581" s="705" t="s">
        <v>703</v>
      </c>
      <c r="D581" s="705" t="s">
        <v>732</v>
      </c>
      <c r="E581" s="705" t="s">
        <v>368</v>
      </c>
      <c r="F581" s="705">
        <v>1</v>
      </c>
      <c r="G581" s="705"/>
      <c r="H581" s="719"/>
      <c r="I581" s="719">
        <v>46177</v>
      </c>
      <c r="J581" s="705" t="s">
        <v>363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3" t="s">
        <v>423</v>
      </c>
      <c r="C582" s="705" t="s">
        <v>703</v>
      </c>
      <c r="D582" s="705" t="s">
        <v>732</v>
      </c>
      <c r="E582" s="705" t="s">
        <v>373</v>
      </c>
      <c r="F582" s="705">
        <v>1</v>
      </c>
      <c r="G582" s="705"/>
      <c r="H582" s="719"/>
      <c r="I582" s="719">
        <v>46177</v>
      </c>
      <c r="J582" s="705" t="s">
        <v>363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3" t="s">
        <v>423</v>
      </c>
      <c r="C583" s="705" t="s">
        <v>733</v>
      </c>
      <c r="D583" s="705" t="s">
        <v>734</v>
      </c>
      <c r="E583" s="705" t="s">
        <v>368</v>
      </c>
      <c r="F583" s="705">
        <v>2</v>
      </c>
      <c r="G583" s="705"/>
      <c r="H583" s="719"/>
      <c r="I583" s="719">
        <v>46170</v>
      </c>
      <c r="J583" s="705" t="s">
        <v>363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3" t="s">
        <v>423</v>
      </c>
      <c r="C584" s="705" t="s">
        <v>733</v>
      </c>
      <c r="D584" s="705" t="s">
        <v>734</v>
      </c>
      <c r="E584" s="705" t="s">
        <v>373</v>
      </c>
      <c r="F584" s="705">
        <v>1</v>
      </c>
      <c r="G584" s="705"/>
      <c r="H584" s="719"/>
      <c r="I584" s="719">
        <v>46170</v>
      </c>
      <c r="J584" s="705" t="s">
        <v>363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3" t="s">
        <v>423</v>
      </c>
      <c r="C585" s="705" t="s">
        <v>733</v>
      </c>
      <c r="D585" s="705" t="s">
        <v>734</v>
      </c>
      <c r="E585" s="705" t="s">
        <v>410</v>
      </c>
      <c r="F585" s="705">
        <v>1</v>
      </c>
      <c r="G585" s="705"/>
      <c r="H585" s="719"/>
      <c r="I585" s="719">
        <v>46170</v>
      </c>
      <c r="J585" s="705" t="s">
        <v>363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3" t="s">
        <v>423</v>
      </c>
      <c r="C586" s="705" t="s">
        <v>733</v>
      </c>
      <c r="D586" s="705" t="s">
        <v>735</v>
      </c>
      <c r="E586" s="705" t="s">
        <v>368</v>
      </c>
      <c r="F586" s="705">
        <v>1</v>
      </c>
      <c r="G586" s="705"/>
      <c r="H586" s="719"/>
      <c r="I586" s="719">
        <v>46170</v>
      </c>
      <c r="J586" s="705" t="s">
        <v>363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3" t="s">
        <v>423</v>
      </c>
      <c r="C587" s="705" t="s">
        <v>733</v>
      </c>
      <c r="D587" s="705" t="s">
        <v>735</v>
      </c>
      <c r="E587" s="705" t="s">
        <v>373</v>
      </c>
      <c r="F587" s="705">
        <v>1</v>
      </c>
      <c r="G587" s="705"/>
      <c r="H587" s="719"/>
      <c r="I587" s="719">
        <v>46170</v>
      </c>
      <c r="J587" s="705" t="s">
        <v>363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3" t="s">
        <v>423</v>
      </c>
      <c r="C588" s="705" t="s">
        <v>733</v>
      </c>
      <c r="D588" s="705" t="s">
        <v>735</v>
      </c>
      <c r="E588" s="705" t="s">
        <v>408</v>
      </c>
      <c r="F588" s="705">
        <v>1</v>
      </c>
      <c r="G588" s="705"/>
      <c r="H588" s="719"/>
      <c r="I588" s="719">
        <v>46170</v>
      </c>
      <c r="J588" s="705" t="s">
        <v>363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3" t="s">
        <v>423</v>
      </c>
      <c r="C589" s="705" t="s">
        <v>733</v>
      </c>
      <c r="D589" s="705" t="s">
        <v>736</v>
      </c>
      <c r="E589" s="705" t="s">
        <v>368</v>
      </c>
      <c r="F589" s="705">
        <v>1</v>
      </c>
      <c r="G589" s="705"/>
      <c r="H589" s="719"/>
      <c r="I589" s="719">
        <v>46170</v>
      </c>
      <c r="J589" s="705" t="s">
        <v>363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3" t="s">
        <v>423</v>
      </c>
      <c r="C590" s="705" t="s">
        <v>733</v>
      </c>
      <c r="D590" s="705" t="s">
        <v>736</v>
      </c>
      <c r="E590" s="705" t="s">
        <v>373</v>
      </c>
      <c r="F590" s="705">
        <v>1</v>
      </c>
      <c r="G590" s="705"/>
      <c r="H590" s="719"/>
      <c r="I590" s="719">
        <v>46170</v>
      </c>
      <c r="J590" s="705" t="s">
        <v>363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3" t="s">
        <v>423</v>
      </c>
      <c r="C591" s="705" t="s">
        <v>733</v>
      </c>
      <c r="D591" s="705" t="s">
        <v>736</v>
      </c>
      <c r="E591" s="705" t="s">
        <v>408</v>
      </c>
      <c r="F591" s="705">
        <v>1</v>
      </c>
      <c r="G591" s="705"/>
      <c r="H591" s="719"/>
      <c r="I591" s="719">
        <v>46170</v>
      </c>
      <c r="J591" s="705" t="s">
        <v>363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3" t="s">
        <v>423</v>
      </c>
      <c r="C592" s="705" t="s">
        <v>733</v>
      </c>
      <c r="D592" s="705" t="s">
        <v>737</v>
      </c>
      <c r="E592" s="705" t="s">
        <v>368</v>
      </c>
      <c r="F592" s="705">
        <v>1</v>
      </c>
      <c r="G592" s="705"/>
      <c r="H592" s="719"/>
      <c r="I592" s="719">
        <v>46170</v>
      </c>
      <c r="J592" s="705" t="s">
        <v>363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3" t="s">
        <v>423</v>
      </c>
      <c r="C593" s="705" t="s">
        <v>733</v>
      </c>
      <c r="D593" s="705" t="s">
        <v>737</v>
      </c>
      <c r="E593" s="705" t="s">
        <v>373</v>
      </c>
      <c r="F593" s="705">
        <v>1</v>
      </c>
      <c r="G593" s="705"/>
      <c r="H593" s="719"/>
      <c r="I593" s="719">
        <v>46170</v>
      </c>
      <c r="J593" s="705" t="s">
        <v>363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3" t="s">
        <v>423</v>
      </c>
      <c r="C594" s="705" t="s">
        <v>733</v>
      </c>
      <c r="D594" s="705" t="s">
        <v>737</v>
      </c>
      <c r="E594" s="705" t="s">
        <v>408</v>
      </c>
      <c r="F594" s="705">
        <v>1</v>
      </c>
      <c r="G594" s="705"/>
      <c r="H594" s="719"/>
      <c r="I594" s="719">
        <v>46170</v>
      </c>
      <c r="J594" s="705" t="s">
        <v>363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3" t="s">
        <v>423</v>
      </c>
      <c r="C595" s="705" t="s">
        <v>733</v>
      </c>
      <c r="D595" s="705" t="s">
        <v>738</v>
      </c>
      <c r="E595" s="705" t="s">
        <v>368</v>
      </c>
      <c r="F595" s="705">
        <v>1</v>
      </c>
      <c r="G595" s="705"/>
      <c r="H595" s="719"/>
      <c r="I595" s="719">
        <v>46171</v>
      </c>
      <c r="J595" s="705" t="s">
        <v>363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3" t="s">
        <v>423</v>
      </c>
      <c r="C596" s="705" t="s">
        <v>733</v>
      </c>
      <c r="D596" s="705" t="s">
        <v>738</v>
      </c>
      <c r="E596" s="705" t="s">
        <v>373</v>
      </c>
      <c r="F596" s="705">
        <v>2</v>
      </c>
      <c r="G596" s="705"/>
      <c r="H596" s="719"/>
      <c r="I596" s="719">
        <v>46171</v>
      </c>
      <c r="J596" s="705" t="s">
        <v>363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3" t="s">
        <v>423</v>
      </c>
      <c r="C597" s="705" t="s">
        <v>733</v>
      </c>
      <c r="D597" s="705" t="s">
        <v>738</v>
      </c>
      <c r="E597" s="705" t="s">
        <v>408</v>
      </c>
      <c r="F597" s="705">
        <v>1</v>
      </c>
      <c r="G597" s="705"/>
      <c r="H597" s="719"/>
      <c r="I597" s="719">
        <v>46171</v>
      </c>
      <c r="J597" s="705" t="s">
        <v>363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3" t="s">
        <v>423</v>
      </c>
      <c r="C598" s="705" t="s">
        <v>733</v>
      </c>
      <c r="D598" s="705" t="s">
        <v>739</v>
      </c>
      <c r="E598" s="705" t="s">
        <v>368</v>
      </c>
      <c r="F598" s="705">
        <v>1</v>
      </c>
      <c r="G598" s="705"/>
      <c r="H598" s="719"/>
      <c r="I598" s="719">
        <v>46171</v>
      </c>
      <c r="J598" s="705" t="s">
        <v>363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3" t="s">
        <v>423</v>
      </c>
      <c r="C599" s="705" t="s">
        <v>733</v>
      </c>
      <c r="D599" s="705" t="s">
        <v>739</v>
      </c>
      <c r="E599" s="705" t="s">
        <v>373</v>
      </c>
      <c r="F599" s="705">
        <v>1</v>
      </c>
      <c r="G599" s="705"/>
      <c r="H599" s="719"/>
      <c r="I599" s="719">
        <v>46171</v>
      </c>
      <c r="J599" s="705" t="s">
        <v>363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3" t="s">
        <v>423</v>
      </c>
      <c r="C600" s="705" t="s">
        <v>733</v>
      </c>
      <c r="D600" s="705" t="s">
        <v>740</v>
      </c>
      <c r="E600" s="705" t="s">
        <v>368</v>
      </c>
      <c r="F600" s="705">
        <v>1</v>
      </c>
      <c r="G600" s="705"/>
      <c r="H600" s="719"/>
      <c r="I600" s="719">
        <v>46171</v>
      </c>
      <c r="J600" s="705" t="s">
        <v>363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3" t="s">
        <v>423</v>
      </c>
      <c r="C601" s="705" t="s">
        <v>733</v>
      </c>
      <c r="D601" s="705" t="s">
        <v>740</v>
      </c>
      <c r="E601" s="705" t="s">
        <v>373</v>
      </c>
      <c r="F601" s="705">
        <v>1</v>
      </c>
      <c r="G601" s="705"/>
      <c r="H601" s="719"/>
      <c r="I601" s="719">
        <v>46171</v>
      </c>
      <c r="J601" s="705" t="s">
        <v>363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3" t="s">
        <v>423</v>
      </c>
      <c r="C602" s="705" t="s">
        <v>733</v>
      </c>
      <c r="D602" s="705" t="s">
        <v>741</v>
      </c>
      <c r="E602" s="705" t="s">
        <v>368</v>
      </c>
      <c r="F602" s="705">
        <v>1</v>
      </c>
      <c r="G602" s="705"/>
      <c r="H602" s="719"/>
      <c r="I602" s="719">
        <v>46171</v>
      </c>
      <c r="J602" s="705" t="s">
        <v>363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3" t="s">
        <v>423</v>
      </c>
      <c r="C603" s="705" t="s">
        <v>733</v>
      </c>
      <c r="D603" s="705" t="s">
        <v>741</v>
      </c>
      <c r="E603" s="705" t="s">
        <v>373</v>
      </c>
      <c r="F603" s="705">
        <v>1</v>
      </c>
      <c r="G603" s="705"/>
      <c r="H603" s="719"/>
      <c r="I603" s="719">
        <v>46171</v>
      </c>
      <c r="J603" s="705" t="s">
        <v>363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3" t="s">
        <v>423</v>
      </c>
      <c r="C604" s="705" t="s">
        <v>733</v>
      </c>
      <c r="D604" s="705" t="s">
        <v>742</v>
      </c>
      <c r="E604" s="705" t="s">
        <v>368</v>
      </c>
      <c r="F604" s="705">
        <v>1</v>
      </c>
      <c r="G604" s="705"/>
      <c r="H604" s="719"/>
      <c r="I604" s="719">
        <v>46171</v>
      </c>
      <c r="J604" s="705" t="s">
        <v>363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3" t="s">
        <v>423</v>
      </c>
      <c r="C605" s="705" t="s">
        <v>733</v>
      </c>
      <c r="D605" s="705" t="s">
        <v>742</v>
      </c>
      <c r="E605" s="705" t="s">
        <v>373</v>
      </c>
      <c r="F605" s="705">
        <v>1</v>
      </c>
      <c r="G605" s="705"/>
      <c r="H605" s="719"/>
      <c r="I605" s="719">
        <v>46171</v>
      </c>
      <c r="J605" s="705" t="s">
        <v>363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3" t="s">
        <v>423</v>
      </c>
      <c r="C606" s="705" t="s">
        <v>733</v>
      </c>
      <c r="D606" s="705" t="s">
        <v>743</v>
      </c>
      <c r="E606" s="705" t="s">
        <v>368</v>
      </c>
      <c r="F606" s="705">
        <v>1</v>
      </c>
      <c r="G606" s="705"/>
      <c r="H606" s="719"/>
      <c r="I606" s="719">
        <v>46174</v>
      </c>
      <c r="J606" s="705" t="s">
        <v>363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3" t="s">
        <v>423</v>
      </c>
      <c r="C607" s="705" t="s">
        <v>733</v>
      </c>
      <c r="D607" s="705" t="s">
        <v>743</v>
      </c>
      <c r="E607" s="705" t="s">
        <v>373</v>
      </c>
      <c r="F607" s="705">
        <v>1</v>
      </c>
      <c r="G607" s="705"/>
      <c r="H607" s="719"/>
      <c r="I607" s="719">
        <v>46174</v>
      </c>
      <c r="J607" s="705" t="s">
        <v>363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3" t="s">
        <v>423</v>
      </c>
      <c r="C608" s="705" t="s">
        <v>733</v>
      </c>
      <c r="D608" s="705" t="s">
        <v>744</v>
      </c>
      <c r="E608" s="705" t="s">
        <v>368</v>
      </c>
      <c r="F608" s="705">
        <v>1</v>
      </c>
      <c r="G608" s="705"/>
      <c r="H608" s="719"/>
      <c r="I608" s="719">
        <v>46174</v>
      </c>
      <c r="J608" s="705" t="s">
        <v>363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3" t="s">
        <v>423</v>
      </c>
      <c r="C609" s="705" t="s">
        <v>733</v>
      </c>
      <c r="D609" s="705" t="s">
        <v>744</v>
      </c>
      <c r="E609" s="705" t="s">
        <v>373</v>
      </c>
      <c r="F609" s="705">
        <v>1</v>
      </c>
      <c r="G609" s="705"/>
      <c r="H609" s="719"/>
      <c r="I609" s="719">
        <v>46174</v>
      </c>
      <c r="J609" s="705" t="s">
        <v>363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3" t="s">
        <v>423</v>
      </c>
      <c r="C610" s="705" t="s">
        <v>733</v>
      </c>
      <c r="D610" s="705" t="s">
        <v>745</v>
      </c>
      <c r="E610" s="705" t="s">
        <v>368</v>
      </c>
      <c r="F610" s="705">
        <v>2</v>
      </c>
      <c r="G610" s="705"/>
      <c r="H610" s="719"/>
      <c r="I610" s="719">
        <v>46174</v>
      </c>
      <c r="J610" s="705" t="s">
        <v>363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3" t="s">
        <v>423</v>
      </c>
      <c r="C611" s="705" t="s">
        <v>733</v>
      </c>
      <c r="D611" s="705" t="s">
        <v>745</v>
      </c>
      <c r="E611" s="705" t="s">
        <v>373</v>
      </c>
      <c r="F611" s="705">
        <v>2</v>
      </c>
      <c r="G611" s="705"/>
      <c r="H611" s="719"/>
      <c r="I611" s="719">
        <v>46174</v>
      </c>
      <c r="J611" s="705" t="s">
        <v>363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3" t="s">
        <v>423</v>
      </c>
      <c r="C612" s="705" t="s">
        <v>733</v>
      </c>
      <c r="D612" s="705" t="s">
        <v>745</v>
      </c>
      <c r="E612" s="705" t="s">
        <v>408</v>
      </c>
      <c r="F612" s="705">
        <v>1</v>
      </c>
      <c r="G612" s="705"/>
      <c r="H612" s="719"/>
      <c r="I612" s="719">
        <v>46174</v>
      </c>
      <c r="J612" s="705" t="s">
        <v>363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3" t="s">
        <v>423</v>
      </c>
      <c r="C613" s="705" t="s">
        <v>733</v>
      </c>
      <c r="D613" s="705" t="s">
        <v>746</v>
      </c>
      <c r="E613" s="705" t="s">
        <v>368</v>
      </c>
      <c r="F613" s="705">
        <v>1</v>
      </c>
      <c r="G613" s="705"/>
      <c r="H613" s="719"/>
      <c r="I613" s="719">
        <v>46174</v>
      </c>
      <c r="J613" s="705" t="s">
        <v>363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3" t="s">
        <v>423</v>
      </c>
      <c r="C614" s="705" t="s">
        <v>733</v>
      </c>
      <c r="D614" s="705" t="s">
        <v>746</v>
      </c>
      <c r="E614" s="705" t="s">
        <v>373</v>
      </c>
      <c r="F614" s="705">
        <v>1</v>
      </c>
      <c r="G614" s="705"/>
      <c r="H614" s="719"/>
      <c r="I614" s="719">
        <v>46174</v>
      </c>
      <c r="J614" s="705" t="s">
        <v>363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3" t="s">
        <v>423</v>
      </c>
      <c r="C615" s="705" t="s">
        <v>747</v>
      </c>
      <c r="D615" s="705" t="s">
        <v>748</v>
      </c>
      <c r="E615" s="705" t="s">
        <v>368</v>
      </c>
      <c r="F615" s="705">
        <v>2</v>
      </c>
      <c r="G615" s="705"/>
      <c r="H615" s="719"/>
      <c r="I615" s="719">
        <v>46175</v>
      </c>
      <c r="J615" s="705" t="s">
        <v>363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3" t="s">
        <v>423</v>
      </c>
      <c r="C616" s="705" t="s">
        <v>747</v>
      </c>
      <c r="D616" s="705" t="s">
        <v>748</v>
      </c>
      <c r="E616" s="705" t="s">
        <v>373</v>
      </c>
      <c r="F616" s="705">
        <v>1</v>
      </c>
      <c r="G616" s="705"/>
      <c r="H616" s="719"/>
      <c r="I616" s="719">
        <v>46175</v>
      </c>
      <c r="J616" s="705" t="s">
        <v>363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3" t="s">
        <v>423</v>
      </c>
      <c r="C617" s="705" t="s">
        <v>747</v>
      </c>
      <c r="D617" s="705" t="s">
        <v>748</v>
      </c>
      <c r="E617" s="705" t="s">
        <v>408</v>
      </c>
      <c r="F617" s="705">
        <v>1</v>
      </c>
      <c r="G617" s="705"/>
      <c r="H617" s="719"/>
      <c r="I617" s="719">
        <v>46175</v>
      </c>
      <c r="J617" s="705" t="s">
        <v>363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3" t="s">
        <v>423</v>
      </c>
      <c r="C618" s="705" t="s">
        <v>747</v>
      </c>
      <c r="D618" s="705" t="s">
        <v>749</v>
      </c>
      <c r="E618" s="705" t="s">
        <v>368</v>
      </c>
      <c r="F618" s="705">
        <v>1</v>
      </c>
      <c r="G618" s="705"/>
      <c r="H618" s="719"/>
      <c r="I618" s="719">
        <v>46175</v>
      </c>
      <c r="J618" s="705" t="s">
        <v>363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3" t="s">
        <v>423</v>
      </c>
      <c r="C619" s="705" t="s">
        <v>747</v>
      </c>
      <c r="D619" s="705" t="s">
        <v>749</v>
      </c>
      <c r="E619" s="705" t="s">
        <v>373</v>
      </c>
      <c r="F619" s="705">
        <v>1</v>
      </c>
      <c r="G619" s="705"/>
      <c r="H619" s="719"/>
      <c r="I619" s="719">
        <v>46175</v>
      </c>
      <c r="J619" s="705" t="s">
        <v>363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3" t="s">
        <v>423</v>
      </c>
      <c r="C620" s="705" t="s">
        <v>747</v>
      </c>
      <c r="D620" s="705" t="s">
        <v>749</v>
      </c>
      <c r="E620" s="705" t="s">
        <v>408</v>
      </c>
      <c r="F620" s="705">
        <v>1</v>
      </c>
      <c r="G620" s="705"/>
      <c r="H620" s="719"/>
      <c r="I620" s="719">
        <v>46175</v>
      </c>
      <c r="J620" s="705" t="s">
        <v>363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3" t="s">
        <v>423</v>
      </c>
      <c r="C621" s="705" t="s">
        <v>747</v>
      </c>
      <c r="D621" s="705" t="s">
        <v>750</v>
      </c>
      <c r="E621" s="705" t="s">
        <v>368</v>
      </c>
      <c r="F621" s="705">
        <v>1</v>
      </c>
      <c r="G621" s="705"/>
      <c r="H621" s="719"/>
      <c r="I621" s="719">
        <v>46175</v>
      </c>
      <c r="J621" s="705" t="s">
        <v>363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3" t="s">
        <v>423</v>
      </c>
      <c r="C622" s="705" t="s">
        <v>747</v>
      </c>
      <c r="D622" s="705" t="s">
        <v>750</v>
      </c>
      <c r="E622" s="705" t="s">
        <v>373</v>
      </c>
      <c r="F622" s="705">
        <v>1</v>
      </c>
      <c r="G622" s="705"/>
      <c r="H622" s="719"/>
      <c r="I622" s="719">
        <v>46175</v>
      </c>
      <c r="J622" s="705" t="s">
        <v>363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3" t="s">
        <v>423</v>
      </c>
      <c r="C623" s="705" t="s">
        <v>747</v>
      </c>
      <c r="D623" s="705" t="s">
        <v>750</v>
      </c>
      <c r="E623" s="705" t="s">
        <v>408</v>
      </c>
      <c r="F623" s="705">
        <v>1</v>
      </c>
      <c r="G623" s="705"/>
      <c r="H623" s="719"/>
      <c r="I623" s="719">
        <v>46175</v>
      </c>
      <c r="J623" s="705" t="s">
        <v>363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3" t="s">
        <v>423</v>
      </c>
      <c r="C624" s="705" t="s">
        <v>747</v>
      </c>
      <c r="D624" s="705" t="s">
        <v>751</v>
      </c>
      <c r="E624" s="705" t="s">
        <v>368</v>
      </c>
      <c r="F624" s="705">
        <v>1</v>
      </c>
      <c r="G624" s="705"/>
      <c r="H624" s="719"/>
      <c r="I624" s="719">
        <v>46175</v>
      </c>
      <c r="J624" s="705" t="s">
        <v>363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3" t="s">
        <v>423</v>
      </c>
      <c r="C625" s="705" t="s">
        <v>747</v>
      </c>
      <c r="D625" s="705" t="s">
        <v>751</v>
      </c>
      <c r="E625" s="705" t="s">
        <v>373</v>
      </c>
      <c r="F625" s="705">
        <v>1</v>
      </c>
      <c r="G625" s="705"/>
      <c r="H625" s="719"/>
      <c r="I625" s="719">
        <v>46175</v>
      </c>
      <c r="J625" s="705" t="s">
        <v>363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3" t="s">
        <v>423</v>
      </c>
      <c r="C626" s="705" t="s">
        <v>747</v>
      </c>
      <c r="D626" s="705" t="s">
        <v>752</v>
      </c>
      <c r="E626" s="705" t="s">
        <v>368</v>
      </c>
      <c r="F626" s="705">
        <v>1</v>
      </c>
      <c r="G626" s="705"/>
      <c r="H626" s="719"/>
      <c r="I626" s="719">
        <v>46177</v>
      </c>
      <c r="J626" s="705" t="s">
        <v>363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3" t="s">
        <v>423</v>
      </c>
      <c r="C627" s="705" t="s">
        <v>747</v>
      </c>
      <c r="D627" s="705" t="s">
        <v>752</v>
      </c>
      <c r="E627" s="705" t="s">
        <v>373</v>
      </c>
      <c r="F627" s="705">
        <v>1</v>
      </c>
      <c r="G627" s="705"/>
      <c r="H627" s="719"/>
      <c r="I627" s="719">
        <v>46177</v>
      </c>
      <c r="J627" s="705" t="s">
        <v>363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3" t="s">
        <v>423</v>
      </c>
      <c r="C628" s="705" t="s">
        <v>747</v>
      </c>
      <c r="D628" s="705" t="s">
        <v>753</v>
      </c>
      <c r="E628" s="705" t="s">
        <v>368</v>
      </c>
      <c r="F628" s="705">
        <v>1</v>
      </c>
      <c r="G628" s="705"/>
      <c r="H628" s="719"/>
      <c r="I628" s="719">
        <v>46177</v>
      </c>
      <c r="J628" s="705" t="s">
        <v>363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3" t="s">
        <v>423</v>
      </c>
      <c r="C629" s="705" t="s">
        <v>747</v>
      </c>
      <c r="D629" s="705" t="s">
        <v>753</v>
      </c>
      <c r="E629" s="705" t="s">
        <v>373</v>
      </c>
      <c r="F629" s="705">
        <v>1</v>
      </c>
      <c r="G629" s="705"/>
      <c r="H629" s="719"/>
      <c r="I629" s="719">
        <v>46177</v>
      </c>
      <c r="J629" s="705" t="s">
        <v>363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3" t="s">
        <v>423</v>
      </c>
      <c r="C630" s="705" t="s">
        <v>747</v>
      </c>
      <c r="D630" s="705" t="s">
        <v>754</v>
      </c>
      <c r="E630" s="705" t="s">
        <v>368</v>
      </c>
      <c r="F630" s="705">
        <v>1</v>
      </c>
      <c r="G630" s="705"/>
      <c r="H630" s="719"/>
      <c r="I630" s="719">
        <v>46177</v>
      </c>
      <c r="J630" s="705" t="s">
        <v>363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3" t="s">
        <v>423</v>
      </c>
      <c r="C631" s="705" t="s">
        <v>747</v>
      </c>
      <c r="D631" s="705" t="s">
        <v>754</v>
      </c>
      <c r="E631" s="705" t="s">
        <v>373</v>
      </c>
      <c r="F631" s="705">
        <v>1</v>
      </c>
      <c r="G631" s="705"/>
      <c r="H631" s="719"/>
      <c r="I631" s="719">
        <v>46177</v>
      </c>
      <c r="J631" s="705" t="s">
        <v>363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3" t="s">
        <v>423</v>
      </c>
      <c r="C632" s="705" t="s">
        <v>747</v>
      </c>
      <c r="D632" s="705" t="s">
        <v>755</v>
      </c>
      <c r="E632" s="705" t="s">
        <v>368</v>
      </c>
      <c r="F632" s="705">
        <v>1</v>
      </c>
      <c r="G632" s="705"/>
      <c r="H632" s="719"/>
      <c r="I632" s="719">
        <v>46177</v>
      </c>
      <c r="J632" s="705" t="s">
        <v>363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3" t="s">
        <v>423</v>
      </c>
      <c r="C633" s="705" t="s">
        <v>747</v>
      </c>
      <c r="D633" s="705" t="s">
        <v>755</v>
      </c>
      <c r="E633" s="705" t="s">
        <v>373</v>
      </c>
      <c r="F633" s="705">
        <v>1</v>
      </c>
      <c r="G633" s="705"/>
      <c r="H633" s="719"/>
      <c r="I633" s="719">
        <v>46177</v>
      </c>
      <c r="J633" s="705" t="s">
        <v>363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3" t="s">
        <v>423</v>
      </c>
      <c r="C634" s="705" t="s">
        <v>747</v>
      </c>
      <c r="D634" s="705" t="s">
        <v>755</v>
      </c>
      <c r="E634" s="705" t="s">
        <v>408</v>
      </c>
      <c r="F634" s="705">
        <v>1</v>
      </c>
      <c r="G634" s="705"/>
      <c r="H634" s="719"/>
      <c r="I634" s="719">
        <v>46177</v>
      </c>
      <c r="J634" s="705" t="s">
        <v>363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3" t="s">
        <v>423</v>
      </c>
      <c r="C635" s="705" t="s">
        <v>747</v>
      </c>
      <c r="D635" s="705" t="s">
        <v>756</v>
      </c>
      <c r="E635" s="705" t="s">
        <v>368</v>
      </c>
      <c r="F635" s="705">
        <v>1</v>
      </c>
      <c r="G635" s="705"/>
      <c r="H635" s="719"/>
      <c r="I635" s="719">
        <v>46177</v>
      </c>
      <c r="J635" s="705" t="s">
        <v>363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3" t="s">
        <v>423</v>
      </c>
      <c r="C636" s="705" t="s">
        <v>747</v>
      </c>
      <c r="D636" s="705" t="s">
        <v>756</v>
      </c>
      <c r="E636" s="705" t="s">
        <v>373</v>
      </c>
      <c r="F636" s="705">
        <v>1</v>
      </c>
      <c r="G636" s="705"/>
      <c r="H636" s="719"/>
      <c r="I636" s="719">
        <v>46177</v>
      </c>
      <c r="J636" s="705" t="s">
        <v>363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3" t="s">
        <v>423</v>
      </c>
      <c r="C637" s="704" t="s">
        <v>757</v>
      </c>
      <c r="D637" s="705" t="s">
        <v>40</v>
      </c>
      <c r="E637" s="705" t="s">
        <v>362</v>
      </c>
      <c r="F637" s="705">
        <v>11</v>
      </c>
      <c r="G637" s="705"/>
      <c r="H637" s="719"/>
      <c r="I637" s="719">
        <v>46177</v>
      </c>
      <c r="J637" s="705" t="s">
        <v>363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3" t="s">
        <v>423</v>
      </c>
      <c r="C638" s="704" t="s">
        <v>757</v>
      </c>
      <c r="D638" s="705" t="s">
        <v>518</v>
      </c>
      <c r="E638" s="705" t="s">
        <v>408</v>
      </c>
      <c r="F638" s="705">
        <v>1</v>
      </c>
      <c r="G638" s="705"/>
      <c r="H638" s="719"/>
      <c r="I638" s="719">
        <v>46178</v>
      </c>
      <c r="J638" s="705" t="s">
        <v>363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3" t="s">
        <v>423</v>
      </c>
      <c r="C639" s="704" t="s">
        <v>757</v>
      </c>
      <c r="D639" s="705" t="s">
        <v>758</v>
      </c>
      <c r="E639" s="705" t="s">
        <v>368</v>
      </c>
      <c r="F639" s="705">
        <v>1</v>
      </c>
      <c r="G639" s="705"/>
      <c r="H639" s="719"/>
      <c r="I639" s="719">
        <v>46178</v>
      </c>
      <c r="J639" s="705" t="s">
        <v>363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3" t="s">
        <v>423</v>
      </c>
      <c r="C640" s="704" t="s">
        <v>757</v>
      </c>
      <c r="D640" s="705" t="s">
        <v>759</v>
      </c>
      <c r="E640" s="705" t="s">
        <v>368</v>
      </c>
      <c r="F640" s="705">
        <v>1</v>
      </c>
      <c r="G640" s="705"/>
      <c r="H640" s="719"/>
      <c r="I640" s="719">
        <v>46181</v>
      </c>
      <c r="J640" s="705" t="s">
        <v>363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3" t="s">
        <v>423</v>
      </c>
      <c r="C641" s="704" t="s">
        <v>757</v>
      </c>
      <c r="D641" s="705" t="s">
        <v>759</v>
      </c>
      <c r="E641" s="705" t="s">
        <v>373</v>
      </c>
      <c r="F641" s="705">
        <v>1</v>
      </c>
      <c r="G641" s="705"/>
      <c r="H641" s="719"/>
      <c r="I641" s="719">
        <v>46181</v>
      </c>
      <c r="J641" s="705" t="s">
        <v>363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3" t="s">
        <v>423</v>
      </c>
      <c r="C642" s="704" t="s">
        <v>757</v>
      </c>
      <c r="D642" s="705" t="s">
        <v>760</v>
      </c>
      <c r="E642" s="705" t="s">
        <v>368</v>
      </c>
      <c r="F642" s="705">
        <v>1</v>
      </c>
      <c r="G642" s="705"/>
      <c r="H642" s="719"/>
      <c r="I642" s="719">
        <v>46181</v>
      </c>
      <c r="J642" s="705" t="s">
        <v>363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3" t="s">
        <v>423</v>
      </c>
      <c r="C643" s="704" t="s">
        <v>757</v>
      </c>
      <c r="D643" s="705" t="s">
        <v>760</v>
      </c>
      <c r="E643" s="705" t="s">
        <v>373</v>
      </c>
      <c r="F643" s="705">
        <v>1</v>
      </c>
      <c r="G643" s="705"/>
      <c r="H643" s="719"/>
      <c r="I643" s="719">
        <v>46181</v>
      </c>
      <c r="J643" s="705" t="s">
        <v>363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3" t="s">
        <v>423</v>
      </c>
      <c r="C644" s="704" t="s">
        <v>761</v>
      </c>
      <c r="D644" s="705" t="s">
        <v>762</v>
      </c>
      <c r="E644" s="705" t="s">
        <v>368</v>
      </c>
      <c r="F644" s="705">
        <v>2</v>
      </c>
      <c r="G644" s="705"/>
      <c r="H644" s="719"/>
      <c r="I644" s="719">
        <v>46177</v>
      </c>
      <c r="J644" s="705" t="s">
        <v>363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3" t="s">
        <v>423</v>
      </c>
      <c r="C645" s="704" t="s">
        <v>761</v>
      </c>
      <c r="D645" s="705" t="s">
        <v>762</v>
      </c>
      <c r="E645" s="705" t="s">
        <v>373</v>
      </c>
      <c r="F645" s="705">
        <v>1</v>
      </c>
      <c r="G645" s="705"/>
      <c r="H645" s="719"/>
      <c r="I645" s="719">
        <v>46177</v>
      </c>
      <c r="J645" s="705" t="s">
        <v>363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3" t="s">
        <v>423</v>
      </c>
      <c r="C646" s="705" t="s">
        <v>763</v>
      </c>
      <c r="D646" s="705" t="s">
        <v>763</v>
      </c>
      <c r="E646" s="705" t="s">
        <v>368</v>
      </c>
      <c r="F646" s="705">
        <v>1</v>
      </c>
      <c r="G646" s="705"/>
      <c r="H646" s="719"/>
      <c r="I646" s="719">
        <v>46178</v>
      </c>
      <c r="J646" s="705" t="s">
        <v>363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3" t="s">
        <v>423</v>
      </c>
      <c r="C647" s="705" t="s">
        <v>763</v>
      </c>
      <c r="D647" s="705" t="s">
        <v>763</v>
      </c>
      <c r="E647" s="705" t="s">
        <v>373</v>
      </c>
      <c r="F647" s="705">
        <v>1</v>
      </c>
      <c r="G647" s="705"/>
      <c r="H647" s="719"/>
      <c r="I647" s="719">
        <v>46178</v>
      </c>
      <c r="J647" s="705" t="s">
        <v>363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3" t="s">
        <v>423</v>
      </c>
      <c r="C648" s="704" t="s">
        <v>764</v>
      </c>
      <c r="D648" s="705" t="s">
        <v>762</v>
      </c>
      <c r="E648" s="705" t="s">
        <v>368</v>
      </c>
      <c r="F648" s="705">
        <v>1</v>
      </c>
      <c r="G648" s="705"/>
      <c r="H648" s="719"/>
      <c r="I648" s="719">
        <v>46178</v>
      </c>
      <c r="J648" s="705" t="s">
        <v>363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3" t="s">
        <v>423</v>
      </c>
      <c r="C649" s="704" t="s">
        <v>764</v>
      </c>
      <c r="D649" s="705" t="s">
        <v>762</v>
      </c>
      <c r="E649" s="705" t="s">
        <v>373</v>
      </c>
      <c r="F649" s="705">
        <v>1</v>
      </c>
      <c r="G649" s="705"/>
      <c r="H649" s="719"/>
      <c r="I649" s="719">
        <v>46178</v>
      </c>
      <c r="J649" s="705" t="s">
        <v>363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3" t="s">
        <v>423</v>
      </c>
      <c r="C650" s="705" t="s">
        <v>765</v>
      </c>
      <c r="D650" s="704" t="s">
        <v>766</v>
      </c>
      <c r="E650" s="705" t="s">
        <v>368</v>
      </c>
      <c r="F650" s="705">
        <v>1</v>
      </c>
      <c r="G650" s="705"/>
      <c r="H650" s="719"/>
      <c r="I650" s="719">
        <v>46178</v>
      </c>
      <c r="J650" s="705" t="s">
        <v>363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3" t="s">
        <v>423</v>
      </c>
      <c r="C651" s="704" t="s">
        <v>767</v>
      </c>
      <c r="D651" s="705" t="s">
        <v>768</v>
      </c>
      <c r="E651" s="705" t="s">
        <v>368</v>
      </c>
      <c r="F651" s="705">
        <v>1</v>
      </c>
      <c r="G651" s="705"/>
      <c r="H651" s="719"/>
      <c r="I651" s="719">
        <v>46178</v>
      </c>
      <c r="J651" s="705" t="s">
        <v>363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3" t="s">
        <v>423</v>
      </c>
      <c r="C652" s="704" t="s">
        <v>769</v>
      </c>
      <c r="D652" s="705" t="s">
        <v>770</v>
      </c>
      <c r="E652" s="705" t="s">
        <v>368</v>
      </c>
      <c r="F652" s="705">
        <v>1</v>
      </c>
      <c r="G652" s="705"/>
      <c r="H652" s="719"/>
      <c r="I652" s="719">
        <v>46178</v>
      </c>
      <c r="J652" s="705" t="s">
        <v>363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3" t="s">
        <v>771</v>
      </c>
      <c r="C653" s="705" t="s">
        <v>771</v>
      </c>
      <c r="D653" s="705" t="s">
        <v>40</v>
      </c>
      <c r="E653" s="705" t="s">
        <v>362</v>
      </c>
      <c r="F653" s="705">
        <v>25</v>
      </c>
      <c r="G653" s="705"/>
      <c r="H653" s="719"/>
      <c r="I653" s="719">
        <v>46182</v>
      </c>
      <c r="J653" s="705" t="s">
        <v>363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3" t="s">
        <v>771</v>
      </c>
      <c r="C654" s="705" t="s">
        <v>771</v>
      </c>
      <c r="D654" s="705" t="s">
        <v>772</v>
      </c>
      <c r="E654" s="705" t="s">
        <v>368</v>
      </c>
      <c r="F654" s="705">
        <v>2</v>
      </c>
      <c r="G654" s="705"/>
      <c r="H654" s="719"/>
      <c r="I654" s="719">
        <v>46184</v>
      </c>
      <c r="J654" s="705" t="s">
        <v>363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3" t="s">
        <v>771</v>
      </c>
      <c r="C655" s="705" t="s">
        <v>771</v>
      </c>
      <c r="D655" s="705" t="s">
        <v>773</v>
      </c>
      <c r="E655" s="705" t="s">
        <v>368</v>
      </c>
      <c r="F655" s="705">
        <v>4</v>
      </c>
      <c r="G655" s="705"/>
      <c r="H655" s="719"/>
      <c r="I655" s="719">
        <v>46184</v>
      </c>
      <c r="J655" s="705" t="s">
        <v>363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3" t="s">
        <v>771</v>
      </c>
      <c r="C656" s="705" t="s">
        <v>771</v>
      </c>
      <c r="D656" s="705" t="s">
        <v>774</v>
      </c>
      <c r="E656" s="705" t="s">
        <v>373</v>
      </c>
      <c r="F656" s="705">
        <v>3</v>
      </c>
      <c r="G656" s="705"/>
      <c r="H656" s="719"/>
      <c r="I656" s="719">
        <v>46184</v>
      </c>
      <c r="J656" s="705" t="s">
        <v>363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3" t="s">
        <v>771</v>
      </c>
      <c r="C657" s="705" t="s">
        <v>771</v>
      </c>
      <c r="D657" s="705" t="s">
        <v>775</v>
      </c>
      <c r="E657" s="705" t="s">
        <v>373</v>
      </c>
      <c r="F657" s="705">
        <v>1</v>
      </c>
      <c r="G657" s="705"/>
      <c r="H657" s="719"/>
      <c r="I657" s="719">
        <v>46184</v>
      </c>
      <c r="J657" s="705" t="s">
        <v>363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3" t="s">
        <v>771</v>
      </c>
      <c r="C658" s="705" t="s">
        <v>771</v>
      </c>
      <c r="D658" s="705" t="s">
        <v>776</v>
      </c>
      <c r="E658" s="705" t="s">
        <v>416</v>
      </c>
      <c r="F658" s="705">
        <v>2</v>
      </c>
      <c r="G658" s="705"/>
      <c r="H658" s="719"/>
      <c r="I658" s="719">
        <v>46184</v>
      </c>
      <c r="J658" s="705" t="s">
        <v>363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3" t="s">
        <v>771</v>
      </c>
      <c r="C659" s="705" t="s">
        <v>771</v>
      </c>
      <c r="D659" s="705" t="s">
        <v>777</v>
      </c>
      <c r="E659" s="705" t="s">
        <v>372</v>
      </c>
      <c r="F659" s="705">
        <v>1</v>
      </c>
      <c r="G659" s="705"/>
      <c r="H659" s="719"/>
      <c r="I659" s="719">
        <v>46185</v>
      </c>
      <c r="J659" s="705" t="s">
        <v>363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3" t="s">
        <v>771</v>
      </c>
      <c r="C660" s="705" t="s">
        <v>771</v>
      </c>
      <c r="D660" s="705" t="s">
        <v>777</v>
      </c>
      <c r="E660" s="705" t="s">
        <v>419</v>
      </c>
      <c r="F660" s="705">
        <v>2</v>
      </c>
      <c r="G660" s="705">
        <v>2</v>
      </c>
      <c r="H660" s="719">
        <v>46063</v>
      </c>
      <c r="I660" s="719">
        <v>46063</v>
      </c>
      <c r="J660" s="705" t="s">
        <v>366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3" t="s">
        <v>771</v>
      </c>
      <c r="C661" s="705" t="s">
        <v>771</v>
      </c>
      <c r="D661" s="705" t="s">
        <v>778</v>
      </c>
      <c r="E661" s="705" t="s">
        <v>372</v>
      </c>
      <c r="F661" s="705">
        <v>2</v>
      </c>
      <c r="G661" s="705"/>
      <c r="H661" s="719"/>
      <c r="I661" s="719">
        <v>46185</v>
      </c>
      <c r="J661" s="705" t="s">
        <v>363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3" t="s">
        <v>771</v>
      </c>
      <c r="C662" s="705" t="s">
        <v>771</v>
      </c>
      <c r="D662" s="704" t="s">
        <v>779</v>
      </c>
      <c r="E662" s="705" t="s">
        <v>373</v>
      </c>
      <c r="F662" s="705">
        <v>1</v>
      </c>
      <c r="G662" s="705"/>
      <c r="H662" s="719"/>
      <c r="I662" s="719">
        <v>46185</v>
      </c>
      <c r="J662" s="705" t="s">
        <v>363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3" t="s">
        <v>771</v>
      </c>
      <c r="C663" s="705" t="s">
        <v>771</v>
      </c>
      <c r="D663" s="704" t="s">
        <v>780</v>
      </c>
      <c r="E663" s="705" t="s">
        <v>410</v>
      </c>
      <c r="F663" s="705">
        <v>1</v>
      </c>
      <c r="G663" s="705"/>
      <c r="H663" s="719"/>
      <c r="I663" s="719">
        <v>46185</v>
      </c>
      <c r="J663" s="705" t="s">
        <v>363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3" t="s">
        <v>771</v>
      </c>
      <c r="C664" s="705" t="s">
        <v>771</v>
      </c>
      <c r="D664" s="704" t="s">
        <v>781</v>
      </c>
      <c r="E664" s="705" t="s">
        <v>373</v>
      </c>
      <c r="F664" s="705">
        <v>1</v>
      </c>
      <c r="G664" s="705"/>
      <c r="H664" s="719"/>
      <c r="I664" s="719">
        <v>46185</v>
      </c>
      <c r="J664" s="705" t="s">
        <v>363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3" t="s">
        <v>771</v>
      </c>
      <c r="C665" s="705" t="s">
        <v>771</v>
      </c>
      <c r="D665" s="704" t="s">
        <v>782</v>
      </c>
      <c r="E665" s="705" t="s">
        <v>373</v>
      </c>
      <c r="F665" s="705">
        <v>1</v>
      </c>
      <c r="G665" s="705"/>
      <c r="H665" s="719"/>
      <c r="I665" s="719">
        <v>46185</v>
      </c>
      <c r="J665" s="705" t="s">
        <v>363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3" t="s">
        <v>771</v>
      </c>
      <c r="C666" s="705" t="s">
        <v>771</v>
      </c>
      <c r="D666" s="704" t="s">
        <v>37</v>
      </c>
      <c r="E666" s="705" t="s">
        <v>373</v>
      </c>
      <c r="F666" s="705">
        <v>2</v>
      </c>
      <c r="G666" s="705"/>
      <c r="H666" s="719"/>
      <c r="I666" s="719">
        <v>46185</v>
      </c>
      <c r="J666" s="705" t="s">
        <v>363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3" t="s">
        <v>771</v>
      </c>
      <c r="C667" s="705" t="s">
        <v>771</v>
      </c>
      <c r="D667" s="704" t="s">
        <v>783</v>
      </c>
      <c r="E667" s="705" t="s">
        <v>373</v>
      </c>
      <c r="F667" s="705">
        <v>1</v>
      </c>
      <c r="G667" s="705"/>
      <c r="H667" s="719"/>
      <c r="I667" s="719">
        <v>46188</v>
      </c>
      <c r="J667" s="705" t="s">
        <v>363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3" t="s">
        <v>771</v>
      </c>
      <c r="C668" s="704" t="s">
        <v>784</v>
      </c>
      <c r="D668" s="705" t="s">
        <v>40</v>
      </c>
      <c r="E668" s="705" t="s">
        <v>362</v>
      </c>
      <c r="F668" s="705">
        <v>5</v>
      </c>
      <c r="G668" s="705"/>
      <c r="H668" s="719"/>
      <c r="I668" s="719">
        <v>46182</v>
      </c>
      <c r="J668" s="705" t="s">
        <v>363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3" t="s">
        <v>771</v>
      </c>
      <c r="C669" s="704" t="s">
        <v>784</v>
      </c>
      <c r="D669" s="705" t="s">
        <v>785</v>
      </c>
      <c r="E669" s="705" t="s">
        <v>368</v>
      </c>
      <c r="F669" s="705">
        <v>3</v>
      </c>
      <c r="G669" s="705"/>
      <c r="H669" s="719"/>
      <c r="I669" s="719">
        <v>46182</v>
      </c>
      <c r="J669" s="705" t="s">
        <v>363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3" t="s">
        <v>771</v>
      </c>
      <c r="C670" s="704" t="s">
        <v>784</v>
      </c>
      <c r="D670" s="705" t="s">
        <v>786</v>
      </c>
      <c r="E670" s="705" t="s">
        <v>373</v>
      </c>
      <c r="F670" s="705">
        <v>2</v>
      </c>
      <c r="G670" s="705"/>
      <c r="H670" s="719"/>
      <c r="I670" s="719">
        <v>46182</v>
      </c>
      <c r="J670" s="705" t="s">
        <v>363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3" t="s">
        <v>771</v>
      </c>
      <c r="C671" s="704" t="s">
        <v>784</v>
      </c>
      <c r="D671" s="705" t="s">
        <v>787</v>
      </c>
      <c r="E671" s="705" t="s">
        <v>408</v>
      </c>
      <c r="F671" s="705">
        <v>2</v>
      </c>
      <c r="G671" s="705"/>
      <c r="H671" s="719"/>
      <c r="I671" s="719">
        <v>46182</v>
      </c>
      <c r="J671" s="705" t="s">
        <v>363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3" t="s">
        <v>771</v>
      </c>
      <c r="C672" s="704" t="s">
        <v>784</v>
      </c>
      <c r="D672" s="705" t="s">
        <v>772</v>
      </c>
      <c r="E672" s="705" t="s">
        <v>368</v>
      </c>
      <c r="F672" s="705">
        <v>4</v>
      </c>
      <c r="G672" s="705"/>
      <c r="H672" s="719"/>
      <c r="I672" s="719">
        <v>46183</v>
      </c>
      <c r="J672" s="705" t="s">
        <v>363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3" t="s">
        <v>771</v>
      </c>
      <c r="C673" s="704" t="s">
        <v>784</v>
      </c>
      <c r="D673" s="705" t="s">
        <v>788</v>
      </c>
      <c r="E673" s="705" t="s">
        <v>373</v>
      </c>
      <c r="F673" s="705">
        <v>1</v>
      </c>
      <c r="G673" s="705"/>
      <c r="H673" s="719"/>
      <c r="I673" s="719">
        <v>46183</v>
      </c>
      <c r="J673" s="705" t="s">
        <v>363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3" t="s">
        <v>771</v>
      </c>
      <c r="C674" s="704" t="s">
        <v>784</v>
      </c>
      <c r="D674" s="704" t="s">
        <v>789</v>
      </c>
      <c r="E674" s="705" t="s">
        <v>373</v>
      </c>
      <c r="F674" s="705">
        <v>2</v>
      </c>
      <c r="G674" s="705"/>
      <c r="H674" s="719"/>
      <c r="I674" s="719">
        <v>46183</v>
      </c>
      <c r="J674" s="705" t="s">
        <v>363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3" t="s">
        <v>771</v>
      </c>
      <c r="C675" s="704" t="s">
        <v>784</v>
      </c>
      <c r="D675" s="704" t="s">
        <v>790</v>
      </c>
      <c r="E675" s="705" t="s">
        <v>373</v>
      </c>
      <c r="F675" s="705">
        <v>2</v>
      </c>
      <c r="G675" s="705"/>
      <c r="H675" s="719"/>
      <c r="I675" s="719">
        <v>46183</v>
      </c>
      <c r="J675" s="705" t="s">
        <v>363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3" t="s">
        <v>771</v>
      </c>
      <c r="C676" s="704" t="s">
        <v>784</v>
      </c>
      <c r="D676" s="704" t="s">
        <v>791</v>
      </c>
      <c r="E676" s="705" t="s">
        <v>368</v>
      </c>
      <c r="F676" s="705">
        <v>2</v>
      </c>
      <c r="G676" s="705"/>
      <c r="H676" s="719"/>
      <c r="I676" s="719">
        <v>46183</v>
      </c>
      <c r="J676" s="705" t="s">
        <v>363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3" t="s">
        <v>771</v>
      </c>
      <c r="C677" s="705" t="s">
        <v>792</v>
      </c>
      <c r="D677" s="705" t="s">
        <v>40</v>
      </c>
      <c r="E677" s="705" t="s">
        <v>362</v>
      </c>
      <c r="F677" s="705">
        <v>1</v>
      </c>
      <c r="G677" s="705"/>
      <c r="H677" s="719"/>
      <c r="I677" s="719">
        <v>46183</v>
      </c>
      <c r="J677" s="705" t="s">
        <v>363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3" t="s">
        <v>771</v>
      </c>
      <c r="C678" s="705" t="s">
        <v>792</v>
      </c>
      <c r="D678" s="705" t="s">
        <v>787</v>
      </c>
      <c r="E678" s="705" t="s">
        <v>368</v>
      </c>
      <c r="F678" s="705">
        <v>2</v>
      </c>
      <c r="G678" s="705"/>
      <c r="H678" s="719"/>
      <c r="I678" s="719">
        <v>46184</v>
      </c>
      <c r="J678" s="705" t="s">
        <v>363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3" t="s">
        <v>771</v>
      </c>
      <c r="C679" s="705" t="s">
        <v>793</v>
      </c>
      <c r="D679" s="705" t="s">
        <v>40</v>
      </c>
      <c r="E679" s="705" t="s">
        <v>362</v>
      </c>
      <c r="F679" s="705">
        <v>1</v>
      </c>
      <c r="G679" s="705"/>
      <c r="H679" s="719"/>
      <c r="I679" s="719">
        <v>46184</v>
      </c>
      <c r="J679" s="705" t="s">
        <v>363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3" t="s">
        <v>771</v>
      </c>
      <c r="C680" s="705" t="s">
        <v>793</v>
      </c>
      <c r="D680" s="705" t="s">
        <v>787</v>
      </c>
      <c r="E680" s="705" t="s">
        <v>368</v>
      </c>
      <c r="F680" s="705">
        <v>2</v>
      </c>
      <c r="G680" s="705"/>
      <c r="H680" s="719"/>
      <c r="I680" s="719">
        <v>46184</v>
      </c>
      <c r="J680" s="705" t="s">
        <v>363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3" t="s">
        <v>771</v>
      </c>
      <c r="C681" s="705" t="s">
        <v>794</v>
      </c>
      <c r="D681" s="705" t="s">
        <v>787</v>
      </c>
      <c r="E681" s="705" t="s">
        <v>368</v>
      </c>
      <c r="F681" s="705">
        <v>2</v>
      </c>
      <c r="G681" s="705"/>
      <c r="H681" s="719"/>
      <c r="I681" s="719">
        <v>46184</v>
      </c>
      <c r="J681" s="705" t="s">
        <v>363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3" t="s">
        <v>771</v>
      </c>
      <c r="C682" s="705" t="s">
        <v>795</v>
      </c>
      <c r="D682" s="705" t="s">
        <v>796</v>
      </c>
      <c r="E682" s="705" t="s">
        <v>368</v>
      </c>
      <c r="F682" s="705">
        <v>2</v>
      </c>
      <c r="G682" s="705"/>
      <c r="H682" s="719"/>
      <c r="I682" s="719">
        <v>46184</v>
      </c>
      <c r="J682" s="705" t="s">
        <v>363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3" t="s">
        <v>771</v>
      </c>
      <c r="C683" s="705" t="s">
        <v>797</v>
      </c>
      <c r="D683" s="705" t="s">
        <v>798</v>
      </c>
      <c r="E683" s="705" t="s">
        <v>368</v>
      </c>
      <c r="F683" s="705">
        <v>2</v>
      </c>
      <c r="G683" s="705"/>
      <c r="H683" s="719"/>
      <c r="I683" s="719">
        <v>46184</v>
      </c>
      <c r="J683" s="705" t="s">
        <v>363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3" t="s">
        <v>771</v>
      </c>
      <c r="C684" s="705" t="s">
        <v>799</v>
      </c>
      <c r="D684" s="705" t="s">
        <v>598</v>
      </c>
      <c r="E684" s="705" t="s">
        <v>368</v>
      </c>
      <c r="F684" s="705">
        <v>2</v>
      </c>
      <c r="G684" s="705"/>
      <c r="H684" s="719"/>
      <c r="I684" s="719">
        <v>46184</v>
      </c>
      <c r="J684" s="705" t="s">
        <v>363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3" t="s">
        <v>771</v>
      </c>
      <c r="C685" s="705" t="s">
        <v>800</v>
      </c>
      <c r="D685" s="705" t="s">
        <v>801</v>
      </c>
      <c r="E685" s="705" t="s">
        <v>368</v>
      </c>
      <c r="F685" s="705">
        <v>2</v>
      </c>
      <c r="G685" s="705"/>
      <c r="H685" s="719"/>
      <c r="I685" s="719">
        <v>46185</v>
      </c>
      <c r="J685" s="705" t="s">
        <v>363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3" t="s">
        <v>771</v>
      </c>
      <c r="C686" s="705" t="s">
        <v>802</v>
      </c>
      <c r="D686" s="705" t="s">
        <v>758</v>
      </c>
      <c r="E686" s="705" t="s">
        <v>368</v>
      </c>
      <c r="F686" s="705">
        <v>2</v>
      </c>
      <c r="G686" s="705"/>
      <c r="H686" s="719"/>
      <c r="I686" s="719">
        <v>46185</v>
      </c>
      <c r="J686" s="705" t="s">
        <v>363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3" t="s">
        <v>771</v>
      </c>
      <c r="C687" s="705" t="s">
        <v>803</v>
      </c>
      <c r="D687" s="705" t="s">
        <v>804</v>
      </c>
      <c r="E687" s="705" t="s">
        <v>368</v>
      </c>
      <c r="F687" s="705">
        <v>2</v>
      </c>
      <c r="G687" s="705"/>
      <c r="H687" s="719"/>
      <c r="I687" s="719">
        <v>46185</v>
      </c>
      <c r="J687" s="705" t="s">
        <v>363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3" t="s">
        <v>771</v>
      </c>
      <c r="C688" s="705" t="s">
        <v>805</v>
      </c>
      <c r="D688" s="705" t="s">
        <v>806</v>
      </c>
      <c r="E688" s="705" t="s">
        <v>368</v>
      </c>
      <c r="F688" s="705">
        <v>2</v>
      </c>
      <c r="G688" s="705"/>
      <c r="H688" s="719"/>
      <c r="I688" s="719">
        <v>46185</v>
      </c>
      <c r="J688" s="705" t="s">
        <v>363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3" t="s">
        <v>771</v>
      </c>
      <c r="C689" s="705" t="s">
        <v>807</v>
      </c>
      <c r="D689" s="705" t="s">
        <v>808</v>
      </c>
      <c r="E689" s="705" t="s">
        <v>368</v>
      </c>
      <c r="F689" s="705">
        <v>2</v>
      </c>
      <c r="G689" s="705"/>
      <c r="H689" s="719"/>
      <c r="I689" s="719">
        <v>46185</v>
      </c>
      <c r="J689" s="705" t="s">
        <v>363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3" t="s">
        <v>771</v>
      </c>
      <c r="C690" s="705" t="s">
        <v>809</v>
      </c>
      <c r="D690" s="705" t="s">
        <v>810</v>
      </c>
      <c r="E690" s="705" t="s">
        <v>368</v>
      </c>
      <c r="F690" s="705">
        <v>2</v>
      </c>
      <c r="G690" s="705"/>
      <c r="H690" s="719"/>
      <c r="I690" s="719">
        <v>46185</v>
      </c>
      <c r="J690" s="705" t="s">
        <v>363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3" t="s">
        <v>771</v>
      </c>
      <c r="C691" s="705" t="s">
        <v>811</v>
      </c>
      <c r="D691" s="705" t="s">
        <v>812</v>
      </c>
      <c r="E691" s="705" t="s">
        <v>368</v>
      </c>
      <c r="F691" s="705">
        <v>1</v>
      </c>
      <c r="G691" s="705"/>
      <c r="H691" s="719"/>
      <c r="I691" s="719">
        <v>46188</v>
      </c>
      <c r="J691" s="705" t="s">
        <v>363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3" t="s">
        <v>813</v>
      </c>
      <c r="C692" s="705" t="s">
        <v>814</v>
      </c>
      <c r="D692" s="705" t="s">
        <v>40</v>
      </c>
      <c r="E692" s="705" t="s">
        <v>362</v>
      </c>
      <c r="F692" s="705">
        <v>18</v>
      </c>
      <c r="G692" s="705"/>
      <c r="H692" s="719"/>
      <c r="I692" s="719">
        <v>46189</v>
      </c>
      <c r="J692" s="705" t="s">
        <v>363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3" t="s">
        <v>813</v>
      </c>
      <c r="C693" s="705" t="s">
        <v>814</v>
      </c>
      <c r="D693" s="705" t="s">
        <v>815</v>
      </c>
      <c r="E693" s="705" t="s">
        <v>416</v>
      </c>
      <c r="F693" s="705">
        <v>2</v>
      </c>
      <c r="G693" s="705"/>
      <c r="H693" s="719"/>
      <c r="I693" s="719">
        <v>46190</v>
      </c>
      <c r="J693" s="705" t="s">
        <v>363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3" t="s">
        <v>813</v>
      </c>
      <c r="C694" s="705" t="s">
        <v>814</v>
      </c>
      <c r="D694" s="705" t="s">
        <v>815</v>
      </c>
      <c r="E694" s="705" t="s">
        <v>419</v>
      </c>
      <c r="F694" s="705">
        <v>2</v>
      </c>
      <c r="G694" s="705">
        <v>2</v>
      </c>
      <c r="H694" s="719">
        <v>46063</v>
      </c>
      <c r="I694" s="719">
        <v>46063</v>
      </c>
      <c r="J694" s="705" t="s">
        <v>366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3" t="s">
        <v>813</v>
      </c>
      <c r="C695" s="705" t="s">
        <v>814</v>
      </c>
      <c r="D695" s="705" t="s">
        <v>816</v>
      </c>
      <c r="E695" s="705" t="s">
        <v>368</v>
      </c>
      <c r="F695" s="705">
        <v>2</v>
      </c>
      <c r="G695" s="705"/>
      <c r="H695" s="719"/>
      <c r="I695" s="719">
        <v>46190</v>
      </c>
      <c r="J695" s="705" t="s">
        <v>363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3" t="s">
        <v>813</v>
      </c>
      <c r="C696" s="705" t="s">
        <v>814</v>
      </c>
      <c r="D696" s="705" t="s">
        <v>817</v>
      </c>
      <c r="E696" s="705" t="s">
        <v>368</v>
      </c>
      <c r="F696" s="705">
        <v>1</v>
      </c>
      <c r="G696" s="705"/>
      <c r="H696" s="719"/>
      <c r="I696" s="719">
        <v>46191</v>
      </c>
      <c r="J696" s="705" t="s">
        <v>363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3" t="s">
        <v>813</v>
      </c>
      <c r="C697" s="705" t="s">
        <v>814</v>
      </c>
      <c r="D697" s="705" t="s">
        <v>817</v>
      </c>
      <c r="E697" s="705" t="s">
        <v>365</v>
      </c>
      <c r="F697" s="705">
        <v>1</v>
      </c>
      <c r="G697" s="705"/>
      <c r="H697" s="719"/>
      <c r="I697" s="719">
        <v>46191</v>
      </c>
      <c r="J697" s="705" t="s">
        <v>363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3" t="s">
        <v>813</v>
      </c>
      <c r="C698" s="705" t="s">
        <v>814</v>
      </c>
      <c r="D698" s="705" t="s">
        <v>818</v>
      </c>
      <c r="E698" s="705" t="s">
        <v>365</v>
      </c>
      <c r="F698" s="705">
        <v>2</v>
      </c>
      <c r="G698" s="705"/>
      <c r="H698" s="719"/>
      <c r="I698" s="719">
        <v>46191</v>
      </c>
      <c r="J698" s="705" t="s">
        <v>363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3" t="s">
        <v>813</v>
      </c>
      <c r="C699" s="705" t="s">
        <v>814</v>
      </c>
      <c r="D699" s="705" t="s">
        <v>819</v>
      </c>
      <c r="E699" s="705" t="s">
        <v>410</v>
      </c>
      <c r="F699" s="705">
        <v>2</v>
      </c>
      <c r="G699" s="705"/>
      <c r="H699" s="719"/>
      <c r="I699" s="719">
        <v>46191</v>
      </c>
      <c r="J699" s="705" t="s">
        <v>363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3" t="s">
        <v>813</v>
      </c>
      <c r="C700" s="705" t="s">
        <v>814</v>
      </c>
      <c r="D700" s="705" t="s">
        <v>820</v>
      </c>
      <c r="E700" s="705" t="s">
        <v>372</v>
      </c>
      <c r="F700" s="705">
        <v>2</v>
      </c>
      <c r="G700" s="705"/>
      <c r="H700" s="719"/>
      <c r="I700" s="719">
        <v>46191</v>
      </c>
      <c r="J700" s="705" t="s">
        <v>363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3" t="s">
        <v>813</v>
      </c>
      <c r="C701" s="705" t="s">
        <v>814</v>
      </c>
      <c r="D701" s="705" t="s">
        <v>820</v>
      </c>
      <c r="E701" s="705" t="s">
        <v>365</v>
      </c>
      <c r="F701" s="705">
        <v>2</v>
      </c>
      <c r="G701" s="705"/>
      <c r="H701" s="719"/>
      <c r="I701" s="719">
        <v>46191</v>
      </c>
      <c r="J701" s="705" t="s">
        <v>363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3" t="s">
        <v>813</v>
      </c>
      <c r="C702" s="705" t="s">
        <v>814</v>
      </c>
      <c r="D702" s="705" t="s">
        <v>821</v>
      </c>
      <c r="E702" s="705" t="s">
        <v>368</v>
      </c>
      <c r="F702" s="705">
        <v>3</v>
      </c>
      <c r="G702" s="705"/>
      <c r="H702" s="719"/>
      <c r="I702" s="719">
        <v>46191</v>
      </c>
      <c r="J702" s="705" t="s">
        <v>363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3" t="s">
        <v>813</v>
      </c>
      <c r="C703" s="705" t="s">
        <v>814</v>
      </c>
      <c r="D703" s="705" t="s">
        <v>822</v>
      </c>
      <c r="E703" s="705" t="s">
        <v>368</v>
      </c>
      <c r="F703" s="705">
        <v>11</v>
      </c>
      <c r="G703" s="705"/>
      <c r="H703" s="719"/>
      <c r="I703" s="719">
        <v>46192</v>
      </c>
      <c r="J703" s="705" t="s">
        <v>363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3" t="s">
        <v>813</v>
      </c>
      <c r="C704" s="705" t="s">
        <v>814</v>
      </c>
      <c r="D704" s="705" t="s">
        <v>822</v>
      </c>
      <c r="E704" s="705" t="s">
        <v>373</v>
      </c>
      <c r="F704" s="705">
        <v>1</v>
      </c>
      <c r="G704" s="705"/>
      <c r="H704" s="719"/>
      <c r="I704" s="719">
        <v>46192</v>
      </c>
      <c r="J704" s="705" t="s">
        <v>363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3" t="s">
        <v>813</v>
      </c>
      <c r="C705" s="705" t="s">
        <v>814</v>
      </c>
      <c r="D705" s="704" t="s">
        <v>823</v>
      </c>
      <c r="E705" s="705" t="s">
        <v>373</v>
      </c>
      <c r="F705" s="705">
        <v>1</v>
      </c>
      <c r="G705" s="705"/>
      <c r="H705" s="719"/>
      <c r="I705" s="719">
        <v>46195</v>
      </c>
      <c r="J705" s="705" t="s">
        <v>363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3" t="s">
        <v>813</v>
      </c>
      <c r="C706" s="705" t="s">
        <v>824</v>
      </c>
      <c r="D706" s="705" t="s">
        <v>40</v>
      </c>
      <c r="E706" s="705" t="s">
        <v>362</v>
      </c>
      <c r="F706" s="705">
        <v>8</v>
      </c>
      <c r="G706" s="705"/>
      <c r="H706" s="719"/>
      <c r="I706" s="719">
        <v>46189</v>
      </c>
      <c r="J706" s="705" t="s">
        <v>363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3" t="s">
        <v>813</v>
      </c>
      <c r="C707" s="705" t="s">
        <v>824</v>
      </c>
      <c r="D707" s="705" t="s">
        <v>825</v>
      </c>
      <c r="E707" s="705" t="s">
        <v>368</v>
      </c>
      <c r="F707" s="705">
        <v>2</v>
      </c>
      <c r="G707" s="705"/>
      <c r="H707" s="719"/>
      <c r="I707" s="719">
        <v>46189</v>
      </c>
      <c r="J707" s="705" t="s">
        <v>363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3" t="s">
        <v>813</v>
      </c>
      <c r="C708" s="705" t="s">
        <v>824</v>
      </c>
      <c r="D708" s="704" t="s">
        <v>826</v>
      </c>
      <c r="E708" s="705" t="s">
        <v>373</v>
      </c>
      <c r="F708" s="705">
        <v>1</v>
      </c>
      <c r="G708" s="705"/>
      <c r="H708" s="719"/>
      <c r="I708" s="719">
        <v>46189</v>
      </c>
      <c r="J708" s="705" t="s">
        <v>363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3" t="s">
        <v>813</v>
      </c>
      <c r="C709" s="705" t="s">
        <v>824</v>
      </c>
      <c r="D709" s="704" t="s">
        <v>827</v>
      </c>
      <c r="E709" s="705" t="s">
        <v>373</v>
      </c>
      <c r="F709" s="705">
        <v>2</v>
      </c>
      <c r="G709" s="705"/>
      <c r="H709" s="719"/>
      <c r="I709" s="719">
        <v>46189</v>
      </c>
      <c r="J709" s="705" t="s">
        <v>363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3" t="s">
        <v>813</v>
      </c>
      <c r="C710" s="705" t="s">
        <v>824</v>
      </c>
      <c r="D710" s="704" t="s">
        <v>828</v>
      </c>
      <c r="E710" s="705" t="s">
        <v>368</v>
      </c>
      <c r="F710" s="705">
        <v>3</v>
      </c>
      <c r="G710" s="705"/>
      <c r="H710" s="719"/>
      <c r="I710" s="719">
        <v>46190</v>
      </c>
      <c r="J710" s="705" t="s">
        <v>363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3" t="s">
        <v>813</v>
      </c>
      <c r="C711" s="705" t="s">
        <v>829</v>
      </c>
      <c r="D711" s="705" t="s">
        <v>40</v>
      </c>
      <c r="E711" s="705" t="s">
        <v>362</v>
      </c>
      <c r="F711" s="705">
        <v>6</v>
      </c>
      <c r="G711" s="705"/>
      <c r="H711" s="719"/>
      <c r="I711" s="719">
        <v>46190</v>
      </c>
      <c r="J711" s="705" t="s">
        <v>363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3" t="s">
        <v>813</v>
      </c>
      <c r="C712" s="705" t="s">
        <v>829</v>
      </c>
      <c r="D712" s="704" t="s">
        <v>830</v>
      </c>
      <c r="E712" s="705" t="s">
        <v>368</v>
      </c>
      <c r="F712" s="705">
        <v>1</v>
      </c>
      <c r="G712" s="705"/>
      <c r="H712" s="719"/>
      <c r="I712" s="719">
        <v>46190</v>
      </c>
      <c r="J712" s="705" t="s">
        <v>363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3" t="s">
        <v>813</v>
      </c>
      <c r="C713" s="705" t="s">
        <v>829</v>
      </c>
      <c r="D713" s="704" t="s">
        <v>831</v>
      </c>
      <c r="E713" s="705" t="s">
        <v>373</v>
      </c>
      <c r="F713" s="705">
        <v>1</v>
      </c>
      <c r="G713" s="705"/>
      <c r="H713" s="719"/>
      <c r="I713" s="719">
        <v>46190</v>
      </c>
      <c r="J713" s="705" t="s">
        <v>363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3" t="s">
        <v>813</v>
      </c>
      <c r="C714" s="705" t="s">
        <v>829</v>
      </c>
      <c r="D714" s="704" t="s">
        <v>832</v>
      </c>
      <c r="E714" s="705" t="s">
        <v>373</v>
      </c>
      <c r="F714" s="705">
        <v>1</v>
      </c>
      <c r="G714" s="705"/>
      <c r="H714" s="719"/>
      <c r="I714" s="719">
        <v>46191</v>
      </c>
      <c r="J714" s="705" t="s">
        <v>363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3" t="s">
        <v>813</v>
      </c>
      <c r="C715" s="705" t="s">
        <v>829</v>
      </c>
      <c r="D715" s="704" t="s">
        <v>833</v>
      </c>
      <c r="E715" s="705" t="s">
        <v>368</v>
      </c>
      <c r="F715" s="705">
        <v>4</v>
      </c>
      <c r="G715" s="705"/>
      <c r="H715" s="719"/>
      <c r="I715" s="719">
        <v>46191</v>
      </c>
      <c r="J715" s="705" t="s">
        <v>363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3" t="s">
        <v>813</v>
      </c>
      <c r="C716" s="705" t="s">
        <v>829</v>
      </c>
      <c r="D716" s="704" t="s">
        <v>833</v>
      </c>
      <c r="E716" s="705" t="s">
        <v>373</v>
      </c>
      <c r="F716" s="705">
        <v>2</v>
      </c>
      <c r="G716" s="705"/>
      <c r="H716" s="719"/>
      <c r="I716" s="719">
        <v>46191</v>
      </c>
      <c r="J716" s="705" t="s">
        <v>363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3" t="s">
        <v>813</v>
      </c>
      <c r="C717" s="705" t="s">
        <v>834</v>
      </c>
      <c r="D717" s="705" t="s">
        <v>40</v>
      </c>
      <c r="E717" s="705" t="s">
        <v>362</v>
      </c>
      <c r="F717" s="705">
        <v>5</v>
      </c>
      <c r="G717" s="705"/>
      <c r="H717" s="719"/>
      <c r="I717" s="719">
        <v>46191</v>
      </c>
      <c r="J717" s="705" t="s">
        <v>363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3" t="s">
        <v>813</v>
      </c>
      <c r="C718" s="705" t="s">
        <v>834</v>
      </c>
      <c r="D718" s="704" t="s">
        <v>835</v>
      </c>
      <c r="E718" s="705" t="s">
        <v>368</v>
      </c>
      <c r="F718" s="705">
        <v>2</v>
      </c>
      <c r="G718" s="705"/>
      <c r="H718" s="719"/>
      <c r="I718" s="719">
        <v>46192</v>
      </c>
      <c r="J718" s="705" t="s">
        <v>363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3" t="s">
        <v>813</v>
      </c>
      <c r="C719" s="705" t="s">
        <v>836</v>
      </c>
      <c r="D719" s="705" t="s">
        <v>40</v>
      </c>
      <c r="E719" s="705" t="s">
        <v>362</v>
      </c>
      <c r="F719" s="705">
        <v>2</v>
      </c>
      <c r="G719" s="705"/>
      <c r="H719" s="719"/>
      <c r="I719" s="719">
        <v>46192</v>
      </c>
      <c r="J719" s="705" t="s">
        <v>363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3" t="s">
        <v>813</v>
      </c>
      <c r="C720" s="705" t="s">
        <v>836</v>
      </c>
      <c r="D720" s="705" t="s">
        <v>837</v>
      </c>
      <c r="E720" s="705" t="s">
        <v>373</v>
      </c>
      <c r="F720" s="705">
        <v>2</v>
      </c>
      <c r="G720" s="705"/>
      <c r="H720" s="719"/>
      <c r="I720" s="719">
        <v>46192</v>
      </c>
      <c r="J720" s="705" t="s">
        <v>363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3" t="s">
        <v>813</v>
      </c>
      <c r="C721" s="705" t="s">
        <v>836</v>
      </c>
      <c r="D721" s="704" t="s">
        <v>838</v>
      </c>
      <c r="E721" s="705" t="s">
        <v>368</v>
      </c>
      <c r="F721" s="705">
        <v>2</v>
      </c>
      <c r="G721" s="705"/>
      <c r="H721" s="719"/>
      <c r="I721" s="719">
        <v>46192</v>
      </c>
      <c r="J721" s="705" t="s">
        <v>363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3" t="s">
        <v>813</v>
      </c>
      <c r="C722" s="705" t="s">
        <v>839</v>
      </c>
      <c r="D722" s="705" t="s">
        <v>40</v>
      </c>
      <c r="E722" s="705" t="s">
        <v>362</v>
      </c>
      <c r="F722" s="705">
        <v>3</v>
      </c>
      <c r="G722" s="705"/>
      <c r="H722" s="719"/>
      <c r="I722" s="719">
        <v>46192</v>
      </c>
      <c r="J722" s="705" t="s">
        <v>363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3" t="s">
        <v>813</v>
      </c>
      <c r="C723" s="705" t="s">
        <v>839</v>
      </c>
      <c r="D723" s="705" t="s">
        <v>840</v>
      </c>
      <c r="E723" s="705" t="s">
        <v>368</v>
      </c>
      <c r="F723" s="705">
        <v>1</v>
      </c>
      <c r="G723" s="705"/>
      <c r="H723" s="719"/>
      <c r="I723" s="719">
        <v>46192</v>
      </c>
      <c r="J723" s="705" t="s">
        <v>363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3" t="s">
        <v>813</v>
      </c>
      <c r="C724" s="705" t="s">
        <v>839</v>
      </c>
      <c r="D724" s="704" t="s">
        <v>841</v>
      </c>
      <c r="E724" s="705" t="s">
        <v>373</v>
      </c>
      <c r="F724" s="705">
        <v>1</v>
      </c>
      <c r="G724" s="705"/>
      <c r="H724" s="719"/>
      <c r="I724" s="719">
        <v>46195</v>
      </c>
      <c r="J724" s="705" t="s">
        <v>363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3" t="s">
        <v>813</v>
      </c>
      <c r="C725" s="705" t="s">
        <v>842</v>
      </c>
      <c r="D725" s="705" t="s">
        <v>40</v>
      </c>
      <c r="E725" s="705" t="s">
        <v>362</v>
      </c>
      <c r="F725" s="705">
        <v>1</v>
      </c>
      <c r="G725" s="705"/>
      <c r="H725" s="719"/>
      <c r="I725" s="719">
        <v>46195</v>
      </c>
      <c r="J725" s="705" t="s">
        <v>363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3" t="s">
        <v>813</v>
      </c>
      <c r="C726" s="705" t="s">
        <v>842</v>
      </c>
      <c r="D726" s="705" t="s">
        <v>843</v>
      </c>
      <c r="E726" s="705" t="s">
        <v>368</v>
      </c>
      <c r="F726" s="705">
        <v>1</v>
      </c>
      <c r="G726" s="705"/>
      <c r="H726" s="719"/>
      <c r="I726" s="719">
        <v>46195</v>
      </c>
      <c r="J726" s="705" t="s">
        <v>363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3" t="s">
        <v>813</v>
      </c>
      <c r="C727" s="705" t="s">
        <v>842</v>
      </c>
      <c r="D727" s="705" t="s">
        <v>843</v>
      </c>
      <c r="E727" s="705" t="s">
        <v>373</v>
      </c>
      <c r="F727" s="705">
        <v>1</v>
      </c>
      <c r="G727" s="705"/>
      <c r="H727" s="719"/>
      <c r="I727" s="719">
        <v>46195</v>
      </c>
      <c r="J727" s="705" t="s">
        <v>363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3" t="s">
        <v>813</v>
      </c>
      <c r="C728" s="705" t="s">
        <v>842</v>
      </c>
      <c r="D728" s="705" t="s">
        <v>844</v>
      </c>
      <c r="E728" s="705" t="s">
        <v>368</v>
      </c>
      <c r="F728" s="705">
        <v>1</v>
      </c>
      <c r="G728" s="705"/>
      <c r="H728" s="719"/>
      <c r="I728" s="719">
        <v>46195</v>
      </c>
      <c r="J728" s="705" t="s">
        <v>363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3" t="s">
        <v>813</v>
      </c>
      <c r="C729" s="704" t="s">
        <v>845</v>
      </c>
      <c r="D729" s="705" t="s">
        <v>846</v>
      </c>
      <c r="E729" s="705" t="s">
        <v>368</v>
      </c>
      <c r="F729" s="705">
        <v>1</v>
      </c>
      <c r="G729" s="705"/>
      <c r="H729" s="719"/>
      <c r="I729" s="719">
        <v>46195</v>
      </c>
      <c r="J729" s="705" t="s">
        <v>363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3" t="s">
        <v>813</v>
      </c>
      <c r="C730" s="704" t="s">
        <v>845</v>
      </c>
      <c r="D730" s="705" t="s">
        <v>846</v>
      </c>
      <c r="E730" s="705" t="s">
        <v>408</v>
      </c>
      <c r="F730" s="705">
        <v>1</v>
      </c>
      <c r="G730" s="705"/>
      <c r="H730" s="719"/>
      <c r="I730" s="719">
        <v>46195</v>
      </c>
      <c r="J730" s="705" t="s">
        <v>363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3" t="s">
        <v>813</v>
      </c>
      <c r="C731" s="704" t="s">
        <v>845</v>
      </c>
      <c r="D731" s="705" t="s">
        <v>847</v>
      </c>
      <c r="E731" s="705" t="s">
        <v>368</v>
      </c>
      <c r="F731" s="705">
        <v>1</v>
      </c>
      <c r="G731" s="705"/>
      <c r="H731" s="719"/>
      <c r="I731" s="719">
        <v>46195</v>
      </c>
      <c r="J731" s="705" t="s">
        <v>363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3" t="s">
        <v>813</v>
      </c>
      <c r="C732" s="704" t="s">
        <v>845</v>
      </c>
      <c r="D732" s="704" t="s">
        <v>848</v>
      </c>
      <c r="E732" s="705" t="s">
        <v>373</v>
      </c>
      <c r="F732" s="705">
        <v>1</v>
      </c>
      <c r="G732" s="705"/>
      <c r="H732" s="719"/>
      <c r="I732" s="719">
        <v>46195</v>
      </c>
      <c r="J732" s="705" t="s">
        <v>363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3" t="s">
        <v>813</v>
      </c>
      <c r="C733" s="705" t="s">
        <v>849</v>
      </c>
      <c r="D733" s="705" t="s">
        <v>758</v>
      </c>
      <c r="E733" s="705" t="s">
        <v>368</v>
      </c>
      <c r="F733" s="705">
        <v>2</v>
      </c>
      <c r="G733" s="705"/>
      <c r="H733" s="719"/>
      <c r="I733" s="719">
        <v>46195</v>
      </c>
      <c r="J733" s="705" t="s">
        <v>363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3" t="s">
        <v>813</v>
      </c>
      <c r="C734" s="705" t="s">
        <v>850</v>
      </c>
      <c r="D734" s="705" t="s">
        <v>851</v>
      </c>
      <c r="E734" s="705" t="s">
        <v>368</v>
      </c>
      <c r="F734" s="705">
        <v>2</v>
      </c>
      <c r="G734" s="705"/>
      <c r="H734" s="719"/>
      <c r="I734" s="719">
        <v>46195</v>
      </c>
      <c r="J734" s="705" t="s">
        <v>363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3" t="s">
        <v>813</v>
      </c>
      <c r="C735" s="704" t="s">
        <v>852</v>
      </c>
      <c r="D735" s="705" t="s">
        <v>843</v>
      </c>
      <c r="E735" s="705" t="s">
        <v>408</v>
      </c>
      <c r="F735" s="705">
        <v>2</v>
      </c>
      <c r="G735" s="705"/>
      <c r="H735" s="719"/>
      <c r="I735" s="719">
        <v>46195</v>
      </c>
      <c r="J735" s="705" t="s">
        <v>363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3" t="s">
        <v>813</v>
      </c>
      <c r="C736" s="704" t="s">
        <v>853</v>
      </c>
      <c r="D736" s="704" t="s">
        <v>854</v>
      </c>
      <c r="E736" s="705" t="s">
        <v>373</v>
      </c>
      <c r="F736" s="705">
        <v>1</v>
      </c>
      <c r="G736" s="705"/>
      <c r="H736" s="719"/>
      <c r="I736" s="719">
        <v>46195</v>
      </c>
      <c r="J736" s="705" t="s">
        <v>363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3" t="s">
        <v>855</v>
      </c>
      <c r="C737" s="705" t="s">
        <v>855</v>
      </c>
      <c r="D737" s="705" t="s">
        <v>822</v>
      </c>
      <c r="E737" s="705" t="s">
        <v>368</v>
      </c>
      <c r="F737" s="705">
        <v>2</v>
      </c>
      <c r="G737" s="705"/>
      <c r="H737" s="719"/>
      <c r="I737" s="719">
        <v>46196</v>
      </c>
      <c r="J737" s="705" t="s">
        <v>363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3" t="s">
        <v>855</v>
      </c>
      <c r="C738" s="705" t="s">
        <v>855</v>
      </c>
      <c r="D738" s="705" t="s">
        <v>856</v>
      </c>
      <c r="E738" s="705" t="s">
        <v>565</v>
      </c>
      <c r="F738" s="705">
        <v>2</v>
      </c>
      <c r="G738" s="705"/>
      <c r="H738" s="719"/>
      <c r="I738" s="719">
        <v>46196</v>
      </c>
      <c r="J738" s="705" t="s">
        <v>363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3" t="s">
        <v>855</v>
      </c>
      <c r="C739" s="705" t="s">
        <v>855</v>
      </c>
      <c r="D739" s="705" t="s">
        <v>856</v>
      </c>
      <c r="E739" s="705" t="s">
        <v>419</v>
      </c>
      <c r="F739" s="705">
        <v>2</v>
      </c>
      <c r="G739" s="705">
        <v>2</v>
      </c>
      <c r="H739" s="719">
        <v>46063</v>
      </c>
      <c r="I739" s="719">
        <v>46063</v>
      </c>
      <c r="J739" s="705" t="s">
        <v>366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7" t="s">
        <v>855</v>
      </c>
      <c r="C740" s="708" t="s">
        <v>857</v>
      </c>
      <c r="D740" s="708" t="s">
        <v>858</v>
      </c>
      <c r="E740" s="708" t="s">
        <v>368</v>
      </c>
      <c r="F740" s="708">
        <v>2</v>
      </c>
      <c r="G740" s="708"/>
      <c r="H740" s="720"/>
      <c r="I740" s="719">
        <v>46196</v>
      </c>
      <c r="J740" s="708" t="s">
        <v>363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2" bestFit="1" customWidth="1"/>
    <col min="2" max="21" width="12" style="422" customWidth="1"/>
    <col min="22" max="22" width="16" style="422" customWidth="1"/>
    <col min="23" max="29" width="8.6640625" style="422"/>
    <col min="31" max="53" width="8.6640625" style="422"/>
    <col min="55" max="16384" width="8.6640625" style="422"/>
  </cols>
  <sheetData>
    <row r="1" spans="1:22" ht="30" customHeight="1">
      <c r="A1" s="1012" t="s">
        <v>859</v>
      </c>
      <c r="B1" s="1013"/>
      <c r="C1" s="1013"/>
      <c r="D1" s="1013"/>
      <c r="E1" s="1013"/>
      <c r="F1" s="1013"/>
      <c r="G1" s="1013"/>
      <c r="H1" s="1013"/>
      <c r="I1" s="1013"/>
      <c r="J1" s="1013"/>
      <c r="K1" s="1013"/>
      <c r="L1" s="1013"/>
      <c r="M1" s="1013"/>
      <c r="N1" s="1013"/>
      <c r="O1" s="1013"/>
      <c r="P1" s="1013"/>
      <c r="Q1" s="1013"/>
      <c r="R1" s="1013"/>
      <c r="S1" s="1013"/>
      <c r="T1" s="1013"/>
      <c r="U1" s="1013"/>
      <c r="V1" s="1013"/>
    </row>
    <row r="2" spans="1:22" ht="18" customHeight="1">
      <c r="A2" s="1014" t="s">
        <v>860</v>
      </c>
      <c r="B2" s="1015"/>
      <c r="C2" s="1015"/>
      <c r="D2" s="1015"/>
      <c r="E2" s="1015"/>
      <c r="F2" s="1015"/>
      <c r="G2" s="1015"/>
      <c r="H2" s="1015"/>
      <c r="I2" s="1015"/>
      <c r="J2" s="1015"/>
      <c r="K2" s="1015"/>
      <c r="L2" s="1015"/>
      <c r="M2" s="1015"/>
      <c r="N2" s="1015"/>
      <c r="O2" s="1015"/>
      <c r="P2" s="1015"/>
      <c r="Q2" s="1015"/>
      <c r="R2" s="1015"/>
      <c r="S2" s="1015"/>
      <c r="T2" s="1015"/>
      <c r="U2" s="1015"/>
      <c r="V2" s="1015"/>
    </row>
    <row r="3" spans="1:22" ht="4.5" customHeight="1">
      <c r="A3" s="709"/>
      <c r="B3" s="709"/>
      <c r="C3" s="709"/>
      <c r="D3" s="709"/>
      <c r="E3" s="709"/>
      <c r="F3" s="709"/>
      <c r="G3" s="709"/>
      <c r="H3" s="709"/>
      <c r="I3" s="709"/>
      <c r="J3" s="709"/>
      <c r="K3" s="709"/>
      <c r="L3" s="709"/>
      <c r="M3" s="709"/>
      <c r="N3" s="709"/>
      <c r="O3" s="709"/>
      <c r="P3" s="709"/>
      <c r="Q3" s="709"/>
      <c r="R3" s="709"/>
      <c r="S3" s="709"/>
      <c r="T3" s="709"/>
      <c r="U3" s="709"/>
    </row>
    <row r="4" spans="1:22" ht="28.8">
      <c r="A4" s="1018" t="s">
        <v>294</v>
      </c>
      <c r="B4" s="423" t="s">
        <v>861</v>
      </c>
      <c r="C4" s="423" t="s">
        <v>862</v>
      </c>
      <c r="D4" s="423" t="s">
        <v>863</v>
      </c>
      <c r="E4" s="423" t="s">
        <v>864</v>
      </c>
      <c r="F4" s="423" t="s">
        <v>865</v>
      </c>
      <c r="G4" s="423" t="s">
        <v>866</v>
      </c>
      <c r="H4" s="423" t="s">
        <v>867</v>
      </c>
      <c r="I4" s="423" t="s">
        <v>868</v>
      </c>
      <c r="J4" s="423" t="s">
        <v>869</v>
      </c>
      <c r="K4" s="423" t="s">
        <v>870</v>
      </c>
      <c r="L4" s="423" t="s">
        <v>871</v>
      </c>
      <c r="M4" s="423" t="s">
        <v>872</v>
      </c>
      <c r="N4" s="423" t="s">
        <v>873</v>
      </c>
      <c r="O4" s="423" t="s">
        <v>874</v>
      </c>
      <c r="P4" s="423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996" t="s">
        <v>309</v>
      </c>
    </row>
    <row r="5" spans="1:22" ht="4.5" customHeight="1">
      <c r="A5" s="1018"/>
      <c r="V5" s="1011"/>
    </row>
    <row r="6" spans="1:22" ht="21.75" customHeight="1">
      <c r="A6" s="1016" t="s">
        <v>310</v>
      </c>
      <c r="B6" s="1017"/>
      <c r="C6" s="1017"/>
      <c r="D6" s="1017"/>
      <c r="E6" s="1017"/>
      <c r="F6" s="1017"/>
      <c r="G6" s="1017"/>
      <c r="H6" s="1017"/>
      <c r="I6" s="1017"/>
      <c r="J6" s="1017"/>
      <c r="K6" s="1017"/>
      <c r="L6" s="1017"/>
      <c r="M6" s="1017"/>
      <c r="N6" s="1017"/>
      <c r="O6" s="1017"/>
      <c r="P6" s="1017"/>
      <c r="Q6" s="1017"/>
      <c r="R6" s="1017"/>
      <c r="S6" s="1017"/>
      <c r="T6" s="1017"/>
      <c r="U6" s="1017"/>
      <c r="V6" s="1017"/>
    </row>
    <row r="7" spans="1:22" ht="19.5" customHeight="1">
      <c r="A7" s="424" t="s">
        <v>311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312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16" t="s">
        <v>881</v>
      </c>
      <c r="B10" s="1017"/>
      <c r="C10" s="1017"/>
      <c r="D10" s="1017"/>
      <c r="E10" s="1017"/>
      <c r="F10" s="1017"/>
      <c r="G10" s="1017"/>
      <c r="H10" s="1017"/>
      <c r="I10" s="1017"/>
      <c r="J10" s="1017"/>
      <c r="K10" s="1017"/>
      <c r="L10" s="1017"/>
      <c r="M10" s="1017"/>
      <c r="N10" s="1017"/>
      <c r="O10" s="1017"/>
      <c r="P10" s="1017"/>
      <c r="Q10" s="1017"/>
      <c r="R10" s="1017"/>
      <c r="S10" s="1017"/>
      <c r="T10" s="1017"/>
      <c r="U10" s="1017"/>
      <c r="V10" s="1017"/>
    </row>
    <row r="11" spans="1:22" ht="19.5" customHeight="1">
      <c r="A11" s="424" t="s">
        <v>882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883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16" t="s">
        <v>884</v>
      </c>
      <c r="B14" s="1017"/>
      <c r="C14" s="1017"/>
      <c r="D14" s="1017"/>
      <c r="E14" s="1017"/>
      <c r="F14" s="1017"/>
      <c r="G14" s="1017"/>
      <c r="H14" s="1017"/>
      <c r="I14" s="1017"/>
      <c r="J14" s="1017"/>
      <c r="K14" s="1017"/>
      <c r="L14" s="1017"/>
      <c r="M14" s="1017"/>
      <c r="N14" s="1017"/>
      <c r="O14" s="1017"/>
      <c r="P14" s="1017"/>
      <c r="Q14" s="1017"/>
      <c r="R14" s="1017"/>
      <c r="S14" s="1017"/>
      <c r="T14" s="1017"/>
      <c r="U14" s="1017"/>
      <c r="V14" s="1017"/>
    </row>
    <row r="15" spans="1:22" ht="19.5" customHeight="1">
      <c r="A15" s="424" t="s">
        <v>885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886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19" t="s">
        <v>313</v>
      </c>
      <c r="B18" s="1020"/>
      <c r="C18" s="1020"/>
      <c r="D18" s="1020"/>
      <c r="E18" s="1020"/>
      <c r="F18" s="1020"/>
      <c r="G18" s="1020"/>
      <c r="H18" s="1020"/>
      <c r="I18" s="1020"/>
      <c r="J18" s="1020"/>
      <c r="K18" s="1020"/>
      <c r="L18" s="1020"/>
      <c r="M18" s="1020"/>
      <c r="N18" s="1020"/>
      <c r="O18" s="1020"/>
      <c r="P18" s="1020"/>
      <c r="Q18" s="1020"/>
      <c r="R18" s="1020"/>
      <c r="S18" s="1020"/>
      <c r="T18" s="1020"/>
      <c r="U18" s="1020"/>
      <c r="V18" s="1020"/>
    </row>
    <row r="19" spans="1:22" ht="19.5" customHeight="1">
      <c r="A19" s="430" t="s">
        <v>314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315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316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21" t="s">
        <v>317</v>
      </c>
      <c r="B23" s="1022"/>
      <c r="C23" s="1022"/>
      <c r="D23" s="1022"/>
      <c r="E23" s="1022"/>
      <c r="F23" s="1022"/>
      <c r="G23" s="1022"/>
      <c r="H23" s="1022"/>
      <c r="I23" s="1022"/>
      <c r="J23" s="1022"/>
      <c r="K23" s="1022"/>
      <c r="L23" s="1022"/>
      <c r="M23" s="1022"/>
      <c r="N23" s="1022"/>
      <c r="O23" s="1022"/>
      <c r="P23" s="1022"/>
      <c r="Q23" s="1022"/>
      <c r="R23" s="1022"/>
      <c r="S23" s="1022"/>
      <c r="T23" s="1022"/>
      <c r="U23" s="1022"/>
      <c r="V23" s="1022"/>
    </row>
    <row r="24" spans="1:22" ht="19.5" customHeight="1">
      <c r="A24" s="430" t="s">
        <v>314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315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318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09" t="s">
        <v>319</v>
      </c>
      <c r="B28" s="1010"/>
      <c r="C28" s="1010"/>
      <c r="D28" s="1010"/>
      <c r="E28" s="1010"/>
      <c r="F28" s="1010"/>
      <c r="G28" s="1010"/>
      <c r="H28" s="1010"/>
      <c r="I28" s="1010"/>
      <c r="J28" s="1010"/>
      <c r="K28" s="1010"/>
      <c r="L28" s="1010"/>
      <c r="M28" s="1010"/>
      <c r="N28" s="1010"/>
      <c r="O28" s="1010"/>
      <c r="P28" s="1010"/>
      <c r="Q28" s="1010"/>
      <c r="R28" s="1010"/>
      <c r="S28" s="1010"/>
      <c r="T28" s="1010"/>
      <c r="U28" s="1010"/>
      <c r="V28" s="1010"/>
    </row>
    <row r="29" spans="1:22" ht="19.5" customHeight="1">
      <c r="A29" s="430" t="s">
        <v>314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315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320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321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322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09" t="s">
        <v>887</v>
      </c>
      <c r="B35" s="1010"/>
      <c r="C35" s="1010"/>
      <c r="D35" s="1010"/>
      <c r="E35" s="1010"/>
      <c r="F35" s="1010"/>
      <c r="G35" s="1010"/>
      <c r="H35" s="1010"/>
      <c r="I35" s="1010"/>
      <c r="J35" s="1010"/>
      <c r="K35" s="1010"/>
      <c r="L35" s="1010"/>
      <c r="M35" s="1010"/>
      <c r="N35" s="1010"/>
      <c r="O35" s="1010"/>
      <c r="P35" s="1010"/>
      <c r="Q35" s="1010"/>
      <c r="R35" s="1010"/>
      <c r="S35" s="1010"/>
      <c r="T35" s="1010"/>
      <c r="U35" s="1010"/>
      <c r="V35" s="1010"/>
    </row>
    <row r="36" spans="1:22" ht="19.5" customHeight="1">
      <c r="A36" s="430" t="s">
        <v>888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889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890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891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892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09" t="s">
        <v>893</v>
      </c>
      <c r="B42" s="1010"/>
      <c r="C42" s="1010"/>
      <c r="D42" s="1010"/>
      <c r="E42" s="1010"/>
      <c r="F42" s="1010"/>
      <c r="G42" s="1010"/>
      <c r="H42" s="1010"/>
      <c r="I42" s="1010"/>
      <c r="J42" s="1010"/>
      <c r="K42" s="1010"/>
      <c r="L42" s="1010"/>
      <c r="M42" s="1010"/>
      <c r="N42" s="1010"/>
      <c r="O42" s="1010"/>
      <c r="P42" s="1010"/>
      <c r="Q42" s="1010"/>
      <c r="R42" s="1010"/>
      <c r="S42" s="1010"/>
      <c r="T42" s="1010"/>
      <c r="U42" s="1010"/>
      <c r="V42" s="1010"/>
    </row>
    <row r="43" spans="1:22" ht="19.5" customHeight="1">
      <c r="A43" s="430" t="s">
        <v>894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895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896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897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2" customHeight="1">
      <c r="A47" s="435" t="s">
        <v>898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23" t="s">
        <v>323</v>
      </c>
      <c r="B49" s="1024"/>
      <c r="C49" s="1024"/>
      <c r="D49" s="1024"/>
      <c r="E49" s="1024"/>
      <c r="F49" s="1024"/>
      <c r="G49" s="1024"/>
      <c r="H49" s="1024"/>
      <c r="I49" s="1024"/>
      <c r="J49" s="1024"/>
      <c r="K49" s="1024"/>
      <c r="L49" s="1024"/>
      <c r="M49" s="1024"/>
      <c r="N49" s="1024"/>
      <c r="O49" s="1024"/>
      <c r="P49" s="1024"/>
      <c r="Q49" s="1024"/>
      <c r="R49" s="1024"/>
      <c r="S49" s="1024"/>
      <c r="T49" s="1024"/>
      <c r="U49" s="1024"/>
      <c r="V49" s="1024"/>
    </row>
    <row r="50" spans="1:22" ht="19.5" customHeight="1">
      <c r="A50" s="437" t="s">
        <v>324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325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326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327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2" customHeight="1">
      <c r="A55" s="443" t="s">
        <v>328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23" t="s">
        <v>899</v>
      </c>
      <c r="B57" s="1024"/>
      <c r="C57" s="1024"/>
      <c r="D57" s="1024"/>
      <c r="E57" s="1024"/>
      <c r="F57" s="1024"/>
      <c r="G57" s="1024"/>
      <c r="H57" s="1024"/>
      <c r="I57" s="1024"/>
      <c r="J57" s="1024"/>
      <c r="K57" s="1024"/>
      <c r="L57" s="1024"/>
      <c r="M57" s="1024"/>
      <c r="N57" s="1024"/>
      <c r="O57" s="1024"/>
      <c r="P57" s="1024"/>
      <c r="Q57" s="1024"/>
      <c r="R57" s="1024"/>
      <c r="S57" s="1024"/>
      <c r="T57" s="1024"/>
      <c r="U57" s="1024"/>
      <c r="V57" s="1024"/>
    </row>
    <row r="58" spans="1:22" ht="19.5" customHeight="1">
      <c r="A58" s="437" t="s">
        <v>900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901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902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903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904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23" t="s">
        <v>905</v>
      </c>
      <c r="B65" s="1024"/>
      <c r="C65" s="1024"/>
      <c r="D65" s="1024"/>
      <c r="E65" s="1024"/>
      <c r="F65" s="1024"/>
      <c r="G65" s="1024"/>
      <c r="H65" s="1024"/>
      <c r="I65" s="1024"/>
      <c r="J65" s="1024"/>
      <c r="K65" s="1024"/>
      <c r="L65" s="1024"/>
      <c r="M65" s="1024"/>
      <c r="N65" s="1024"/>
      <c r="O65" s="1024"/>
      <c r="P65" s="1024"/>
      <c r="Q65" s="1024"/>
      <c r="R65" s="1024"/>
      <c r="S65" s="1024"/>
      <c r="T65" s="1024"/>
      <c r="U65" s="1024"/>
      <c r="V65" s="1024"/>
    </row>
    <row r="66" spans="1:22" ht="19.5" customHeight="1">
      <c r="A66" s="437" t="s">
        <v>906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907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908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909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910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25" t="s">
        <v>911</v>
      </c>
      <c r="B73" s="1026"/>
      <c r="C73" s="1026"/>
      <c r="D73" s="1026"/>
      <c r="E73" s="1026"/>
      <c r="F73" s="1026"/>
      <c r="G73" s="1026"/>
      <c r="H73" s="1026"/>
      <c r="I73" s="1026"/>
      <c r="J73" s="1026"/>
      <c r="K73" s="1026"/>
      <c r="L73" s="1026"/>
      <c r="M73" s="1026"/>
      <c r="N73" s="1026"/>
      <c r="O73" s="1026"/>
      <c r="P73" s="1026"/>
      <c r="Q73" s="1026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42:V42"/>
    <mergeCell ref="A49:V49"/>
    <mergeCell ref="A57:V57"/>
    <mergeCell ref="A65:V65"/>
    <mergeCell ref="A73:Q73"/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2" customWidth="1"/>
    <col min="2" max="17" width="11.6640625" style="422" bestFit="1" customWidth="1"/>
    <col min="18" max="18" width="11.6640625" style="422" customWidth="1"/>
    <col min="19" max="22" width="10.5546875" style="422" bestFit="1" customWidth="1"/>
    <col min="23" max="16384" width="8.6640625" style="422"/>
  </cols>
  <sheetData>
    <row r="1" spans="1:22" ht="30" customHeight="1">
      <c r="A1" s="1012" t="s">
        <v>912</v>
      </c>
      <c r="B1" s="1013"/>
      <c r="C1" s="1013"/>
      <c r="D1" s="1013"/>
      <c r="E1" s="1013"/>
      <c r="F1" s="1013"/>
      <c r="G1" s="1013"/>
      <c r="H1" s="1013"/>
      <c r="I1" s="1013"/>
      <c r="J1" s="1013"/>
      <c r="K1" s="1013"/>
      <c r="L1" s="1013"/>
      <c r="M1" s="1013"/>
      <c r="N1" s="1013"/>
      <c r="O1" s="1013"/>
      <c r="P1" s="1013"/>
      <c r="Q1" s="1013"/>
      <c r="R1" s="1013"/>
      <c r="S1" s="1013"/>
      <c r="T1" s="1013"/>
      <c r="U1" s="1013"/>
      <c r="V1" s="1013"/>
    </row>
    <row r="2" spans="1:22" ht="18" customHeight="1">
      <c r="A2" s="1027" t="s">
        <v>913</v>
      </c>
      <c r="B2" s="1028"/>
      <c r="C2" s="1028"/>
      <c r="D2" s="1028"/>
      <c r="E2" s="1028"/>
      <c r="F2" s="1028"/>
      <c r="G2" s="1028"/>
      <c r="H2" s="1028"/>
      <c r="I2" s="1028"/>
      <c r="J2" s="1028"/>
      <c r="K2" s="1028"/>
      <c r="L2" s="1028"/>
      <c r="M2" s="1028"/>
      <c r="N2" s="1028"/>
      <c r="O2" s="1028"/>
      <c r="P2" s="1028"/>
      <c r="Q2" s="1028"/>
      <c r="R2" s="1028"/>
      <c r="S2" s="1028"/>
      <c r="T2" s="1028"/>
      <c r="U2" s="1028"/>
      <c r="V2" s="1028"/>
    </row>
    <row r="3" spans="1:22" ht="4.2" customHeight="1"/>
    <row r="4" spans="1:22" ht="28.8">
      <c r="A4" s="1034" t="s">
        <v>294</v>
      </c>
      <c r="B4" s="610" t="s">
        <v>861</v>
      </c>
      <c r="C4" s="610" t="s">
        <v>862</v>
      </c>
      <c r="D4" s="610" t="s">
        <v>863</v>
      </c>
      <c r="E4" s="610" t="s">
        <v>864</v>
      </c>
      <c r="F4" s="610" t="s">
        <v>865</v>
      </c>
      <c r="G4" s="610" t="s">
        <v>866</v>
      </c>
      <c r="H4" s="610" t="s">
        <v>867</v>
      </c>
      <c r="I4" s="610" t="s">
        <v>868</v>
      </c>
      <c r="J4" s="610" t="s">
        <v>869</v>
      </c>
      <c r="K4" s="610" t="s">
        <v>870</v>
      </c>
      <c r="L4" s="610" t="s">
        <v>871</v>
      </c>
      <c r="M4" s="610" t="s">
        <v>872</v>
      </c>
      <c r="N4" s="610" t="s">
        <v>873</v>
      </c>
      <c r="O4" s="610" t="s">
        <v>874</v>
      </c>
      <c r="P4" s="610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1034" t="s">
        <v>309</v>
      </c>
    </row>
    <row r="5" spans="1:22" ht="4.5" customHeight="1">
      <c r="A5" s="1034"/>
      <c r="V5" s="1034"/>
    </row>
    <row r="6" spans="1:22" ht="24" customHeight="1">
      <c r="A6" s="1029" t="s">
        <v>914</v>
      </c>
      <c r="B6" s="1030"/>
      <c r="C6" s="1030"/>
      <c r="D6" s="1030"/>
      <c r="E6" s="1030"/>
      <c r="F6" s="1030"/>
      <c r="G6" s="1030"/>
      <c r="H6" s="1030"/>
      <c r="I6" s="1030"/>
      <c r="J6" s="1030"/>
      <c r="K6" s="1030"/>
      <c r="L6" s="1030"/>
      <c r="M6" s="1030"/>
      <c r="N6" s="1030"/>
      <c r="O6" s="1030"/>
      <c r="P6" s="1030"/>
      <c r="Q6" s="1030"/>
      <c r="R6" s="1030"/>
      <c r="S6" s="1030"/>
      <c r="T6" s="1030"/>
      <c r="U6" s="1030"/>
      <c r="V6" s="1030"/>
    </row>
    <row r="7" spans="1:22" ht="18" customHeight="1">
      <c r="A7" s="541" t="s">
        <v>311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915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916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917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320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321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324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918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316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318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322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325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326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327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328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31" t="s">
        <v>919</v>
      </c>
      <c r="B23" s="1032"/>
      <c r="C23" s="1032"/>
      <c r="D23" s="1032"/>
      <c r="E23" s="1032"/>
      <c r="F23" s="1032"/>
      <c r="G23" s="1032"/>
      <c r="H23" s="1032"/>
      <c r="I23" s="1032"/>
      <c r="J23" s="1032"/>
      <c r="K23" s="1032"/>
      <c r="L23" s="1032"/>
      <c r="M23" s="1032"/>
      <c r="N23" s="1032"/>
      <c r="O23" s="1032"/>
      <c r="P23" s="1032"/>
      <c r="Q23" s="1032"/>
      <c r="R23" s="1032"/>
      <c r="S23" s="1032"/>
      <c r="T23" s="1032"/>
      <c r="U23" s="1032"/>
      <c r="V23" s="1032"/>
    </row>
    <row r="24" spans="1:22" ht="18" customHeight="1">
      <c r="A24" s="541" t="s">
        <v>311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882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885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920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915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916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917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921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922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923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320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321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890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891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896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897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324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918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924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925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926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316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318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322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927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928</v>
      </c>
      <c r="B49" s="658" t="str">
        <f>IF(B26=0,IF(B32=0,"-","100%"),B32/B26)</f>
        <v>100%</v>
      </c>
      <c r="C49" s="658">
        <f>IF(C26=0,IF(C32=0,"-","100%"),C32/C26)</f>
        <v>0</v>
      </c>
      <c r="D49" s="658" t="str">
        <f>IF(D26=0,IF(D32=0,"-","100%"),D32/D26)</f>
        <v>-</v>
      </c>
      <c r="E49" s="658" t="str">
        <f t="shared" ref="E49:Q49" si="55">IF(E26=0,IF(E32=0,"-","100%"),E32/E26)</f>
        <v>-</v>
      </c>
      <c r="F49" s="658" t="str">
        <f t="shared" si="55"/>
        <v>-</v>
      </c>
      <c r="G49" s="658">
        <f t="shared" si="55"/>
        <v>0</v>
      </c>
      <c r="H49" s="658" t="str">
        <f t="shared" si="55"/>
        <v>-</v>
      </c>
      <c r="I49" s="658" t="str">
        <f t="shared" si="55"/>
        <v>-</v>
      </c>
      <c r="J49" s="658" t="str">
        <f t="shared" si="55"/>
        <v>-</v>
      </c>
      <c r="K49" s="658" t="str">
        <f t="shared" si="55"/>
        <v>-</v>
      </c>
      <c r="L49" s="658" t="str">
        <f t="shared" si="55"/>
        <v>-</v>
      </c>
      <c r="M49" s="658" t="str">
        <f t="shared" si="55"/>
        <v>-</v>
      </c>
      <c r="N49" s="658" t="str">
        <f t="shared" si="55"/>
        <v>-</v>
      </c>
      <c r="O49" s="658" t="str">
        <f t="shared" si="55"/>
        <v>-</v>
      </c>
      <c r="P49" s="658" t="str">
        <f t="shared" si="55"/>
        <v>-</v>
      </c>
      <c r="Q49" s="658" t="str">
        <f t="shared" si="55"/>
        <v>-</v>
      </c>
      <c r="R49" s="658" t="str">
        <f t="shared" ref="R49:U49" si="56">IF(R26=0,IF(R32=0,"-","100%"),R32/R26)</f>
        <v>-</v>
      </c>
      <c r="S49" s="658" t="str">
        <f t="shared" si="56"/>
        <v>-</v>
      </c>
      <c r="T49" s="658" t="str">
        <f t="shared" si="56"/>
        <v>-</v>
      </c>
      <c r="U49" s="658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325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901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907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326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2" customHeight="1">
      <c r="A54" s="564" t="s">
        <v>902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2" customHeight="1">
      <c r="A55" s="564" t="s">
        <v>908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327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929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930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328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904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910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35" t="s">
        <v>931</v>
      </c>
      <c r="B63" s="1036"/>
      <c r="C63" s="1036"/>
      <c r="D63" s="1036"/>
      <c r="E63" s="1036"/>
      <c r="F63" s="1036"/>
      <c r="G63" s="1036"/>
      <c r="H63" s="1036"/>
      <c r="I63" s="1036"/>
      <c r="J63" s="1036"/>
      <c r="K63" s="1036"/>
      <c r="L63" s="1036"/>
      <c r="M63" s="1036"/>
      <c r="N63" s="1036"/>
      <c r="O63" s="1036"/>
      <c r="P63" s="1036"/>
      <c r="Q63" s="1036"/>
      <c r="R63" s="1036"/>
      <c r="S63" s="1036"/>
      <c r="T63" s="1036"/>
      <c r="U63" s="1036"/>
      <c r="V63" s="1036"/>
    </row>
    <row r="64" spans="1:22" ht="18" customHeight="1">
      <c r="A64" s="541" t="s">
        <v>311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882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885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920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915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916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917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921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922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923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320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321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890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891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896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897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324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900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906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918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924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925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926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316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318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322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927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928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325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901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907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326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2" customHeight="1">
      <c r="A96" s="564" t="s">
        <v>902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2" customHeight="1">
      <c r="A97" s="564" t="s">
        <v>908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327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929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930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328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904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910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37" t="s">
        <v>932</v>
      </c>
      <c r="B105" s="1038"/>
      <c r="C105" s="1038"/>
      <c r="D105" s="1038"/>
      <c r="E105" s="1038"/>
      <c r="F105" s="1038"/>
      <c r="G105" s="1038"/>
      <c r="H105" s="1038"/>
      <c r="I105" s="1038"/>
      <c r="J105" s="1038"/>
      <c r="K105" s="1038"/>
      <c r="L105" s="1038"/>
      <c r="M105" s="1038"/>
      <c r="N105" s="1038"/>
      <c r="O105" s="1038"/>
      <c r="P105" s="1038"/>
      <c r="Q105" s="1038"/>
      <c r="R105" s="1038"/>
      <c r="S105" s="1038"/>
      <c r="T105" s="1038"/>
      <c r="U105" s="1038"/>
      <c r="V105" s="1038"/>
    </row>
    <row r="106" spans="1:22" ht="18" customHeight="1">
      <c r="A106" s="541" t="s">
        <v>311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915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916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917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320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321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324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918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316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318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322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325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326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327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328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39" t="s">
        <v>933</v>
      </c>
      <c r="B122" s="1040"/>
      <c r="C122" s="1040"/>
      <c r="D122" s="1040"/>
      <c r="E122" s="1040"/>
      <c r="F122" s="1040"/>
      <c r="G122" s="1040"/>
      <c r="H122" s="1040"/>
      <c r="I122" s="1040"/>
      <c r="J122" s="1040"/>
      <c r="K122" s="1040"/>
      <c r="L122" s="1040"/>
      <c r="M122" s="1040"/>
      <c r="N122" s="1040"/>
      <c r="O122" s="1040"/>
      <c r="P122" s="1040"/>
      <c r="Q122" s="1040"/>
      <c r="R122" s="1040"/>
      <c r="S122" s="1040"/>
      <c r="T122" s="1040"/>
      <c r="U122" s="1040"/>
      <c r="V122" s="1040"/>
    </row>
    <row r="123" spans="1:22" ht="18" customHeight="1">
      <c r="A123" s="541" t="s">
        <v>311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915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916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917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320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321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324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918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316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318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322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325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326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327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328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41" t="s">
        <v>934</v>
      </c>
      <c r="B139" s="1042"/>
      <c r="C139" s="1042"/>
      <c r="D139" s="1042"/>
      <c r="E139" s="1042"/>
      <c r="F139" s="1042"/>
      <c r="G139" s="1042"/>
      <c r="H139" s="1042"/>
      <c r="I139" s="1042"/>
      <c r="J139" s="1042"/>
      <c r="K139" s="1042"/>
      <c r="L139" s="1042"/>
      <c r="M139" s="1042"/>
      <c r="N139" s="1042"/>
      <c r="O139" s="1042"/>
      <c r="P139" s="1042"/>
      <c r="Q139" s="1042"/>
      <c r="R139" s="1042"/>
      <c r="S139" s="1042"/>
      <c r="T139" s="1042"/>
      <c r="U139" s="1042"/>
      <c r="V139" s="1042"/>
    </row>
    <row r="140" spans="1:22" ht="18" customHeight="1">
      <c r="A140" s="541" t="s">
        <v>311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915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916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917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320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321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324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918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316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318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322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325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326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327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328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43" t="s">
        <v>935</v>
      </c>
      <c r="B156" s="1044"/>
      <c r="C156" s="1044"/>
      <c r="D156" s="1044"/>
      <c r="E156" s="1044"/>
      <c r="F156" s="1044"/>
      <c r="G156" s="1044"/>
      <c r="H156" s="1044"/>
      <c r="I156" s="1044"/>
      <c r="J156" s="1044"/>
      <c r="K156" s="1044"/>
      <c r="L156" s="1044"/>
      <c r="M156" s="1044"/>
      <c r="N156" s="1044"/>
      <c r="O156" s="1044"/>
      <c r="P156" s="1044"/>
      <c r="Q156" s="1044"/>
      <c r="R156" s="1044"/>
      <c r="S156" s="1044"/>
      <c r="T156" s="1044"/>
      <c r="U156" s="1044"/>
      <c r="V156" s="1044"/>
    </row>
    <row r="157" spans="1:22" ht="18" customHeight="1">
      <c r="A157" s="541" t="s">
        <v>311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915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916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917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320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321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324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918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316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318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322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325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326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327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328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33" t="s">
        <v>936</v>
      </c>
      <c r="B173" s="1033"/>
      <c r="C173" s="1033"/>
      <c r="D173" s="1033"/>
      <c r="E173" s="1033"/>
      <c r="F173" s="1033"/>
      <c r="G173" s="1033"/>
      <c r="H173" s="1033"/>
      <c r="I173" s="1033"/>
      <c r="J173" s="1033"/>
      <c r="K173" s="1033"/>
      <c r="L173" s="1033"/>
      <c r="M173" s="1033"/>
      <c r="N173" s="1033"/>
      <c r="O173" s="1033"/>
      <c r="P173" s="1033"/>
      <c r="Q173" s="1033"/>
      <c r="R173" s="718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1047" t="s">
        <v>937</v>
      </c>
      <c r="B1" s="1048"/>
      <c r="C1" s="1049"/>
      <c r="D1" s="1050" t="s">
        <v>938</v>
      </c>
      <c r="E1" s="1051"/>
      <c r="F1" s="1051"/>
      <c r="G1" s="1052"/>
      <c r="H1" s="1060" t="s">
        <v>939</v>
      </c>
      <c r="I1" s="1061"/>
      <c r="J1" s="1061"/>
      <c r="K1" s="1062"/>
      <c r="L1" s="1063" t="s">
        <v>29</v>
      </c>
      <c r="M1" s="1054" t="s">
        <v>30</v>
      </c>
      <c r="N1" s="1056" t="s">
        <v>940</v>
      </c>
    </row>
    <row r="2" spans="1:14" s="311" customFormat="1" ht="21">
      <c r="A2" s="390" t="s">
        <v>15</v>
      </c>
      <c r="B2" s="770" t="s">
        <v>17</v>
      </c>
      <c r="C2" s="770" t="s">
        <v>16</v>
      </c>
      <c r="D2" s="497" t="s">
        <v>151</v>
      </c>
      <c r="E2" s="497" t="s">
        <v>152</v>
      </c>
      <c r="F2" s="497" t="s">
        <v>153</v>
      </c>
      <c r="G2" s="497" t="s">
        <v>154</v>
      </c>
      <c r="H2" s="391" t="s">
        <v>153</v>
      </c>
      <c r="I2" s="191" t="s">
        <v>26</v>
      </c>
      <c r="J2" s="191" t="s">
        <v>27</v>
      </c>
      <c r="K2" s="191" t="s">
        <v>28</v>
      </c>
      <c r="L2" s="1064"/>
      <c r="M2" s="1055"/>
      <c r="N2" s="1057"/>
    </row>
    <row r="3" spans="1:14" ht="21">
      <c r="A3" s="795" t="s">
        <v>941</v>
      </c>
      <c r="B3" s="392">
        <v>1</v>
      </c>
      <c r="C3" s="73" t="s">
        <v>942</v>
      </c>
      <c r="D3" s="386">
        <v>1</v>
      </c>
      <c r="E3" s="386">
        <v>1</v>
      </c>
      <c r="F3" s="386">
        <v>0</v>
      </c>
      <c r="G3" s="815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795" t="s">
        <v>943</v>
      </c>
      <c r="B4" s="392">
        <v>1</v>
      </c>
      <c r="C4" s="73" t="s">
        <v>944</v>
      </c>
      <c r="D4" s="386">
        <v>1</v>
      </c>
      <c r="E4" s="386">
        <v>1</v>
      </c>
      <c r="F4" s="386">
        <v>0</v>
      </c>
      <c r="G4" s="815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53" t="s">
        <v>945</v>
      </c>
      <c r="B5" s="392">
        <v>1</v>
      </c>
      <c r="C5" s="73" t="s">
        <v>946</v>
      </c>
      <c r="D5" s="386">
        <v>9</v>
      </c>
      <c r="E5" s="386">
        <v>9</v>
      </c>
      <c r="F5" s="386">
        <v>0</v>
      </c>
      <c r="G5" s="815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53"/>
      <c r="B6" s="392">
        <v>3</v>
      </c>
      <c r="C6" s="73" t="s">
        <v>947</v>
      </c>
      <c r="D6" s="386">
        <v>1</v>
      </c>
      <c r="E6" s="386">
        <v>1</v>
      </c>
      <c r="F6" s="386">
        <v>0</v>
      </c>
      <c r="G6" s="815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53"/>
      <c r="B7" s="392" t="s">
        <v>948</v>
      </c>
      <c r="C7" s="73" t="s">
        <v>949</v>
      </c>
      <c r="D7" s="386">
        <v>1</v>
      </c>
      <c r="E7" s="386">
        <v>1</v>
      </c>
      <c r="F7" s="386">
        <v>0</v>
      </c>
      <c r="G7" s="815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795" t="s">
        <v>950</v>
      </c>
      <c r="B8" s="392" t="s">
        <v>951</v>
      </c>
      <c r="C8" s="73" t="s">
        <v>952</v>
      </c>
      <c r="D8" s="386">
        <v>1</v>
      </c>
      <c r="E8" s="386">
        <v>1</v>
      </c>
      <c r="F8" s="386">
        <v>0</v>
      </c>
      <c r="G8" s="815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795" t="s">
        <v>953</v>
      </c>
      <c r="B9" s="392">
        <v>1</v>
      </c>
      <c r="C9" s="73" t="s">
        <v>954</v>
      </c>
      <c r="D9" s="386">
        <v>1</v>
      </c>
      <c r="E9" s="386">
        <v>1</v>
      </c>
      <c r="F9" s="386">
        <v>0</v>
      </c>
      <c r="G9" s="815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795" t="s">
        <v>955</v>
      </c>
      <c r="B10" s="392">
        <v>1</v>
      </c>
      <c r="C10" s="73" t="s">
        <v>956</v>
      </c>
      <c r="D10" s="386">
        <v>2</v>
      </c>
      <c r="E10" s="386">
        <v>2</v>
      </c>
      <c r="F10" s="386">
        <v>0</v>
      </c>
      <c r="G10" s="815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53" t="s">
        <v>957</v>
      </c>
      <c r="B11" s="392">
        <v>1</v>
      </c>
      <c r="C11" s="73" t="s">
        <v>958</v>
      </c>
      <c r="D11" s="386">
        <v>6</v>
      </c>
      <c r="E11" s="386">
        <v>6</v>
      </c>
      <c r="F11" s="386">
        <v>0</v>
      </c>
      <c r="G11" s="815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53"/>
      <c r="B12" s="392">
        <v>2</v>
      </c>
      <c r="C12" s="73" t="s">
        <v>959</v>
      </c>
      <c r="D12" s="386">
        <v>4</v>
      </c>
      <c r="E12" s="386">
        <v>4</v>
      </c>
      <c r="F12" s="386">
        <v>0</v>
      </c>
      <c r="G12" s="815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53"/>
      <c r="B13" s="392">
        <v>3</v>
      </c>
      <c r="C13" s="73" t="s">
        <v>960</v>
      </c>
      <c r="D13" s="386">
        <v>3</v>
      </c>
      <c r="E13" s="386">
        <v>3</v>
      </c>
      <c r="F13" s="386">
        <v>0</v>
      </c>
      <c r="G13" s="815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53" t="s">
        <v>961</v>
      </c>
      <c r="B14" s="392">
        <v>1</v>
      </c>
      <c r="C14" s="73" t="s">
        <v>962</v>
      </c>
      <c r="D14" s="386">
        <v>8</v>
      </c>
      <c r="E14" s="386">
        <v>4</v>
      </c>
      <c r="F14" s="386">
        <v>4</v>
      </c>
      <c r="G14" s="815" t="s">
        <v>157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53"/>
      <c r="B15" s="392">
        <v>2</v>
      </c>
      <c r="C15" s="73" t="s">
        <v>963</v>
      </c>
      <c r="D15" s="386">
        <v>2</v>
      </c>
      <c r="E15" s="386">
        <v>1</v>
      </c>
      <c r="F15" s="386">
        <v>1</v>
      </c>
      <c r="G15" s="815" t="s">
        <v>157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53"/>
      <c r="B16" s="392">
        <v>3</v>
      </c>
      <c r="C16" s="73" t="s">
        <v>964</v>
      </c>
      <c r="D16" s="386">
        <v>2</v>
      </c>
      <c r="E16" s="386">
        <v>0</v>
      </c>
      <c r="F16" s="386">
        <v>2</v>
      </c>
      <c r="G16" s="815" t="s">
        <v>157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965</v>
      </c>
      <c r="N16" s="150">
        <f>E16+H16</f>
        <v>1</v>
      </c>
    </row>
    <row r="17" spans="1:14" ht="21">
      <c r="A17" s="1053" t="s">
        <v>966</v>
      </c>
      <c r="B17" s="392">
        <v>1</v>
      </c>
      <c r="C17" s="73" t="s">
        <v>967</v>
      </c>
      <c r="D17" s="386">
        <v>3</v>
      </c>
      <c r="E17" s="386">
        <v>2</v>
      </c>
      <c r="F17" s="386">
        <v>1</v>
      </c>
      <c r="G17" s="815" t="s">
        <v>157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968</v>
      </c>
      <c r="N17" s="150">
        <f t="shared" si="1"/>
        <v>2</v>
      </c>
    </row>
    <row r="18" spans="1:14" ht="21">
      <c r="A18" s="1053"/>
      <c r="B18" s="392">
        <v>2</v>
      </c>
      <c r="C18" s="73" t="s">
        <v>969</v>
      </c>
      <c r="D18" s="386">
        <v>8</v>
      </c>
      <c r="E18" s="386">
        <v>3</v>
      </c>
      <c r="F18" s="386">
        <v>5</v>
      </c>
      <c r="G18" s="815" t="s">
        <v>157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970</v>
      </c>
      <c r="N18" s="150">
        <f t="shared" si="1"/>
        <v>7</v>
      </c>
    </row>
    <row r="19" spans="1:14" ht="21">
      <c r="A19" s="1053"/>
      <c r="B19" s="392">
        <v>3</v>
      </c>
      <c r="C19" s="73" t="s">
        <v>971</v>
      </c>
      <c r="D19" s="386">
        <v>9</v>
      </c>
      <c r="E19" s="386">
        <v>2</v>
      </c>
      <c r="F19" s="386">
        <v>7</v>
      </c>
      <c r="G19" s="815" t="s">
        <v>157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972</v>
      </c>
      <c r="N19" s="150">
        <f t="shared" si="1"/>
        <v>5</v>
      </c>
    </row>
    <row r="20" spans="1:14" ht="21">
      <c r="A20" s="1053"/>
      <c r="B20" s="392">
        <v>4</v>
      </c>
      <c r="C20" s="73" t="s">
        <v>973</v>
      </c>
      <c r="D20" s="386">
        <v>9</v>
      </c>
      <c r="E20" s="386">
        <v>4</v>
      </c>
      <c r="F20" s="386">
        <v>5</v>
      </c>
      <c r="G20" s="815" t="s">
        <v>157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974</v>
      </c>
      <c r="N20" s="150">
        <f t="shared" si="1"/>
        <v>11</v>
      </c>
    </row>
    <row r="21" spans="1:14" ht="21">
      <c r="A21" s="1053"/>
      <c r="B21" s="392">
        <v>5</v>
      </c>
      <c r="C21" s="73" t="s">
        <v>975</v>
      </c>
      <c r="D21" s="386">
        <v>5</v>
      </c>
      <c r="E21" s="386">
        <v>4</v>
      </c>
      <c r="F21" s="386">
        <v>1</v>
      </c>
      <c r="G21" s="815" t="s">
        <v>157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53" t="s">
        <v>976</v>
      </c>
      <c r="B22" s="392">
        <v>1</v>
      </c>
      <c r="C22" s="73" t="s">
        <v>977</v>
      </c>
      <c r="D22" s="386">
        <v>22</v>
      </c>
      <c r="E22" s="386">
        <v>18</v>
      </c>
      <c r="F22" s="386">
        <v>4</v>
      </c>
      <c r="G22" s="815" t="s">
        <v>157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53"/>
      <c r="B23" s="392">
        <v>2</v>
      </c>
      <c r="C23" s="73" t="s">
        <v>978</v>
      </c>
      <c r="D23" s="386">
        <v>34</v>
      </c>
      <c r="E23" s="386">
        <v>24</v>
      </c>
      <c r="F23" s="386">
        <v>10</v>
      </c>
      <c r="G23" s="815" t="s">
        <v>157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53"/>
      <c r="B24" s="392">
        <v>3</v>
      </c>
      <c r="C24" s="73" t="s">
        <v>979</v>
      </c>
      <c r="D24" s="386">
        <v>30</v>
      </c>
      <c r="E24" s="386">
        <v>19</v>
      </c>
      <c r="F24" s="386">
        <v>11</v>
      </c>
      <c r="G24" s="815" t="s">
        <v>157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980</v>
      </c>
      <c r="N24" s="150">
        <f t="shared" si="1"/>
        <v>27</v>
      </c>
    </row>
    <row r="25" spans="1:14" ht="21">
      <c r="A25" s="1053"/>
      <c r="B25" s="392">
        <v>4</v>
      </c>
      <c r="C25" s="73" t="s">
        <v>981</v>
      </c>
      <c r="D25" s="386">
        <v>37</v>
      </c>
      <c r="E25" s="386">
        <v>27</v>
      </c>
      <c r="F25" s="386">
        <v>10</v>
      </c>
      <c r="G25" s="815" t="s">
        <v>157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982</v>
      </c>
      <c r="N25" s="150">
        <f t="shared" si="1"/>
        <v>40</v>
      </c>
    </row>
    <row r="26" spans="1:14" ht="21">
      <c r="A26" s="1053"/>
      <c r="B26" s="392">
        <v>5</v>
      </c>
      <c r="C26" s="73" t="s">
        <v>983</v>
      </c>
      <c r="D26" s="386">
        <v>34</v>
      </c>
      <c r="E26" s="386">
        <v>27</v>
      </c>
      <c r="F26" s="386">
        <v>7</v>
      </c>
      <c r="G26" s="815" t="s">
        <v>157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984</v>
      </c>
      <c r="N26" s="150">
        <f t="shared" si="1"/>
        <v>33</v>
      </c>
    </row>
    <row r="27" spans="1:14" ht="21">
      <c r="A27" s="1053"/>
      <c r="B27" s="392">
        <v>6</v>
      </c>
      <c r="C27" s="73" t="s">
        <v>985</v>
      </c>
      <c r="D27" s="386">
        <v>14</v>
      </c>
      <c r="E27" s="386">
        <v>7</v>
      </c>
      <c r="F27" s="386">
        <v>7</v>
      </c>
      <c r="G27" s="815" t="s">
        <v>157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986</v>
      </c>
      <c r="N27" s="150">
        <f t="shared" si="1"/>
        <v>7</v>
      </c>
    </row>
    <row r="28" spans="1:14" ht="21">
      <c r="A28" s="795" t="s">
        <v>987</v>
      </c>
      <c r="B28" s="392">
        <v>1</v>
      </c>
      <c r="C28" s="73" t="s">
        <v>988</v>
      </c>
      <c r="D28" s="386">
        <v>7</v>
      </c>
      <c r="E28" s="386">
        <v>4</v>
      </c>
      <c r="F28" s="386">
        <v>3</v>
      </c>
      <c r="G28" s="815" t="s">
        <v>157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989</v>
      </c>
      <c r="N28" s="150">
        <f t="shared" si="1"/>
        <v>4</v>
      </c>
    </row>
    <row r="29" spans="1:14" ht="21">
      <c r="A29" s="1053" t="s">
        <v>990</v>
      </c>
      <c r="B29" s="392">
        <v>1</v>
      </c>
      <c r="C29" s="73" t="s">
        <v>991</v>
      </c>
      <c r="D29" s="386">
        <v>2</v>
      </c>
      <c r="E29" s="386">
        <v>2</v>
      </c>
      <c r="F29" s="386">
        <v>0</v>
      </c>
      <c r="G29" s="815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53"/>
      <c r="B30" s="392">
        <v>2</v>
      </c>
      <c r="C30" s="73" t="s">
        <v>992</v>
      </c>
      <c r="D30" s="386">
        <v>4</v>
      </c>
      <c r="E30" s="386">
        <v>4</v>
      </c>
      <c r="F30" s="386">
        <v>0</v>
      </c>
      <c r="G30" s="815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53"/>
      <c r="B31" s="392">
        <v>3</v>
      </c>
      <c r="C31" s="73" t="s">
        <v>993</v>
      </c>
      <c r="D31" s="386">
        <v>4</v>
      </c>
      <c r="E31" s="386">
        <v>4</v>
      </c>
      <c r="F31" s="386">
        <v>0</v>
      </c>
      <c r="G31" s="815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53"/>
      <c r="B32" s="392">
        <v>4</v>
      </c>
      <c r="C32" s="73" t="s">
        <v>994</v>
      </c>
      <c r="D32" s="386">
        <v>3</v>
      </c>
      <c r="E32" s="386">
        <v>3</v>
      </c>
      <c r="F32" s="386">
        <v>0</v>
      </c>
      <c r="G32" s="815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795" t="s">
        <v>995</v>
      </c>
      <c r="B33" s="392">
        <v>1</v>
      </c>
      <c r="C33" s="73" t="s">
        <v>996</v>
      </c>
      <c r="D33" s="386">
        <v>2</v>
      </c>
      <c r="E33" s="386">
        <v>2</v>
      </c>
      <c r="F33" s="386">
        <v>0</v>
      </c>
      <c r="G33" s="815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53" t="s">
        <v>997</v>
      </c>
      <c r="B34" s="392">
        <v>1</v>
      </c>
      <c r="C34" s="73" t="s">
        <v>998</v>
      </c>
      <c r="D34" s="386">
        <v>8</v>
      </c>
      <c r="E34" s="386">
        <v>4</v>
      </c>
      <c r="F34" s="386">
        <v>4</v>
      </c>
      <c r="G34" s="815" t="s">
        <v>157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53"/>
      <c r="B35" s="392">
        <v>2</v>
      </c>
      <c r="C35" s="73" t="s">
        <v>999</v>
      </c>
      <c r="D35" s="386">
        <v>2</v>
      </c>
      <c r="E35" s="386">
        <v>1</v>
      </c>
      <c r="F35" s="386">
        <v>1</v>
      </c>
      <c r="G35" s="815" t="s">
        <v>157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53"/>
      <c r="B36" s="392">
        <v>3</v>
      </c>
      <c r="C36" s="73" t="s">
        <v>1000</v>
      </c>
      <c r="D36" s="386">
        <v>2</v>
      </c>
      <c r="E36" s="386">
        <v>0</v>
      </c>
      <c r="F36" s="386">
        <v>2</v>
      </c>
      <c r="G36" s="815" t="s">
        <v>157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965</v>
      </c>
      <c r="N36" s="150">
        <f t="shared" si="1"/>
        <v>1</v>
      </c>
    </row>
    <row r="37" spans="1:14" ht="21">
      <c r="A37" s="795" t="s">
        <v>1001</v>
      </c>
      <c r="B37" s="392">
        <v>1</v>
      </c>
      <c r="C37" s="73" t="s">
        <v>1002</v>
      </c>
      <c r="D37" s="386">
        <v>6</v>
      </c>
      <c r="E37" s="386">
        <v>4</v>
      </c>
      <c r="F37" s="386">
        <v>2</v>
      </c>
      <c r="G37" s="815" t="s">
        <v>157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795" t="s">
        <v>1003</v>
      </c>
      <c r="B38" s="392">
        <v>1</v>
      </c>
      <c r="C38" s="73" t="s">
        <v>1004</v>
      </c>
      <c r="D38" s="386">
        <v>10</v>
      </c>
      <c r="E38" s="386">
        <v>5</v>
      </c>
      <c r="F38" s="386">
        <v>5</v>
      </c>
      <c r="G38" s="815" t="s">
        <v>157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1005</v>
      </c>
      <c r="N38" s="150">
        <f t="shared" si="1"/>
        <v>9</v>
      </c>
    </row>
    <row r="39" spans="1:14" ht="21">
      <c r="A39" s="795" t="s">
        <v>1006</v>
      </c>
      <c r="B39" s="392">
        <v>1</v>
      </c>
      <c r="C39" s="73" t="s">
        <v>1007</v>
      </c>
      <c r="D39" s="386">
        <v>10</v>
      </c>
      <c r="E39" s="386">
        <v>4</v>
      </c>
      <c r="F39" s="386">
        <v>6</v>
      </c>
      <c r="G39" s="815" t="s">
        <v>157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1008</v>
      </c>
      <c r="N39" s="150">
        <f t="shared" si="1"/>
        <v>9</v>
      </c>
    </row>
    <row r="40" spans="1:14" ht="21">
      <c r="A40" s="795" t="s">
        <v>1009</v>
      </c>
      <c r="B40" s="392">
        <v>1</v>
      </c>
      <c r="C40" s="73" t="s">
        <v>1010</v>
      </c>
      <c r="D40" s="386">
        <v>3</v>
      </c>
      <c r="E40" s="386">
        <v>2</v>
      </c>
      <c r="F40" s="386">
        <v>1</v>
      </c>
      <c r="G40" s="815" t="s">
        <v>157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795" t="s">
        <v>1011</v>
      </c>
      <c r="B41" s="392">
        <v>1</v>
      </c>
      <c r="C41" s="73" t="s">
        <v>1012</v>
      </c>
      <c r="D41" s="386">
        <v>6</v>
      </c>
      <c r="E41" s="386">
        <v>2</v>
      </c>
      <c r="F41" s="386">
        <v>4</v>
      </c>
      <c r="G41" s="815" t="s">
        <v>157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1013</v>
      </c>
      <c r="N41" s="150">
        <f t="shared" si="1"/>
        <v>4</v>
      </c>
    </row>
    <row r="42" spans="1:14" ht="21">
      <c r="A42" s="795" t="s">
        <v>1014</v>
      </c>
      <c r="B42" s="392">
        <v>1</v>
      </c>
      <c r="C42" s="73" t="s">
        <v>1015</v>
      </c>
      <c r="D42" s="386">
        <v>3</v>
      </c>
      <c r="E42" s="386">
        <v>3</v>
      </c>
      <c r="F42" s="386">
        <v>0</v>
      </c>
      <c r="G42" s="815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795" t="s">
        <v>1016</v>
      </c>
      <c r="B43" s="392">
        <v>1</v>
      </c>
      <c r="C43" s="73" t="s">
        <v>1017</v>
      </c>
      <c r="D43" s="386">
        <v>2</v>
      </c>
      <c r="E43" s="386">
        <v>2</v>
      </c>
      <c r="F43" s="386">
        <v>0</v>
      </c>
      <c r="G43" s="815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795" t="s">
        <v>1018</v>
      </c>
      <c r="B44" s="392">
        <v>1</v>
      </c>
      <c r="C44" s="73" t="s">
        <v>1019</v>
      </c>
      <c r="D44" s="386">
        <v>1</v>
      </c>
      <c r="E44" s="386">
        <v>1</v>
      </c>
      <c r="F44" s="386">
        <v>0</v>
      </c>
      <c r="G44" s="815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53" t="s">
        <v>1020</v>
      </c>
      <c r="B45" s="392">
        <v>1</v>
      </c>
      <c r="C45" s="73" t="s">
        <v>1021</v>
      </c>
      <c r="D45" s="386">
        <v>11</v>
      </c>
      <c r="E45" s="386">
        <v>9</v>
      </c>
      <c r="F45" s="386">
        <v>2</v>
      </c>
      <c r="G45" s="815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53"/>
      <c r="B46" s="392">
        <v>2</v>
      </c>
      <c r="C46" s="73" t="s">
        <v>1022</v>
      </c>
      <c r="D46" s="386">
        <v>17</v>
      </c>
      <c r="E46" s="386">
        <v>15</v>
      </c>
      <c r="F46" s="386">
        <v>2</v>
      </c>
      <c r="G46" s="815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53"/>
      <c r="B47" s="392">
        <v>3</v>
      </c>
      <c r="C47" s="73" t="s">
        <v>1023</v>
      </c>
      <c r="D47" s="386">
        <v>1</v>
      </c>
      <c r="E47" s="386">
        <v>1</v>
      </c>
      <c r="F47" s="386">
        <v>0</v>
      </c>
      <c r="G47" s="815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795" t="s">
        <v>1024</v>
      </c>
      <c r="B48" s="392">
        <v>1</v>
      </c>
      <c r="C48" s="73" t="s">
        <v>1025</v>
      </c>
      <c r="D48" s="386">
        <v>1</v>
      </c>
      <c r="E48" s="386">
        <v>1</v>
      </c>
      <c r="F48" s="386">
        <v>0</v>
      </c>
      <c r="G48" s="815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53" t="s">
        <v>1026</v>
      </c>
      <c r="B49" s="392">
        <v>1</v>
      </c>
      <c r="C49" s="73" t="s">
        <v>1027</v>
      </c>
      <c r="D49" s="386">
        <v>10</v>
      </c>
      <c r="E49" s="386">
        <v>6</v>
      </c>
      <c r="F49" s="386">
        <v>4</v>
      </c>
      <c r="G49" s="815" t="s">
        <v>157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53"/>
      <c r="B50" s="392">
        <v>2</v>
      </c>
      <c r="C50" s="73" t="s">
        <v>1028</v>
      </c>
      <c r="D50" s="386">
        <v>9</v>
      </c>
      <c r="E50" s="386">
        <v>6</v>
      </c>
      <c r="F50" s="386">
        <v>3</v>
      </c>
      <c r="G50" s="815" t="s">
        <v>157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1029</v>
      </c>
      <c r="N50" s="150">
        <f t="shared" si="1"/>
        <v>10</v>
      </c>
    </row>
    <row r="51" spans="1:14" ht="21">
      <c r="A51" s="1053"/>
      <c r="B51" s="392">
        <v>3</v>
      </c>
      <c r="C51" s="73" t="s">
        <v>1030</v>
      </c>
      <c r="D51" s="386">
        <v>10</v>
      </c>
      <c r="E51" s="386">
        <v>6</v>
      </c>
      <c r="F51" s="386">
        <v>4</v>
      </c>
      <c r="G51" s="815" t="s">
        <v>157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53" t="s">
        <v>1031</v>
      </c>
      <c r="B52" s="392">
        <v>1</v>
      </c>
      <c r="C52" s="73" t="s">
        <v>1032</v>
      </c>
      <c r="D52" s="386">
        <v>5</v>
      </c>
      <c r="E52" s="386">
        <v>3</v>
      </c>
      <c r="F52" s="386">
        <v>2</v>
      </c>
      <c r="G52" s="815" t="s">
        <v>157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1033</v>
      </c>
      <c r="N52" s="150">
        <f t="shared" si="1"/>
        <v>3</v>
      </c>
    </row>
    <row r="53" spans="1:14" ht="21">
      <c r="A53" s="1053"/>
      <c r="B53" s="392">
        <v>2</v>
      </c>
      <c r="C53" s="73" t="s">
        <v>1034</v>
      </c>
      <c r="D53" s="386">
        <v>5</v>
      </c>
      <c r="E53" s="386">
        <v>3</v>
      </c>
      <c r="F53" s="386">
        <v>2</v>
      </c>
      <c r="G53" s="815" t="s">
        <v>157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795" t="s">
        <v>1035</v>
      </c>
      <c r="B54" s="392">
        <v>1</v>
      </c>
      <c r="C54" s="73" t="s">
        <v>1036</v>
      </c>
      <c r="D54" s="386">
        <v>2</v>
      </c>
      <c r="E54" s="386">
        <v>2</v>
      </c>
      <c r="F54" s="386">
        <v>0</v>
      </c>
      <c r="G54" s="815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53" t="s">
        <v>1037</v>
      </c>
      <c r="B55" s="392">
        <v>1</v>
      </c>
      <c r="C55" s="73" t="s">
        <v>1038</v>
      </c>
      <c r="D55" s="386">
        <v>6</v>
      </c>
      <c r="E55" s="386">
        <v>5</v>
      </c>
      <c r="F55" s="386">
        <v>1</v>
      </c>
      <c r="G55" s="815" t="s">
        <v>157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53"/>
      <c r="B56" s="392">
        <v>2</v>
      </c>
      <c r="C56" s="73" t="s">
        <v>1039</v>
      </c>
      <c r="D56" s="386">
        <v>4</v>
      </c>
      <c r="E56" s="386">
        <v>3</v>
      </c>
      <c r="F56" s="386">
        <v>1</v>
      </c>
      <c r="G56" s="815" t="s">
        <v>157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968</v>
      </c>
      <c r="N56" s="150">
        <f t="shared" si="1"/>
        <v>3</v>
      </c>
    </row>
    <row r="57" spans="1:14" ht="21">
      <c r="A57" s="795" t="s">
        <v>1040</v>
      </c>
      <c r="B57" s="392">
        <v>1</v>
      </c>
      <c r="C57" s="73" t="s">
        <v>1041</v>
      </c>
      <c r="D57" s="386">
        <v>2</v>
      </c>
      <c r="E57" s="386">
        <v>1</v>
      </c>
      <c r="F57" s="386">
        <v>1</v>
      </c>
      <c r="G57" s="815" t="s">
        <v>157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968</v>
      </c>
      <c r="N57" s="150">
        <f t="shared" si="1"/>
        <v>1</v>
      </c>
    </row>
    <row r="58" spans="1:14" ht="21">
      <c r="A58" s="1058" t="s">
        <v>1042</v>
      </c>
      <c r="B58" s="392">
        <v>1</v>
      </c>
      <c r="C58" s="73" t="s">
        <v>1043</v>
      </c>
      <c r="D58" s="386">
        <v>0</v>
      </c>
      <c r="E58" s="386">
        <v>0</v>
      </c>
      <c r="F58" s="386">
        <v>0</v>
      </c>
      <c r="G58" s="815" t="s">
        <v>157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1044</v>
      </c>
      <c r="N58" s="150">
        <f t="shared" si="1"/>
        <v>1</v>
      </c>
    </row>
    <row r="59" spans="1:14" ht="21">
      <c r="A59" s="1059"/>
      <c r="B59" s="392">
        <v>2</v>
      </c>
      <c r="C59" s="73" t="s">
        <v>1045</v>
      </c>
      <c r="D59" s="386">
        <v>1</v>
      </c>
      <c r="E59" s="386">
        <v>1</v>
      </c>
      <c r="F59" s="386">
        <v>0</v>
      </c>
      <c r="G59" s="815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795" t="s">
        <v>1046</v>
      </c>
      <c r="B60" s="392">
        <v>1</v>
      </c>
      <c r="C60" s="73" t="s">
        <v>1047</v>
      </c>
      <c r="D60" s="386">
        <v>1</v>
      </c>
      <c r="E60" s="386">
        <v>1</v>
      </c>
      <c r="F60" s="386">
        <v>0</v>
      </c>
      <c r="G60" s="815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795" t="s">
        <v>1048</v>
      </c>
      <c r="B61" s="392">
        <v>1</v>
      </c>
      <c r="C61" s="73" t="s">
        <v>1049</v>
      </c>
      <c r="D61" s="386">
        <v>1</v>
      </c>
      <c r="E61" s="386">
        <v>1</v>
      </c>
      <c r="F61" s="386">
        <v>0</v>
      </c>
      <c r="G61" s="815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53" t="s">
        <v>1050</v>
      </c>
      <c r="B62" s="392">
        <v>1</v>
      </c>
      <c r="C62" s="73" t="s">
        <v>1051</v>
      </c>
      <c r="D62" s="386">
        <v>1</v>
      </c>
      <c r="E62" s="386">
        <v>1</v>
      </c>
      <c r="F62" s="386">
        <v>0</v>
      </c>
      <c r="G62" s="815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53"/>
      <c r="B63" s="392">
        <v>2</v>
      </c>
      <c r="C63" s="73" t="s">
        <v>1052</v>
      </c>
      <c r="D63" s="386">
        <v>1</v>
      </c>
      <c r="E63" s="386">
        <v>1</v>
      </c>
      <c r="F63" s="386">
        <v>0</v>
      </c>
      <c r="G63" s="815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53" t="s">
        <v>1053</v>
      </c>
      <c r="B64" s="392">
        <v>1</v>
      </c>
      <c r="C64" s="73" t="s">
        <v>1054</v>
      </c>
      <c r="D64" s="386">
        <v>1</v>
      </c>
      <c r="E64" s="386">
        <v>1</v>
      </c>
      <c r="F64" s="386">
        <v>0</v>
      </c>
      <c r="G64" s="815" t="s">
        <v>157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1055</v>
      </c>
      <c r="N64" s="150">
        <f t="shared" si="1"/>
        <v>2</v>
      </c>
    </row>
    <row r="65" spans="1:14" ht="21">
      <c r="A65" s="1053"/>
      <c r="B65" s="392">
        <v>2</v>
      </c>
      <c r="C65" s="73" t="s">
        <v>1056</v>
      </c>
      <c r="D65" s="386">
        <v>2</v>
      </c>
      <c r="E65" s="386">
        <v>2</v>
      </c>
      <c r="F65" s="386">
        <v>0</v>
      </c>
      <c r="G65" s="815" t="s">
        <v>157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1055</v>
      </c>
      <c r="N65" s="150">
        <f t="shared" si="1"/>
        <v>3</v>
      </c>
    </row>
    <row r="66" spans="1:14" ht="21">
      <c r="A66" s="795" t="s">
        <v>1057</v>
      </c>
      <c r="B66" s="392">
        <v>1</v>
      </c>
      <c r="C66" s="73" t="s">
        <v>1058</v>
      </c>
      <c r="D66" s="386">
        <v>1</v>
      </c>
      <c r="E66" s="386">
        <v>1</v>
      </c>
      <c r="F66" s="386">
        <v>0</v>
      </c>
      <c r="G66" s="815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795" t="s">
        <v>1059</v>
      </c>
      <c r="B67" s="392">
        <v>1</v>
      </c>
      <c r="C67" s="73" t="s">
        <v>1060</v>
      </c>
      <c r="D67" s="386">
        <v>1</v>
      </c>
      <c r="E67" s="386">
        <v>0</v>
      </c>
      <c r="F67" s="386">
        <v>1</v>
      </c>
      <c r="G67" s="815" t="s">
        <v>157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53" t="s">
        <v>1061</v>
      </c>
      <c r="B68" s="392">
        <v>1</v>
      </c>
      <c r="C68" s="73" t="s">
        <v>1062</v>
      </c>
      <c r="D68" s="386">
        <v>3</v>
      </c>
      <c r="E68" s="386">
        <v>0</v>
      </c>
      <c r="F68" s="386">
        <v>3</v>
      </c>
      <c r="G68" s="815" t="s">
        <v>157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53"/>
      <c r="B69" s="392">
        <v>6</v>
      </c>
      <c r="C69" s="73" t="s">
        <v>1063</v>
      </c>
      <c r="D69" s="386">
        <v>7</v>
      </c>
      <c r="E69" s="386">
        <v>0</v>
      </c>
      <c r="F69" s="386">
        <v>7</v>
      </c>
      <c r="G69" s="815" t="s">
        <v>157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53"/>
      <c r="B70" s="392">
        <v>7</v>
      </c>
      <c r="C70" s="73" t="s">
        <v>1064</v>
      </c>
      <c r="D70" s="386">
        <v>6</v>
      </c>
      <c r="E70" s="386">
        <v>0</v>
      </c>
      <c r="F70" s="386">
        <v>6</v>
      </c>
      <c r="G70" s="815" t="s">
        <v>157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53"/>
      <c r="B71" s="392">
        <v>8</v>
      </c>
      <c r="C71" s="73" t="s">
        <v>1065</v>
      </c>
      <c r="D71" s="386">
        <v>9</v>
      </c>
      <c r="E71" s="386">
        <v>0</v>
      </c>
      <c r="F71" s="386">
        <v>9</v>
      </c>
      <c r="G71" s="815" t="s">
        <v>157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795" t="s">
        <v>1066</v>
      </c>
      <c r="B72" s="392">
        <v>1</v>
      </c>
      <c r="C72" s="73" t="s">
        <v>1067</v>
      </c>
      <c r="D72" s="386">
        <v>1</v>
      </c>
      <c r="E72" s="386">
        <v>0</v>
      </c>
      <c r="F72" s="386">
        <v>1</v>
      </c>
      <c r="G72" s="815" t="s">
        <v>157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795" t="s">
        <v>1068</v>
      </c>
      <c r="B73" s="392">
        <v>1</v>
      </c>
      <c r="C73" s="73" t="s">
        <v>1069</v>
      </c>
      <c r="D73" s="386">
        <v>2</v>
      </c>
      <c r="E73" s="386">
        <v>0</v>
      </c>
      <c r="F73" s="386">
        <v>2</v>
      </c>
      <c r="G73" s="815" t="s">
        <v>157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795" t="s">
        <v>1070</v>
      </c>
      <c r="B74" s="392">
        <v>1</v>
      </c>
      <c r="C74" s="73" t="s">
        <v>1071</v>
      </c>
      <c r="D74" s="386">
        <v>1</v>
      </c>
      <c r="E74" s="386">
        <v>0</v>
      </c>
      <c r="F74" s="386">
        <v>1</v>
      </c>
      <c r="G74" s="815" t="s">
        <v>157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798" t="s">
        <v>1072</v>
      </c>
      <c r="B75" s="392">
        <v>1</v>
      </c>
      <c r="C75" s="73" t="s">
        <v>1073</v>
      </c>
      <c r="D75" s="386">
        <v>1</v>
      </c>
      <c r="E75" s="386">
        <v>0</v>
      </c>
      <c r="F75" s="386">
        <v>1</v>
      </c>
      <c r="G75" s="815" t="s">
        <v>157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45" t="s">
        <v>1074</v>
      </c>
      <c r="B76" s="393">
        <v>1</v>
      </c>
      <c r="C76" s="73"/>
      <c r="D76" s="386">
        <v>0</v>
      </c>
      <c r="E76" s="386">
        <v>0</v>
      </c>
      <c r="F76" s="386">
        <v>0</v>
      </c>
      <c r="G76" s="815" t="s">
        <v>157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1075</v>
      </c>
      <c r="N76" s="150">
        <f t="shared" si="3"/>
        <v>4</v>
      </c>
    </row>
    <row r="77" spans="1:14" ht="21">
      <c r="A77" s="1046"/>
      <c r="B77" s="393">
        <v>2</v>
      </c>
      <c r="C77" s="73"/>
      <c r="D77" s="386">
        <v>0</v>
      </c>
      <c r="E77" s="386">
        <v>0</v>
      </c>
      <c r="F77" s="386">
        <v>0</v>
      </c>
      <c r="G77" s="815" t="s">
        <v>157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1076</v>
      </c>
      <c r="N77" s="150">
        <f t="shared" si="3"/>
        <v>3</v>
      </c>
    </row>
    <row r="78" spans="1:14" ht="21">
      <c r="A78" s="1046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157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767" t="s">
        <v>1076</v>
      </c>
      <c r="N78" s="312">
        <f t="shared" si="3"/>
        <v>3</v>
      </c>
    </row>
    <row r="79" spans="1:14" ht="54">
      <c r="A79" s="337" t="s">
        <v>1077</v>
      </c>
      <c r="B79" s="397" t="s">
        <v>40</v>
      </c>
      <c r="C79" s="398"/>
      <c r="D79" s="399">
        <v>0</v>
      </c>
      <c r="E79" s="399">
        <v>0</v>
      </c>
      <c r="F79" s="399">
        <v>0</v>
      </c>
      <c r="G79" s="335" t="s">
        <v>157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1076</v>
      </c>
      <c r="N79" s="150">
        <f t="shared" ref="N79" si="5">E79+H79</f>
        <v>3</v>
      </c>
    </row>
    <row r="80" spans="1:14" ht="21">
      <c r="A80" s="387"/>
      <c r="B80" s="388"/>
      <c r="C80" s="389" t="s">
        <v>257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258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1078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M1:M2"/>
    <mergeCell ref="N1:N2"/>
    <mergeCell ref="A62:A63"/>
    <mergeCell ref="A64:A65"/>
    <mergeCell ref="A58:A59"/>
    <mergeCell ref="H1:K1"/>
    <mergeCell ref="L1:L2"/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4" t="s">
        <v>1079</v>
      </c>
      <c r="G1" s="84" t="s">
        <v>1080</v>
      </c>
      <c r="H1" s="84" t="s">
        <v>1081</v>
      </c>
      <c r="I1" s="84" t="s">
        <v>1082</v>
      </c>
      <c r="J1" s="84" t="s">
        <v>1083</v>
      </c>
      <c r="K1" s="84" t="s">
        <v>1084</v>
      </c>
      <c r="L1" s="100" t="s">
        <v>1085</v>
      </c>
      <c r="M1" s="100" t="s">
        <v>1086</v>
      </c>
      <c r="N1" s="100" t="s">
        <v>1087</v>
      </c>
      <c r="O1" s="85" t="s">
        <v>262</v>
      </c>
      <c r="P1" s="85" t="s">
        <v>263</v>
      </c>
      <c r="Q1" s="85" t="s">
        <v>264</v>
      </c>
      <c r="R1" s="85" t="s">
        <v>265</v>
      </c>
      <c r="S1" s="85" t="s">
        <v>266</v>
      </c>
      <c r="T1" s="85" t="s">
        <v>267</v>
      </c>
      <c r="U1" s="85" t="s">
        <v>268</v>
      </c>
      <c r="V1" s="85" t="s">
        <v>269</v>
      </c>
      <c r="W1" s="85" t="s">
        <v>270</v>
      </c>
      <c r="X1" s="101" t="s">
        <v>1088</v>
      </c>
      <c r="Y1" s="109" t="s">
        <v>271</v>
      </c>
    </row>
    <row r="2" spans="1:25">
      <c r="A2" s="403" t="s">
        <v>1089</v>
      </c>
      <c r="B2" s="404" t="s">
        <v>479</v>
      </c>
      <c r="C2" s="404">
        <v>1</v>
      </c>
      <c r="D2" s="404" t="s">
        <v>1090</v>
      </c>
      <c r="E2" s="404" t="s">
        <v>1091</v>
      </c>
      <c r="F2" s="404" t="s">
        <v>1092</v>
      </c>
      <c r="G2" s="404" t="s">
        <v>152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1093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15" t="s">
        <v>157</v>
      </c>
    </row>
    <row r="3" spans="1:25">
      <c r="A3" s="403" t="s">
        <v>1089</v>
      </c>
      <c r="B3" s="404" t="s">
        <v>479</v>
      </c>
      <c r="C3" s="404">
        <v>2</v>
      </c>
      <c r="D3" s="404" t="s">
        <v>1094</v>
      </c>
      <c r="E3" s="404" t="s">
        <v>479</v>
      </c>
      <c r="F3" s="404" t="s">
        <v>1092</v>
      </c>
      <c r="G3" s="404" t="s">
        <v>152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1093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15" t="s">
        <v>157</v>
      </c>
    </row>
    <row r="4" spans="1:25">
      <c r="A4" s="403" t="s">
        <v>1089</v>
      </c>
      <c r="B4" s="404" t="s">
        <v>479</v>
      </c>
      <c r="C4" s="404">
        <v>4</v>
      </c>
      <c r="D4" s="404" t="s">
        <v>1095</v>
      </c>
      <c r="E4" s="404" t="s">
        <v>1096</v>
      </c>
      <c r="F4" s="404" t="s">
        <v>1092</v>
      </c>
      <c r="G4" s="404" t="s">
        <v>152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1093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15" t="s">
        <v>157</v>
      </c>
    </row>
    <row r="5" spans="1:25">
      <c r="A5" s="403" t="s">
        <v>1089</v>
      </c>
      <c r="B5" s="404" t="s">
        <v>479</v>
      </c>
      <c r="C5" s="404">
        <v>5</v>
      </c>
      <c r="D5" s="404" t="s">
        <v>483</v>
      </c>
      <c r="E5" s="404" t="s">
        <v>1097</v>
      </c>
      <c r="F5" s="404" t="s">
        <v>1098</v>
      </c>
      <c r="G5" s="106" t="s">
        <v>1099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1093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15" t="s">
        <v>157</v>
      </c>
    </row>
    <row r="6" spans="1:25">
      <c r="A6" s="403" t="s">
        <v>1089</v>
      </c>
      <c r="B6" s="404" t="s">
        <v>479</v>
      </c>
      <c r="C6" s="404">
        <v>5</v>
      </c>
      <c r="D6" s="404" t="s">
        <v>483</v>
      </c>
      <c r="E6" s="404" t="s">
        <v>1097</v>
      </c>
      <c r="F6" s="404" t="s">
        <v>1092</v>
      </c>
      <c r="G6" s="404" t="s">
        <v>152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1093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15" t="s">
        <v>157</v>
      </c>
    </row>
    <row r="7" spans="1:25">
      <c r="A7" s="403" t="s">
        <v>1089</v>
      </c>
      <c r="B7" s="404" t="s">
        <v>479</v>
      </c>
      <c r="C7" s="404">
        <v>5</v>
      </c>
      <c r="D7" s="404" t="s">
        <v>483</v>
      </c>
      <c r="E7" s="404" t="s">
        <v>1100</v>
      </c>
      <c r="F7" s="404" t="s">
        <v>617</v>
      </c>
      <c r="G7" s="106" t="s">
        <v>1099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1093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15" t="s">
        <v>157</v>
      </c>
    </row>
    <row r="8" spans="1:25">
      <c r="A8" s="403" t="s">
        <v>1101</v>
      </c>
      <c r="B8" s="404" t="s">
        <v>1102</v>
      </c>
      <c r="C8" s="404">
        <v>3</v>
      </c>
      <c r="D8" s="404" t="s">
        <v>820</v>
      </c>
      <c r="E8" s="404" t="s">
        <v>1096</v>
      </c>
      <c r="F8" s="404" t="s">
        <v>1092</v>
      </c>
      <c r="G8" s="404" t="s">
        <v>152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1093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15" t="s">
        <v>157</v>
      </c>
    </row>
    <row r="9" spans="1:25">
      <c r="A9" s="403" t="s">
        <v>1101</v>
      </c>
      <c r="B9" s="404" t="s">
        <v>1103</v>
      </c>
      <c r="C9" s="404">
        <v>1</v>
      </c>
      <c r="D9" s="404" t="s">
        <v>1104</v>
      </c>
      <c r="E9" s="404" t="s">
        <v>1105</v>
      </c>
      <c r="F9" s="404" t="s">
        <v>1092</v>
      </c>
      <c r="G9" s="404" t="s">
        <v>152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1106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15" t="s">
        <v>157</v>
      </c>
    </row>
    <row r="10" spans="1:25">
      <c r="A10" s="403" t="s">
        <v>1101</v>
      </c>
      <c r="B10" s="404" t="s">
        <v>1103</v>
      </c>
      <c r="C10" s="404">
        <v>1</v>
      </c>
      <c r="D10" s="404" t="s">
        <v>1107</v>
      </c>
      <c r="E10" s="404" t="s">
        <v>1096</v>
      </c>
      <c r="F10" s="404" t="s">
        <v>1092</v>
      </c>
      <c r="G10" s="404" t="s">
        <v>152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1106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15" t="s">
        <v>157</v>
      </c>
    </row>
    <row r="11" spans="1:25">
      <c r="A11" s="403" t="s">
        <v>1101</v>
      </c>
      <c r="B11" s="404" t="s">
        <v>1103</v>
      </c>
      <c r="C11" s="404">
        <v>2</v>
      </c>
      <c r="D11" s="404" t="s">
        <v>1108</v>
      </c>
      <c r="E11" s="404" t="s">
        <v>1109</v>
      </c>
      <c r="F11" s="404" t="s">
        <v>1092</v>
      </c>
      <c r="G11" s="404" t="s">
        <v>152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1106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15" t="s">
        <v>157</v>
      </c>
    </row>
    <row r="12" spans="1:25">
      <c r="A12" s="403" t="s">
        <v>1101</v>
      </c>
      <c r="B12" s="404" t="s">
        <v>1103</v>
      </c>
      <c r="C12" s="404">
        <v>2</v>
      </c>
      <c r="D12" s="404" t="s">
        <v>1108</v>
      </c>
      <c r="E12" s="404" t="s">
        <v>1096</v>
      </c>
      <c r="F12" s="404" t="s">
        <v>1092</v>
      </c>
      <c r="G12" s="404" t="s">
        <v>152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1093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15" t="s">
        <v>157</v>
      </c>
    </row>
    <row r="13" spans="1:25">
      <c r="A13" s="403" t="s">
        <v>1101</v>
      </c>
      <c r="B13" s="404" t="s">
        <v>1110</v>
      </c>
      <c r="C13" s="404">
        <v>1</v>
      </c>
      <c r="D13" s="404" t="s">
        <v>1111</v>
      </c>
      <c r="E13" s="404" t="s">
        <v>1112</v>
      </c>
      <c r="F13" s="404" t="s">
        <v>1092</v>
      </c>
      <c r="G13" s="404" t="s">
        <v>152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1106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15" t="s">
        <v>157</v>
      </c>
    </row>
    <row r="14" spans="1:25">
      <c r="A14" s="403" t="s">
        <v>1101</v>
      </c>
      <c r="B14" s="404" t="s">
        <v>1110</v>
      </c>
      <c r="C14" s="404">
        <v>2</v>
      </c>
      <c r="D14" s="404" t="s">
        <v>1113</v>
      </c>
      <c r="E14" s="404" t="s">
        <v>1114</v>
      </c>
      <c r="F14" s="404" t="s">
        <v>1092</v>
      </c>
      <c r="G14" s="404" t="s">
        <v>152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1106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15" t="s">
        <v>157</v>
      </c>
    </row>
    <row r="15" spans="1:25">
      <c r="A15" s="403" t="s">
        <v>1089</v>
      </c>
      <c r="B15" s="404" t="s">
        <v>1115</v>
      </c>
      <c r="C15" s="404">
        <v>1</v>
      </c>
      <c r="D15" s="404" t="s">
        <v>1116</v>
      </c>
      <c r="E15" s="404" t="s">
        <v>479</v>
      </c>
      <c r="F15" s="404" t="s">
        <v>1092</v>
      </c>
      <c r="G15" s="404" t="s">
        <v>152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1093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15" t="s">
        <v>157</v>
      </c>
    </row>
    <row r="16" spans="1:25">
      <c r="A16" s="403" t="s">
        <v>1089</v>
      </c>
      <c r="B16" s="404" t="s">
        <v>1115</v>
      </c>
      <c r="C16" s="404">
        <v>1</v>
      </c>
      <c r="D16" s="404" t="s">
        <v>1117</v>
      </c>
      <c r="E16" s="404" t="s">
        <v>1118</v>
      </c>
      <c r="F16" s="404" t="s">
        <v>1092</v>
      </c>
      <c r="G16" s="404" t="s">
        <v>152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1093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15" t="s">
        <v>157</v>
      </c>
    </row>
    <row r="17" spans="1:25" ht="36">
      <c r="A17" s="403" t="s">
        <v>1089</v>
      </c>
      <c r="B17" s="404" t="s">
        <v>1115</v>
      </c>
      <c r="C17" s="404">
        <v>1</v>
      </c>
      <c r="D17" s="404" t="s">
        <v>1119</v>
      </c>
      <c r="E17" s="404" t="s">
        <v>1120</v>
      </c>
      <c r="F17" s="404" t="s">
        <v>1092</v>
      </c>
      <c r="G17" s="404" t="s">
        <v>152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1121</v>
      </c>
      <c r="N17" s="107" t="s">
        <v>1122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15" t="s">
        <v>157</v>
      </c>
    </row>
    <row r="18" spans="1:25">
      <c r="A18" s="403" t="s">
        <v>1089</v>
      </c>
      <c r="B18" s="404" t="s">
        <v>1115</v>
      </c>
      <c r="C18" s="404">
        <v>2</v>
      </c>
      <c r="D18" s="404" t="s">
        <v>1123</v>
      </c>
      <c r="E18" s="404" t="s">
        <v>1124</v>
      </c>
      <c r="F18" s="404" t="s">
        <v>1092</v>
      </c>
      <c r="G18" s="404" t="s">
        <v>152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1093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15" t="s">
        <v>157</v>
      </c>
    </row>
    <row r="19" spans="1:25">
      <c r="A19" s="403" t="s">
        <v>1089</v>
      </c>
      <c r="B19" s="404" t="s">
        <v>1115</v>
      </c>
      <c r="C19" s="404">
        <v>2</v>
      </c>
      <c r="D19" s="404" t="s">
        <v>1125</v>
      </c>
      <c r="E19" s="404" t="s">
        <v>1126</v>
      </c>
      <c r="F19" s="404" t="s">
        <v>1092</v>
      </c>
      <c r="G19" s="404" t="s">
        <v>152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1093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15" t="s">
        <v>157</v>
      </c>
    </row>
    <row r="20" spans="1:25" ht="36">
      <c r="A20" s="403" t="s">
        <v>1089</v>
      </c>
      <c r="B20" s="404" t="s">
        <v>1115</v>
      </c>
      <c r="C20" s="404">
        <v>2</v>
      </c>
      <c r="D20" s="404" t="s">
        <v>1127</v>
      </c>
      <c r="E20" s="404" t="s">
        <v>1120</v>
      </c>
      <c r="F20" s="404" t="s">
        <v>1092</v>
      </c>
      <c r="G20" s="404" t="s">
        <v>152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1121</v>
      </c>
      <c r="N20" s="107" t="s">
        <v>1122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15" t="s">
        <v>157</v>
      </c>
    </row>
    <row r="21" spans="1:25" ht="36">
      <c r="A21" s="403" t="s">
        <v>1089</v>
      </c>
      <c r="B21" s="404" t="s">
        <v>1115</v>
      </c>
      <c r="C21" s="404">
        <v>3</v>
      </c>
      <c r="D21" s="404" t="s">
        <v>1128</v>
      </c>
      <c r="E21" s="404" t="s">
        <v>1120</v>
      </c>
      <c r="F21" s="404" t="s">
        <v>1092</v>
      </c>
      <c r="G21" s="404" t="s">
        <v>152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1121</v>
      </c>
      <c r="N21" s="107" t="s">
        <v>1122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15" t="s">
        <v>157</v>
      </c>
    </row>
    <row r="22" spans="1:25">
      <c r="A22" s="403" t="s">
        <v>1089</v>
      </c>
      <c r="B22" s="404" t="s">
        <v>1115</v>
      </c>
      <c r="C22" s="404">
        <v>4</v>
      </c>
      <c r="D22" s="404" t="s">
        <v>1129</v>
      </c>
      <c r="E22" s="404" t="s">
        <v>1130</v>
      </c>
      <c r="F22" s="404" t="s">
        <v>1092</v>
      </c>
      <c r="G22" s="404" t="s">
        <v>152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1093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15" t="s">
        <v>157</v>
      </c>
    </row>
    <row r="23" spans="1:25">
      <c r="A23" s="403" t="s">
        <v>1089</v>
      </c>
      <c r="B23" s="404" t="s">
        <v>1115</v>
      </c>
      <c r="C23" s="404">
        <v>4</v>
      </c>
      <c r="D23" s="404" t="s">
        <v>1131</v>
      </c>
      <c r="E23" s="404" t="s">
        <v>1096</v>
      </c>
      <c r="F23" s="404" t="s">
        <v>1092</v>
      </c>
      <c r="G23" s="404" t="s">
        <v>152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1106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15" t="s">
        <v>157</v>
      </c>
    </row>
    <row r="24" spans="1:25" ht="36">
      <c r="A24" s="403" t="s">
        <v>1089</v>
      </c>
      <c r="B24" s="404" t="s">
        <v>1115</v>
      </c>
      <c r="C24" s="404">
        <v>4</v>
      </c>
      <c r="D24" s="404" t="s">
        <v>1132</v>
      </c>
      <c r="E24" s="404" t="s">
        <v>1120</v>
      </c>
      <c r="F24" s="404" t="s">
        <v>1092</v>
      </c>
      <c r="G24" s="404" t="s">
        <v>152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1121</v>
      </c>
      <c r="N24" s="107" t="s">
        <v>1122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15" t="s">
        <v>157</v>
      </c>
    </row>
    <row r="25" spans="1:25">
      <c r="A25" s="403" t="s">
        <v>1089</v>
      </c>
      <c r="B25" s="404" t="s">
        <v>1115</v>
      </c>
      <c r="C25" s="404">
        <v>4</v>
      </c>
      <c r="D25" s="404" t="s">
        <v>1133</v>
      </c>
      <c r="E25" s="404" t="s">
        <v>1134</v>
      </c>
      <c r="F25" s="404" t="s">
        <v>1092</v>
      </c>
      <c r="G25" s="404" t="s">
        <v>152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1093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15" t="s">
        <v>157</v>
      </c>
    </row>
    <row r="26" spans="1:25">
      <c r="A26" s="403" t="s">
        <v>1089</v>
      </c>
      <c r="B26" s="404" t="s">
        <v>1115</v>
      </c>
      <c r="C26" s="404">
        <v>5</v>
      </c>
      <c r="D26" s="404" t="s">
        <v>1135</v>
      </c>
      <c r="E26" s="404" t="s">
        <v>1136</v>
      </c>
      <c r="F26" s="404" t="s">
        <v>1092</v>
      </c>
      <c r="G26" s="404" t="s">
        <v>152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1093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15" t="s">
        <v>157</v>
      </c>
    </row>
    <row r="27" spans="1:25">
      <c r="A27" s="403" t="s">
        <v>776</v>
      </c>
      <c r="B27" s="404" t="s">
        <v>794</v>
      </c>
      <c r="C27" s="404">
        <v>1</v>
      </c>
      <c r="D27" s="404" t="s">
        <v>787</v>
      </c>
      <c r="E27" s="404" t="s">
        <v>479</v>
      </c>
      <c r="F27" s="404" t="s">
        <v>1092</v>
      </c>
      <c r="G27" s="404" t="s">
        <v>152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1093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15" t="s">
        <v>157</v>
      </c>
    </row>
    <row r="28" spans="1:25">
      <c r="A28" s="403" t="s">
        <v>1137</v>
      </c>
      <c r="B28" s="404" t="s">
        <v>1138</v>
      </c>
      <c r="C28" s="404">
        <v>1</v>
      </c>
      <c r="D28" s="404" t="s">
        <v>554</v>
      </c>
      <c r="E28" s="404" t="s">
        <v>1139</v>
      </c>
      <c r="F28" s="404" t="s">
        <v>1092</v>
      </c>
      <c r="G28" s="404" t="s">
        <v>152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1093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15" t="s">
        <v>157</v>
      </c>
    </row>
    <row r="29" spans="1:25">
      <c r="A29" s="403" t="s">
        <v>1137</v>
      </c>
      <c r="B29" s="404" t="s">
        <v>1138</v>
      </c>
      <c r="C29" s="404">
        <v>1</v>
      </c>
      <c r="D29" s="404" t="s">
        <v>561</v>
      </c>
      <c r="E29" s="404" t="s">
        <v>1140</v>
      </c>
      <c r="F29" s="404" t="s">
        <v>1092</v>
      </c>
      <c r="G29" s="404" t="s">
        <v>152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1093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15" t="s">
        <v>157</v>
      </c>
    </row>
    <row r="30" spans="1:25">
      <c r="A30" s="403" t="s">
        <v>1137</v>
      </c>
      <c r="B30" s="404" t="s">
        <v>1138</v>
      </c>
      <c r="C30" s="404">
        <v>2</v>
      </c>
      <c r="D30" s="404" t="s">
        <v>1141</v>
      </c>
      <c r="E30" s="404" t="s">
        <v>1096</v>
      </c>
      <c r="F30" s="404" t="s">
        <v>1092</v>
      </c>
      <c r="G30" s="404" t="s">
        <v>152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1093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15" t="s">
        <v>157</v>
      </c>
    </row>
    <row r="31" spans="1:25">
      <c r="A31" s="403" t="s">
        <v>1137</v>
      </c>
      <c r="B31" s="404" t="s">
        <v>1138</v>
      </c>
      <c r="C31" s="404">
        <v>2</v>
      </c>
      <c r="D31" s="404" t="s">
        <v>560</v>
      </c>
      <c r="E31" s="404" t="s">
        <v>1142</v>
      </c>
      <c r="F31" s="404" t="s">
        <v>1092</v>
      </c>
      <c r="G31" s="404" t="s">
        <v>152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1093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15" t="s">
        <v>157</v>
      </c>
    </row>
    <row r="32" spans="1:25">
      <c r="A32" s="403" t="s">
        <v>1137</v>
      </c>
      <c r="B32" s="404" t="s">
        <v>1138</v>
      </c>
      <c r="C32" s="404">
        <v>2</v>
      </c>
      <c r="D32" s="404" t="s">
        <v>1143</v>
      </c>
      <c r="E32" s="404" t="s">
        <v>1144</v>
      </c>
      <c r="F32" s="404" t="s">
        <v>1092</v>
      </c>
      <c r="G32" s="404" t="s">
        <v>152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1093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15" t="s">
        <v>157</v>
      </c>
    </row>
    <row r="33" spans="1:25">
      <c r="A33" s="403" t="s">
        <v>1137</v>
      </c>
      <c r="B33" s="404" t="s">
        <v>1145</v>
      </c>
      <c r="C33" s="404">
        <v>1</v>
      </c>
      <c r="D33" s="404" t="s">
        <v>1146</v>
      </c>
      <c r="E33" s="404" t="s">
        <v>1147</v>
      </c>
      <c r="F33" s="404" t="s">
        <v>1092</v>
      </c>
      <c r="G33" s="404" t="s">
        <v>152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1093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15" t="s">
        <v>157</v>
      </c>
    </row>
    <row r="34" spans="1:25">
      <c r="A34" s="403" t="s">
        <v>1137</v>
      </c>
      <c r="B34" s="404" t="s">
        <v>1145</v>
      </c>
      <c r="C34" s="404">
        <v>6</v>
      </c>
      <c r="D34" s="404" t="s">
        <v>1148</v>
      </c>
      <c r="E34" s="404" t="s">
        <v>1149</v>
      </c>
      <c r="F34" s="404" t="s">
        <v>1092</v>
      </c>
      <c r="G34" s="404" t="s">
        <v>152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1093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15" t="s">
        <v>157</v>
      </c>
    </row>
    <row r="35" spans="1:25" ht="36">
      <c r="A35" s="403" t="s">
        <v>776</v>
      </c>
      <c r="B35" s="404" t="s">
        <v>1150</v>
      </c>
      <c r="C35" s="404">
        <v>1</v>
      </c>
      <c r="D35" s="404" t="s">
        <v>1151</v>
      </c>
      <c r="E35" s="404" t="s">
        <v>1134</v>
      </c>
      <c r="F35" s="404" t="s">
        <v>1092</v>
      </c>
      <c r="G35" s="404" t="s">
        <v>152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1093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15" t="s">
        <v>157</v>
      </c>
    </row>
    <row r="36" spans="1:25">
      <c r="A36" s="403" t="s">
        <v>776</v>
      </c>
      <c r="B36" s="404" t="s">
        <v>1152</v>
      </c>
      <c r="C36" s="404">
        <v>1</v>
      </c>
      <c r="D36" s="404" t="s">
        <v>1153</v>
      </c>
      <c r="E36" s="404" t="s">
        <v>1096</v>
      </c>
      <c r="F36" s="404" t="s">
        <v>1092</v>
      </c>
      <c r="G36" s="404" t="s">
        <v>152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1093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15" t="s">
        <v>157</v>
      </c>
    </row>
    <row r="37" spans="1:25">
      <c r="A37" s="403" t="s">
        <v>1137</v>
      </c>
      <c r="B37" s="404" t="s">
        <v>1154</v>
      </c>
      <c r="C37" s="404">
        <v>2</v>
      </c>
      <c r="D37" s="404" t="s">
        <v>1155</v>
      </c>
      <c r="E37" s="404" t="s">
        <v>1156</v>
      </c>
      <c r="F37" s="404" t="s">
        <v>1092</v>
      </c>
      <c r="G37" s="404" t="s">
        <v>152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1093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15" t="s">
        <v>157</v>
      </c>
    </row>
    <row r="38" spans="1:25">
      <c r="A38" s="403" t="s">
        <v>1137</v>
      </c>
      <c r="B38" s="404" t="s">
        <v>1157</v>
      </c>
      <c r="C38" s="404">
        <v>2</v>
      </c>
      <c r="D38" s="404" t="s">
        <v>1158</v>
      </c>
      <c r="E38" s="404" t="s">
        <v>1159</v>
      </c>
      <c r="F38" s="404" t="s">
        <v>1092</v>
      </c>
      <c r="G38" s="404" t="s">
        <v>152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1093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15" t="s">
        <v>157</v>
      </c>
    </row>
    <row r="39" spans="1:25">
      <c r="A39" s="403" t="s">
        <v>1089</v>
      </c>
      <c r="B39" s="404" t="s">
        <v>492</v>
      </c>
      <c r="C39" s="404">
        <v>1</v>
      </c>
      <c r="D39" s="404" t="s">
        <v>493</v>
      </c>
      <c r="E39" s="404" t="s">
        <v>1160</v>
      </c>
      <c r="F39" s="404" t="s">
        <v>1161</v>
      </c>
      <c r="G39" s="106" t="s">
        <v>1099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1093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15" t="s">
        <v>157</v>
      </c>
    </row>
    <row r="40" spans="1:25">
      <c r="A40" s="403" t="s">
        <v>1089</v>
      </c>
      <c r="B40" s="404" t="s">
        <v>492</v>
      </c>
      <c r="C40" s="404">
        <v>1</v>
      </c>
      <c r="D40" s="404" t="s">
        <v>496</v>
      </c>
      <c r="E40" s="404" t="s">
        <v>1160</v>
      </c>
      <c r="F40" s="404" t="s">
        <v>1161</v>
      </c>
      <c r="G40" s="106" t="s">
        <v>1099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1093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15" t="s">
        <v>157</v>
      </c>
    </row>
    <row r="41" spans="1:25">
      <c r="A41" s="403" t="s">
        <v>1089</v>
      </c>
      <c r="B41" s="404" t="s">
        <v>406</v>
      </c>
      <c r="C41" s="404">
        <v>1</v>
      </c>
      <c r="D41" s="404" t="s">
        <v>360</v>
      </c>
      <c r="E41" s="404" t="s">
        <v>1162</v>
      </c>
      <c r="F41" s="404" t="s">
        <v>1163</v>
      </c>
      <c r="G41" s="106" t="s">
        <v>1099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1093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15" t="s">
        <v>157</v>
      </c>
    </row>
    <row r="42" spans="1:25">
      <c r="A42" s="403" t="s">
        <v>1089</v>
      </c>
      <c r="B42" s="404" t="s">
        <v>406</v>
      </c>
      <c r="C42" s="404">
        <v>1</v>
      </c>
      <c r="D42" s="404" t="s">
        <v>360</v>
      </c>
      <c r="E42" s="404" t="s">
        <v>1164</v>
      </c>
      <c r="F42" s="404" t="s">
        <v>1161</v>
      </c>
      <c r="G42" s="106" t="s">
        <v>1099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1093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15" t="s">
        <v>157</v>
      </c>
    </row>
    <row r="43" spans="1:25">
      <c r="A43" s="403" t="s">
        <v>1089</v>
      </c>
      <c r="B43" s="404" t="s">
        <v>406</v>
      </c>
      <c r="C43" s="404">
        <v>1</v>
      </c>
      <c r="D43" s="404" t="s">
        <v>360</v>
      </c>
      <c r="E43" s="404" t="s">
        <v>1164</v>
      </c>
      <c r="F43" s="404" t="s">
        <v>1161</v>
      </c>
      <c r="G43" s="106" t="s">
        <v>1099</v>
      </c>
      <c r="H43" s="103" t="s">
        <v>40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1093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15" t="s">
        <v>157</v>
      </c>
    </row>
    <row r="44" spans="1:25">
      <c r="A44" s="403" t="s">
        <v>1165</v>
      </c>
      <c r="B44" s="404" t="s">
        <v>406</v>
      </c>
      <c r="C44" s="404">
        <v>1</v>
      </c>
      <c r="D44" s="404" t="s">
        <v>423</v>
      </c>
      <c r="E44" s="404" t="s">
        <v>1162</v>
      </c>
      <c r="F44" s="404" t="s">
        <v>1163</v>
      </c>
      <c r="G44" s="106" t="s">
        <v>1099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1093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15" t="s">
        <v>157</v>
      </c>
    </row>
    <row r="45" spans="1:25">
      <c r="A45" s="403" t="s">
        <v>1165</v>
      </c>
      <c r="B45" s="404" t="s">
        <v>406</v>
      </c>
      <c r="C45" s="404">
        <v>1</v>
      </c>
      <c r="D45" s="404" t="s">
        <v>423</v>
      </c>
      <c r="E45" s="404" t="s">
        <v>1164</v>
      </c>
      <c r="F45" s="404" t="s">
        <v>1161</v>
      </c>
      <c r="G45" s="106" t="s">
        <v>1099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1093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15" t="s">
        <v>157</v>
      </c>
    </row>
    <row r="46" spans="1:25">
      <c r="A46" s="403" t="s">
        <v>1165</v>
      </c>
      <c r="B46" s="404" t="s">
        <v>406</v>
      </c>
      <c r="C46" s="404">
        <v>1</v>
      </c>
      <c r="D46" s="404" t="s">
        <v>423</v>
      </c>
      <c r="E46" s="404" t="s">
        <v>1164</v>
      </c>
      <c r="F46" s="404" t="s">
        <v>1166</v>
      </c>
      <c r="G46" s="106" t="s">
        <v>1099</v>
      </c>
      <c r="H46" s="103" t="s">
        <v>40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1093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15" t="s">
        <v>157</v>
      </c>
    </row>
    <row r="47" spans="1:25">
      <c r="A47" s="403" t="s">
        <v>1165</v>
      </c>
      <c r="B47" s="404" t="s">
        <v>406</v>
      </c>
      <c r="C47" s="404">
        <v>2</v>
      </c>
      <c r="D47" s="404" t="s">
        <v>434</v>
      </c>
      <c r="E47" s="404" t="s">
        <v>1167</v>
      </c>
      <c r="F47" s="404" t="s">
        <v>1092</v>
      </c>
      <c r="G47" s="404" t="s">
        <v>152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1106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15" t="s">
        <v>157</v>
      </c>
    </row>
    <row r="48" spans="1:25">
      <c r="A48" s="403" t="s">
        <v>1165</v>
      </c>
      <c r="B48" s="404" t="s">
        <v>406</v>
      </c>
      <c r="C48" s="404">
        <v>3</v>
      </c>
      <c r="D48" s="404" t="s">
        <v>436</v>
      </c>
      <c r="E48" s="404" t="s">
        <v>1167</v>
      </c>
      <c r="F48" s="404" t="s">
        <v>1092</v>
      </c>
      <c r="G48" s="404" t="s">
        <v>152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1093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15" t="s">
        <v>157</v>
      </c>
    </row>
    <row r="49" spans="1:25">
      <c r="A49" s="403" t="s">
        <v>1168</v>
      </c>
      <c r="B49" s="404" t="s">
        <v>406</v>
      </c>
      <c r="C49" s="404" t="s">
        <v>948</v>
      </c>
      <c r="D49" s="404" t="s">
        <v>414</v>
      </c>
      <c r="E49" s="404" t="s">
        <v>1160</v>
      </c>
      <c r="F49" s="404" t="s">
        <v>1161</v>
      </c>
      <c r="G49" s="106" t="s">
        <v>1099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1093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15" t="s">
        <v>157</v>
      </c>
    </row>
    <row r="50" spans="1:25">
      <c r="A50" s="403" t="s">
        <v>1165</v>
      </c>
      <c r="B50" s="404" t="s">
        <v>703</v>
      </c>
      <c r="C50" s="404">
        <v>1</v>
      </c>
      <c r="D50" s="404" t="s">
        <v>709</v>
      </c>
      <c r="E50" s="404" t="s">
        <v>1160</v>
      </c>
      <c r="F50" s="404" t="s">
        <v>1161</v>
      </c>
      <c r="G50" s="106" t="s">
        <v>1099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1093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15" t="s">
        <v>157</v>
      </c>
    </row>
    <row r="51" spans="1:25">
      <c r="A51" s="403" t="s">
        <v>1165</v>
      </c>
      <c r="B51" s="404" t="s">
        <v>1169</v>
      </c>
      <c r="C51" s="404">
        <v>1</v>
      </c>
      <c r="D51" s="404" t="s">
        <v>1169</v>
      </c>
      <c r="E51" s="404" t="s">
        <v>1170</v>
      </c>
      <c r="F51" s="404" t="s">
        <v>1092</v>
      </c>
      <c r="G51" s="404" t="s">
        <v>152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1106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15" t="s">
        <v>157</v>
      </c>
    </row>
    <row r="52" spans="1:25">
      <c r="A52" s="403" t="s">
        <v>1089</v>
      </c>
      <c r="B52" s="404" t="s">
        <v>1171</v>
      </c>
      <c r="C52" s="404">
        <v>1</v>
      </c>
      <c r="D52" s="404" t="s">
        <v>1171</v>
      </c>
      <c r="E52" s="404" t="s">
        <v>1170</v>
      </c>
      <c r="F52" s="404" t="s">
        <v>1092</v>
      </c>
      <c r="G52" s="404" t="s">
        <v>152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1106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15" t="s">
        <v>157</v>
      </c>
    </row>
    <row r="53" spans="1:25">
      <c r="A53" s="403" t="s">
        <v>1089</v>
      </c>
      <c r="B53" s="404" t="s">
        <v>1172</v>
      </c>
      <c r="C53" s="404">
        <v>1</v>
      </c>
      <c r="D53" s="404" t="s">
        <v>1172</v>
      </c>
      <c r="E53" s="404" t="s">
        <v>1170</v>
      </c>
      <c r="F53" s="404" t="s">
        <v>1092</v>
      </c>
      <c r="G53" s="404" t="s">
        <v>152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1106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15" t="s">
        <v>157</v>
      </c>
    </row>
    <row r="54" spans="1:25">
      <c r="A54" s="403" t="s">
        <v>1137</v>
      </c>
      <c r="B54" s="404" t="s">
        <v>1173</v>
      </c>
      <c r="C54" s="404">
        <v>1</v>
      </c>
      <c r="D54" s="404" t="s">
        <v>1173</v>
      </c>
      <c r="E54" s="404" t="s">
        <v>1174</v>
      </c>
      <c r="F54" s="404" t="s">
        <v>1092</v>
      </c>
      <c r="G54" s="404" t="s">
        <v>152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1093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15" t="s">
        <v>157</v>
      </c>
    </row>
    <row r="55" spans="1:25">
      <c r="A55" s="403" t="s">
        <v>1137</v>
      </c>
      <c r="B55" s="404" t="s">
        <v>1173</v>
      </c>
      <c r="C55" s="404">
        <v>1</v>
      </c>
      <c r="D55" s="404" t="s">
        <v>1173</v>
      </c>
      <c r="E55" s="404" t="s">
        <v>1174</v>
      </c>
      <c r="F55" s="404" t="s">
        <v>1161</v>
      </c>
      <c r="G55" s="106" t="s">
        <v>1099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1093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15" t="s">
        <v>157</v>
      </c>
    </row>
    <row r="56" spans="1:25">
      <c r="A56" s="403" t="s">
        <v>1137</v>
      </c>
      <c r="B56" s="404" t="s">
        <v>1175</v>
      </c>
      <c r="C56" s="404">
        <v>1</v>
      </c>
      <c r="D56" s="404" t="s">
        <v>582</v>
      </c>
      <c r="E56" s="404" t="s">
        <v>1096</v>
      </c>
      <c r="F56" s="404" t="s">
        <v>1092</v>
      </c>
      <c r="G56" s="404" t="s">
        <v>152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1106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15" t="s">
        <v>157</v>
      </c>
    </row>
    <row r="57" spans="1:25">
      <c r="A57" s="403" t="s">
        <v>1137</v>
      </c>
      <c r="B57" s="404" t="s">
        <v>1175</v>
      </c>
      <c r="C57" s="404">
        <v>1</v>
      </c>
      <c r="D57" s="404" t="s">
        <v>583</v>
      </c>
      <c r="E57" s="404" t="s">
        <v>1096</v>
      </c>
      <c r="F57" s="404" t="s">
        <v>1092</v>
      </c>
      <c r="G57" s="404" t="s">
        <v>152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1106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15" t="s">
        <v>157</v>
      </c>
    </row>
    <row r="58" spans="1:25">
      <c r="A58" s="403" t="s">
        <v>1137</v>
      </c>
      <c r="B58" s="404" t="s">
        <v>1176</v>
      </c>
      <c r="C58" s="404">
        <v>1</v>
      </c>
      <c r="D58" s="404" t="s">
        <v>1177</v>
      </c>
      <c r="E58" s="404" t="s">
        <v>1096</v>
      </c>
      <c r="F58" s="404" t="s">
        <v>1092</v>
      </c>
      <c r="G58" s="404" t="s">
        <v>152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1093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15" t="s">
        <v>157</v>
      </c>
    </row>
    <row r="59" spans="1:25" ht="36">
      <c r="A59" s="403" t="s">
        <v>1168</v>
      </c>
      <c r="B59" s="404" t="s">
        <v>1178</v>
      </c>
      <c r="C59" s="404">
        <v>1</v>
      </c>
      <c r="D59" s="404" t="s">
        <v>697</v>
      </c>
      <c r="E59" s="404" t="s">
        <v>1167</v>
      </c>
      <c r="F59" s="404" t="s">
        <v>1092</v>
      </c>
      <c r="G59" s="404" t="s">
        <v>152</v>
      </c>
      <c r="H59" s="103" t="s">
        <v>40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1093</v>
      </c>
      <c r="N59" s="405" t="s">
        <v>1179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15" t="s">
        <v>157</v>
      </c>
    </row>
    <row r="60" spans="1:25">
      <c r="A60" s="403" t="s">
        <v>1168</v>
      </c>
      <c r="B60" s="404" t="s">
        <v>1178</v>
      </c>
      <c r="C60" s="404">
        <v>1</v>
      </c>
      <c r="D60" s="404" t="s">
        <v>1180</v>
      </c>
      <c r="E60" s="404" t="s">
        <v>1181</v>
      </c>
      <c r="F60" s="404" t="s">
        <v>1092</v>
      </c>
      <c r="G60" s="404" t="s">
        <v>152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1106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15" t="s">
        <v>157</v>
      </c>
    </row>
    <row r="61" spans="1:25" ht="36">
      <c r="A61" s="403" t="s">
        <v>1168</v>
      </c>
      <c r="B61" s="404" t="s">
        <v>1182</v>
      </c>
      <c r="C61" s="404">
        <v>1</v>
      </c>
      <c r="D61" s="404" t="s">
        <v>693</v>
      </c>
      <c r="E61" s="404" t="s">
        <v>1167</v>
      </c>
      <c r="F61" s="404" t="s">
        <v>1092</v>
      </c>
      <c r="G61" s="404" t="s">
        <v>152</v>
      </c>
      <c r="H61" s="103" t="s">
        <v>40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1093</v>
      </c>
      <c r="N61" s="405" t="s">
        <v>1183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15" t="s">
        <v>157</v>
      </c>
    </row>
    <row r="62" spans="1:25">
      <c r="A62" s="403" t="s">
        <v>1165</v>
      </c>
      <c r="B62" s="404" t="s">
        <v>1184</v>
      </c>
      <c r="C62" s="404">
        <v>1</v>
      </c>
      <c r="D62" s="404" t="s">
        <v>1185</v>
      </c>
      <c r="E62" s="404" t="s">
        <v>1096</v>
      </c>
      <c r="F62" s="404" t="s">
        <v>1092</v>
      </c>
      <c r="G62" s="404" t="s">
        <v>152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1106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15" t="s">
        <v>157</v>
      </c>
    </row>
    <row r="63" spans="1:25">
      <c r="A63" s="403" t="s">
        <v>1168</v>
      </c>
      <c r="B63" s="404" t="s">
        <v>1186</v>
      </c>
      <c r="C63" s="404">
        <v>1</v>
      </c>
      <c r="D63" s="404" t="s">
        <v>653</v>
      </c>
      <c r="E63" s="404" t="s">
        <v>1167</v>
      </c>
      <c r="F63" s="404" t="s">
        <v>1092</v>
      </c>
      <c r="G63" s="404" t="s">
        <v>152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1093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15" t="s">
        <v>157</v>
      </c>
    </row>
    <row r="64" spans="1:25">
      <c r="A64" s="403" t="s">
        <v>1168</v>
      </c>
      <c r="B64" s="404" t="s">
        <v>1186</v>
      </c>
      <c r="C64" s="404">
        <v>3</v>
      </c>
      <c r="D64" s="404" t="s">
        <v>676</v>
      </c>
      <c r="E64" s="404" t="s">
        <v>1160</v>
      </c>
      <c r="F64" s="404" t="s">
        <v>1092</v>
      </c>
      <c r="G64" s="404" t="s">
        <v>152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1093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15" t="s">
        <v>157</v>
      </c>
    </row>
    <row r="65" spans="1:25">
      <c r="A65" s="403" t="s">
        <v>1168</v>
      </c>
      <c r="B65" s="404" t="s">
        <v>1186</v>
      </c>
      <c r="C65" s="404">
        <v>3</v>
      </c>
      <c r="D65" s="404" t="s">
        <v>677</v>
      </c>
      <c r="E65" s="404" t="s">
        <v>1160</v>
      </c>
      <c r="F65" s="404" t="s">
        <v>1092</v>
      </c>
      <c r="G65" s="404" t="s">
        <v>152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1093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15" t="s">
        <v>157</v>
      </c>
    </row>
    <row r="66" spans="1:25">
      <c r="A66" s="403" t="s">
        <v>1168</v>
      </c>
      <c r="B66" s="404" t="s">
        <v>1186</v>
      </c>
      <c r="C66" s="404">
        <v>4</v>
      </c>
      <c r="D66" s="404" t="s">
        <v>1187</v>
      </c>
      <c r="E66" s="404" t="s">
        <v>1160</v>
      </c>
      <c r="F66" s="404" t="s">
        <v>1092</v>
      </c>
      <c r="G66" s="404" t="s">
        <v>152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1093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15" t="s">
        <v>157</v>
      </c>
    </row>
    <row r="67" spans="1:25">
      <c r="A67" s="403" t="s">
        <v>1168</v>
      </c>
      <c r="B67" s="404" t="s">
        <v>1186</v>
      </c>
      <c r="C67" s="404">
        <v>4</v>
      </c>
      <c r="D67" s="404" t="s">
        <v>1188</v>
      </c>
      <c r="E67" s="404" t="s">
        <v>1160</v>
      </c>
      <c r="F67" s="404" t="s">
        <v>1092</v>
      </c>
      <c r="G67" s="404" t="s">
        <v>152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1093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15" t="s">
        <v>157</v>
      </c>
    </row>
    <row r="68" spans="1:25">
      <c r="A68" s="403" t="s">
        <v>1168</v>
      </c>
      <c r="B68" s="404" t="s">
        <v>1186</v>
      </c>
      <c r="C68" s="404">
        <v>4</v>
      </c>
      <c r="D68" s="404" t="s">
        <v>1188</v>
      </c>
      <c r="E68" s="404" t="s">
        <v>1167</v>
      </c>
      <c r="F68" s="404" t="s">
        <v>1092</v>
      </c>
      <c r="G68" s="404" t="s">
        <v>152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1093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15" t="s">
        <v>157</v>
      </c>
    </row>
    <row r="69" spans="1:25">
      <c r="A69" s="403" t="s">
        <v>1168</v>
      </c>
      <c r="B69" s="404" t="s">
        <v>1186</v>
      </c>
      <c r="C69" s="404">
        <v>4</v>
      </c>
      <c r="D69" s="404" t="s">
        <v>1189</v>
      </c>
      <c r="E69" s="404" t="s">
        <v>1160</v>
      </c>
      <c r="F69" s="404" t="s">
        <v>1092</v>
      </c>
      <c r="G69" s="404" t="s">
        <v>152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1093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15" t="s">
        <v>157</v>
      </c>
    </row>
    <row r="70" spans="1:25">
      <c r="A70" s="403" t="s">
        <v>1168</v>
      </c>
      <c r="B70" s="404" t="s">
        <v>1186</v>
      </c>
      <c r="C70" s="404">
        <v>4</v>
      </c>
      <c r="D70" s="404" t="s">
        <v>1190</v>
      </c>
      <c r="E70" s="404" t="s">
        <v>1167</v>
      </c>
      <c r="F70" s="404" t="s">
        <v>1092</v>
      </c>
      <c r="G70" s="404" t="s">
        <v>152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1093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15" t="s">
        <v>157</v>
      </c>
    </row>
    <row r="71" spans="1:25">
      <c r="A71" s="403" t="s">
        <v>1168</v>
      </c>
      <c r="B71" s="404" t="s">
        <v>1186</v>
      </c>
      <c r="C71" s="404">
        <v>4</v>
      </c>
      <c r="D71" s="404" t="s">
        <v>1191</v>
      </c>
      <c r="E71" s="404" t="s">
        <v>1167</v>
      </c>
      <c r="F71" s="404" t="s">
        <v>1092</v>
      </c>
      <c r="G71" s="404" t="s">
        <v>152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1093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15" t="s">
        <v>157</v>
      </c>
    </row>
    <row r="72" spans="1:25">
      <c r="A72" s="403" t="s">
        <v>1168</v>
      </c>
      <c r="B72" s="404" t="s">
        <v>1186</v>
      </c>
      <c r="C72" s="404">
        <v>4</v>
      </c>
      <c r="D72" s="404" t="s">
        <v>1192</v>
      </c>
      <c r="E72" s="404" t="s">
        <v>1160</v>
      </c>
      <c r="F72" s="404" t="s">
        <v>1092</v>
      </c>
      <c r="G72" s="404" t="s">
        <v>152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1093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15" t="s">
        <v>157</v>
      </c>
    </row>
    <row r="73" spans="1:25">
      <c r="A73" s="403" t="s">
        <v>1168</v>
      </c>
      <c r="B73" s="404" t="s">
        <v>1186</v>
      </c>
      <c r="C73" s="404">
        <v>4</v>
      </c>
      <c r="D73" s="404" t="s">
        <v>681</v>
      </c>
      <c r="E73" s="404" t="s">
        <v>1167</v>
      </c>
      <c r="F73" s="404" t="s">
        <v>1092</v>
      </c>
      <c r="G73" s="404" t="s">
        <v>152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1093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15" t="s">
        <v>157</v>
      </c>
    </row>
    <row r="74" spans="1:25">
      <c r="A74" s="403" t="s">
        <v>1168</v>
      </c>
      <c r="B74" s="404" t="s">
        <v>1186</v>
      </c>
      <c r="C74" s="404">
        <v>4</v>
      </c>
      <c r="D74" s="404" t="s">
        <v>681</v>
      </c>
      <c r="E74" s="404" t="s">
        <v>1167</v>
      </c>
      <c r="F74" s="404" t="s">
        <v>1161</v>
      </c>
      <c r="G74" s="106" t="s">
        <v>1099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1093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15" t="s">
        <v>157</v>
      </c>
    </row>
    <row r="75" spans="1:25" ht="36">
      <c r="A75" s="403" t="s">
        <v>1168</v>
      </c>
      <c r="B75" s="404" t="s">
        <v>1186</v>
      </c>
      <c r="C75" s="404">
        <v>4</v>
      </c>
      <c r="D75" s="404" t="s">
        <v>682</v>
      </c>
      <c r="E75" s="404" t="s">
        <v>1193</v>
      </c>
      <c r="F75" s="404" t="s">
        <v>1092</v>
      </c>
      <c r="G75" s="404" t="s">
        <v>152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1106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15" t="s">
        <v>157</v>
      </c>
    </row>
    <row r="76" spans="1:25">
      <c r="A76" s="403" t="s">
        <v>1168</v>
      </c>
      <c r="B76" s="404" t="s">
        <v>1186</v>
      </c>
      <c r="C76" s="404">
        <v>4</v>
      </c>
      <c r="D76" s="404" t="s">
        <v>684</v>
      </c>
      <c r="E76" s="404" t="s">
        <v>1160</v>
      </c>
      <c r="F76" s="404" t="s">
        <v>1161</v>
      </c>
      <c r="G76" s="106" t="s">
        <v>1099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1093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15" t="s">
        <v>157</v>
      </c>
    </row>
    <row r="77" spans="1:25">
      <c r="A77" s="403" t="s">
        <v>1168</v>
      </c>
      <c r="B77" s="404" t="s">
        <v>1186</v>
      </c>
      <c r="C77" s="404">
        <v>4</v>
      </c>
      <c r="D77" s="404" t="s">
        <v>685</v>
      </c>
      <c r="E77" s="404" t="s">
        <v>1096</v>
      </c>
      <c r="F77" s="404" t="s">
        <v>1092</v>
      </c>
      <c r="G77" s="404" t="s">
        <v>152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1106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15" t="s">
        <v>157</v>
      </c>
    </row>
    <row r="78" spans="1:25">
      <c r="A78" s="403" t="s">
        <v>1168</v>
      </c>
      <c r="B78" s="404" t="s">
        <v>1186</v>
      </c>
      <c r="C78" s="404" t="s">
        <v>1194</v>
      </c>
      <c r="D78" s="404" t="s">
        <v>658</v>
      </c>
      <c r="E78" s="404" t="s">
        <v>1096</v>
      </c>
      <c r="F78" s="404" t="s">
        <v>1092</v>
      </c>
      <c r="G78" s="404" t="s">
        <v>152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1093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15" t="s">
        <v>157</v>
      </c>
    </row>
    <row r="79" spans="1:25">
      <c r="A79" s="403" t="s">
        <v>1168</v>
      </c>
      <c r="B79" s="404" t="s">
        <v>1186</v>
      </c>
      <c r="C79" s="404" t="s">
        <v>948</v>
      </c>
      <c r="D79" s="404" t="s">
        <v>634</v>
      </c>
      <c r="E79" s="404" t="s">
        <v>1162</v>
      </c>
      <c r="F79" s="404" t="s">
        <v>1163</v>
      </c>
      <c r="G79" s="106" t="s">
        <v>1099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1093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15" t="s">
        <v>157</v>
      </c>
    </row>
    <row r="80" spans="1:25">
      <c r="A80" s="403" t="s">
        <v>1168</v>
      </c>
      <c r="B80" s="404" t="s">
        <v>1186</v>
      </c>
      <c r="C80" s="404" t="s">
        <v>948</v>
      </c>
      <c r="D80" s="404" t="s">
        <v>648</v>
      </c>
      <c r="E80" s="404" t="s">
        <v>1160</v>
      </c>
      <c r="F80" s="404" t="s">
        <v>1161</v>
      </c>
      <c r="G80" s="106" t="s">
        <v>1099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1093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15" t="s">
        <v>157</v>
      </c>
    </row>
    <row r="81" spans="1:25">
      <c r="A81" s="403" t="s">
        <v>1168</v>
      </c>
      <c r="B81" s="404" t="s">
        <v>1186</v>
      </c>
      <c r="C81" s="404" t="s">
        <v>948</v>
      </c>
      <c r="D81" s="404" t="s">
        <v>649</v>
      </c>
      <c r="E81" s="404" t="s">
        <v>1160</v>
      </c>
      <c r="F81" s="404" t="s">
        <v>1161</v>
      </c>
      <c r="G81" s="106" t="s">
        <v>1099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1093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15" t="s">
        <v>157</v>
      </c>
    </row>
    <row r="82" spans="1:25">
      <c r="A82" s="403" t="s">
        <v>1089</v>
      </c>
      <c r="B82" s="404" t="s">
        <v>1195</v>
      </c>
      <c r="C82" s="404">
        <v>1</v>
      </c>
      <c r="D82" s="404" t="s">
        <v>1196</v>
      </c>
      <c r="E82" s="404" t="s">
        <v>1197</v>
      </c>
      <c r="F82" s="404" t="s">
        <v>1092</v>
      </c>
      <c r="G82" s="404" t="s">
        <v>152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1093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15" t="s">
        <v>157</v>
      </c>
    </row>
    <row r="83" spans="1:25">
      <c r="A83" s="403" t="s">
        <v>776</v>
      </c>
      <c r="B83" s="404" t="s">
        <v>771</v>
      </c>
      <c r="C83" s="404">
        <v>2</v>
      </c>
      <c r="D83" s="404" t="s">
        <v>37</v>
      </c>
      <c r="E83" s="404" t="s">
        <v>1096</v>
      </c>
      <c r="F83" s="404" t="s">
        <v>1092</v>
      </c>
      <c r="G83" s="404" t="s">
        <v>152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1093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15" t="s">
        <v>157</v>
      </c>
    </row>
    <row r="84" spans="1:25" ht="36">
      <c r="A84" s="403" t="s">
        <v>776</v>
      </c>
      <c r="B84" s="404" t="s">
        <v>771</v>
      </c>
      <c r="C84" s="404">
        <v>2</v>
      </c>
      <c r="D84" s="404" t="s">
        <v>782</v>
      </c>
      <c r="E84" s="404" t="s">
        <v>1120</v>
      </c>
      <c r="F84" s="404" t="s">
        <v>1092</v>
      </c>
      <c r="G84" s="404" t="s">
        <v>152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1121</v>
      </c>
      <c r="N84" s="107" t="s">
        <v>1122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15" t="s">
        <v>157</v>
      </c>
    </row>
    <row r="85" spans="1:25">
      <c r="A85" s="403" t="s">
        <v>1165</v>
      </c>
      <c r="B85" s="404" t="s">
        <v>1198</v>
      </c>
      <c r="C85" s="404">
        <v>1</v>
      </c>
      <c r="D85" s="404" t="s">
        <v>69</v>
      </c>
      <c r="E85" s="404" t="s">
        <v>1199</v>
      </c>
      <c r="F85" s="404" t="s">
        <v>1092</v>
      </c>
      <c r="G85" s="404" t="s">
        <v>152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1093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15" t="s">
        <v>157</v>
      </c>
    </row>
    <row r="86" spans="1:25">
      <c r="A86" s="403" t="s">
        <v>1089</v>
      </c>
      <c r="B86" s="404" t="s">
        <v>1200</v>
      </c>
      <c r="C86" s="404">
        <v>1</v>
      </c>
      <c r="D86" s="404" t="s">
        <v>524</v>
      </c>
      <c r="E86" s="404" t="s">
        <v>1201</v>
      </c>
      <c r="F86" s="404" t="s">
        <v>1161</v>
      </c>
      <c r="G86" s="106" t="s">
        <v>1099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1093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15" t="s">
        <v>157</v>
      </c>
    </row>
    <row r="87" spans="1:25">
      <c r="A87" s="403" t="s">
        <v>1089</v>
      </c>
      <c r="B87" s="404" t="s">
        <v>1202</v>
      </c>
      <c r="C87" s="404">
        <v>1</v>
      </c>
      <c r="D87" s="404" t="s">
        <v>1203</v>
      </c>
      <c r="E87" s="404" t="s">
        <v>1096</v>
      </c>
      <c r="F87" s="404" t="s">
        <v>1092</v>
      </c>
      <c r="G87" s="404" t="s">
        <v>152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1093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15" t="s">
        <v>157</v>
      </c>
    </row>
    <row r="88" spans="1:25">
      <c r="A88" s="403" t="s">
        <v>1089</v>
      </c>
      <c r="B88" s="404" t="s">
        <v>1204</v>
      </c>
      <c r="C88" s="404">
        <v>1</v>
      </c>
      <c r="D88" s="404" t="s">
        <v>522</v>
      </c>
      <c r="E88" s="404" t="s">
        <v>1096</v>
      </c>
      <c r="F88" s="404" t="s">
        <v>1092</v>
      </c>
      <c r="G88" s="404" t="s">
        <v>152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1093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15" t="s">
        <v>157</v>
      </c>
    </row>
    <row r="89" spans="1:25" ht="36">
      <c r="A89" s="403" t="s">
        <v>1089</v>
      </c>
      <c r="B89" s="404" t="s">
        <v>1204</v>
      </c>
      <c r="C89" s="404">
        <v>1</v>
      </c>
      <c r="D89" s="404" t="s">
        <v>1205</v>
      </c>
      <c r="E89" s="404" t="s">
        <v>1206</v>
      </c>
      <c r="F89" s="404" t="s">
        <v>1092</v>
      </c>
      <c r="G89" s="404" t="s">
        <v>152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1121</v>
      </c>
      <c r="N89" s="107" t="s">
        <v>1122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15" t="s">
        <v>157</v>
      </c>
    </row>
    <row r="90" spans="1:25" ht="36">
      <c r="A90" s="403" t="s">
        <v>1089</v>
      </c>
      <c r="B90" s="404" t="s">
        <v>1204</v>
      </c>
      <c r="C90" s="404">
        <v>1</v>
      </c>
      <c r="D90" s="404" t="s">
        <v>1205</v>
      </c>
      <c r="E90" s="404" t="s">
        <v>1207</v>
      </c>
      <c r="F90" s="404" t="s">
        <v>1092</v>
      </c>
      <c r="G90" s="404" t="s">
        <v>152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1121</v>
      </c>
      <c r="N90" s="107" t="s">
        <v>1122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15" t="s">
        <v>157</v>
      </c>
    </row>
    <row r="91" spans="1:25" ht="36">
      <c r="A91" s="403" t="s">
        <v>1089</v>
      </c>
      <c r="B91" s="404" t="s">
        <v>1204</v>
      </c>
      <c r="C91" s="404">
        <v>1</v>
      </c>
      <c r="D91" s="404" t="s">
        <v>1205</v>
      </c>
      <c r="E91" s="404" t="s">
        <v>1208</v>
      </c>
      <c r="F91" s="404" t="s">
        <v>1092</v>
      </c>
      <c r="G91" s="404" t="s">
        <v>152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1121</v>
      </c>
      <c r="N91" s="107" t="s">
        <v>1122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15" t="s">
        <v>157</v>
      </c>
    </row>
    <row r="92" spans="1:25">
      <c r="A92" s="403" t="s">
        <v>1137</v>
      </c>
      <c r="B92" s="404" t="s">
        <v>1209</v>
      </c>
      <c r="C92" s="404">
        <v>1</v>
      </c>
      <c r="D92" s="404" t="s">
        <v>1210</v>
      </c>
      <c r="E92" s="404" t="s">
        <v>1211</v>
      </c>
      <c r="F92" s="404" t="s">
        <v>1092</v>
      </c>
      <c r="G92" s="404" t="s">
        <v>152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1093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15" t="s">
        <v>157</v>
      </c>
    </row>
    <row r="93" spans="1:25">
      <c r="A93" s="403" t="s">
        <v>1137</v>
      </c>
      <c r="B93" s="404" t="s">
        <v>1212</v>
      </c>
      <c r="C93" s="404">
        <v>1</v>
      </c>
      <c r="D93" s="404" t="s">
        <v>1210</v>
      </c>
      <c r="E93" s="404" t="s">
        <v>1213</v>
      </c>
      <c r="F93" s="404" t="s">
        <v>1092</v>
      </c>
      <c r="G93" s="404" t="s">
        <v>152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1093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15" t="s">
        <v>157</v>
      </c>
    </row>
    <row r="94" spans="1:25">
      <c r="A94" s="403" t="s">
        <v>1101</v>
      </c>
      <c r="B94" s="404" t="s">
        <v>1214</v>
      </c>
      <c r="C94" s="404">
        <v>1</v>
      </c>
      <c r="D94" s="404" t="s">
        <v>1215</v>
      </c>
      <c r="E94" s="404" t="s">
        <v>479</v>
      </c>
      <c r="F94" s="404" t="s">
        <v>1161</v>
      </c>
      <c r="G94" s="106" t="s">
        <v>1099</v>
      </c>
      <c r="H94" s="103" t="s">
        <v>40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1093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15" t="s">
        <v>157</v>
      </c>
    </row>
    <row r="95" spans="1:25">
      <c r="A95" s="403" t="s">
        <v>1101</v>
      </c>
      <c r="B95" s="404" t="s">
        <v>1214</v>
      </c>
      <c r="C95" s="404">
        <v>2</v>
      </c>
      <c r="D95" s="404" t="s">
        <v>1216</v>
      </c>
      <c r="E95" s="404" t="s">
        <v>1096</v>
      </c>
      <c r="F95" s="404" t="s">
        <v>1092</v>
      </c>
      <c r="G95" s="404" t="s">
        <v>152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1093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15" t="s">
        <v>157</v>
      </c>
    </row>
    <row r="96" spans="1:25">
      <c r="A96" s="403" t="s">
        <v>1168</v>
      </c>
      <c r="B96" s="404" t="s">
        <v>1217</v>
      </c>
      <c r="C96" s="404">
        <v>2</v>
      </c>
      <c r="D96" s="404" t="s">
        <v>1218</v>
      </c>
      <c r="E96" s="404" t="s">
        <v>1219</v>
      </c>
      <c r="F96" s="404" t="s">
        <v>1092</v>
      </c>
      <c r="G96" s="404" t="s">
        <v>152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1106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15" t="s">
        <v>157</v>
      </c>
    </row>
    <row r="97" spans="1:25">
      <c r="A97" s="403" t="s">
        <v>1101</v>
      </c>
      <c r="B97" s="404" t="s">
        <v>834</v>
      </c>
      <c r="C97" s="404">
        <v>1</v>
      </c>
      <c r="D97" s="404" t="s">
        <v>854</v>
      </c>
      <c r="E97" s="404" t="s">
        <v>479</v>
      </c>
      <c r="F97" s="404" t="s">
        <v>1092</v>
      </c>
      <c r="G97" s="404" t="s">
        <v>152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1093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15" t="s">
        <v>157</v>
      </c>
    </row>
    <row r="98" spans="1:25">
      <c r="B98" s="92">
        <f>COUNTIF(Table26[สถานที่],"*")</f>
        <v>96</v>
      </c>
      <c r="N98" s="108" t="s">
        <v>1220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8671875" defaultRowHeight="14.4"/>
  <cols>
    <col min="1" max="1" width="23" style="422" bestFit="1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9" width="7.6640625" style="422" bestFit="1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9.44140625" style="422" customWidth="1"/>
    <col min="18" max="18" width="9.88671875" style="422" customWidth="1"/>
    <col min="19" max="19" width="10.33203125" style="422" customWidth="1"/>
    <col min="20" max="20" width="9.6640625" style="422" customWidth="1"/>
    <col min="21" max="21" width="9.33203125" style="422" customWidth="1"/>
    <col min="22" max="23" width="17.88671875" style="422"/>
    <col min="24" max="24" width="25.88671875" style="422" bestFit="1" customWidth="1"/>
    <col min="25" max="27" width="12.6640625" style="422" customWidth="1"/>
    <col min="28" max="28" width="25.88671875" style="422" bestFit="1" customWidth="1"/>
    <col min="29" max="41" width="12.6640625" style="422" customWidth="1"/>
    <col min="42" max="16384" width="17.88671875" style="422"/>
  </cols>
  <sheetData>
    <row r="1" spans="1:45" ht="30" customHeight="1">
      <c r="A1" s="997" t="s">
        <v>1221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  <c r="Q1" s="997"/>
      <c r="R1" s="997"/>
      <c r="S1" s="997"/>
      <c r="T1" s="997"/>
    </row>
    <row r="2" spans="1:45" ht="18" customHeight="1">
      <c r="A2" s="999" t="s">
        <v>1222</v>
      </c>
      <c r="B2" s="999"/>
      <c r="C2" s="999"/>
      <c r="D2" s="999"/>
      <c r="E2" s="999"/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</row>
    <row r="4" spans="1:45" ht="28.8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10" t="str">
        <f>'SVB-รายสัปดาห์'!S4</f>
        <v>W.18
(13/6-19/6)</v>
      </c>
      <c r="T4" s="710" t="str">
        <f>'SVB-รายสัปดาห์'!T4</f>
        <v>W.19
(20/6-26/6)</v>
      </c>
      <c r="U4" s="710" t="str">
        <f>'SVB-รายสัปดาห์'!U4</f>
        <v>W.20
(27/6-3/7)</v>
      </c>
      <c r="V4" s="710" t="s">
        <v>29</v>
      </c>
      <c r="X4" s="423"/>
      <c r="Y4" s="423" t="s">
        <v>1223</v>
      </c>
      <c r="Z4" s="423" t="s">
        <v>1224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314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1">
        <f>'SVB-รายสัปดาห์'!S7</f>
        <v>97</v>
      </c>
      <c r="T5" s="711">
        <f>'SVB-รายสัปดาห์'!T7</f>
        <v>23</v>
      </c>
      <c r="U5" s="711">
        <f>'SVB-รายสัปดาห์'!U7</f>
        <v>0</v>
      </c>
      <c r="V5" s="711">
        <f t="shared" ref="V5:V12" si="1">SUM(B5:U5)</f>
        <v>1592</v>
      </c>
      <c r="X5" s="517" t="s">
        <v>1225</v>
      </c>
      <c r="Y5" s="661">
        <v>0.8</v>
      </c>
      <c r="Z5" s="661">
        <f>R6*Y5</f>
        <v>53.6</v>
      </c>
      <c r="AB5" s="446" t="s">
        <v>1226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888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1">
        <f>'SVB-รายสัปดาห์'!S11</f>
        <v>55</v>
      </c>
      <c r="T6" s="711">
        <f>'SVB-รายสัปดาห์'!T11</f>
        <v>22</v>
      </c>
      <c r="U6" s="711">
        <f>'SVB-รายสัปดาห์'!U11</f>
        <v>0</v>
      </c>
      <c r="V6" s="711">
        <f t="shared" si="1"/>
        <v>1121</v>
      </c>
      <c r="X6" s="517" t="s">
        <v>1227</v>
      </c>
      <c r="Y6" s="661">
        <v>0.2</v>
      </c>
      <c r="Z6" s="661">
        <f>R7*Y6</f>
        <v>6.4</v>
      </c>
      <c r="AB6" s="446" t="s">
        <v>1228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894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1">
        <f>'SVB-รายสัปดาห์'!S15</f>
        <v>42</v>
      </c>
      <c r="T7" s="711">
        <f>'SVB-รายสัปดาห์'!T15</f>
        <v>1</v>
      </c>
      <c r="U7" s="711">
        <f>'SVB-รายสัปดาห์'!U15</f>
        <v>0</v>
      </c>
      <c r="V7" s="711">
        <f t="shared" si="1"/>
        <v>445</v>
      </c>
      <c r="Y7" s="663" t="s">
        <v>1229</v>
      </c>
      <c r="Z7" s="662">
        <f>SUM(Z5:Z6)</f>
        <v>60</v>
      </c>
      <c r="AB7" s="446" t="s">
        <v>1230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337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6"/>
      <c r="S8" s="716"/>
      <c r="T8" s="716"/>
      <c r="U8" s="716"/>
      <c r="V8" s="712">
        <f t="shared" si="1"/>
        <v>459</v>
      </c>
      <c r="AB8" s="448" t="s">
        <v>1231</v>
      </c>
      <c r="AC8" s="656">
        <f>SUM(AC9:AC10)</f>
        <v>83.800000000000011</v>
      </c>
      <c r="AD8" s="656">
        <f t="shared" ref="AD8:AR8" si="5">SUM(AD9:AD10)</f>
        <v>36</v>
      </c>
      <c r="AE8" s="656">
        <f t="shared" si="5"/>
        <v>51.2</v>
      </c>
      <c r="AF8" s="656">
        <f t="shared" si="5"/>
        <v>40.800000000000004</v>
      </c>
      <c r="AG8" s="656">
        <f t="shared" si="5"/>
        <v>96</v>
      </c>
      <c r="AH8" s="656">
        <f t="shared" si="5"/>
        <v>0</v>
      </c>
      <c r="AI8" s="656">
        <f t="shared" si="5"/>
        <v>0</v>
      </c>
      <c r="AJ8" s="656">
        <f t="shared" si="5"/>
        <v>0</v>
      </c>
      <c r="AK8" s="656">
        <f t="shared" si="5"/>
        <v>0</v>
      </c>
      <c r="AL8" s="656">
        <f t="shared" si="5"/>
        <v>0</v>
      </c>
      <c r="AM8" s="656">
        <f t="shared" si="5"/>
        <v>0</v>
      </c>
      <c r="AN8" s="656">
        <f t="shared" si="5"/>
        <v>0</v>
      </c>
      <c r="AO8" s="656">
        <f t="shared" si="5"/>
        <v>0</v>
      </c>
      <c r="AP8" s="656">
        <f t="shared" si="5"/>
        <v>0</v>
      </c>
      <c r="AQ8" s="656">
        <f t="shared" si="5"/>
        <v>0</v>
      </c>
      <c r="AR8" s="656">
        <f t="shared" si="5"/>
        <v>0</v>
      </c>
      <c r="AS8" s="656">
        <f t="shared" ref="AS8:AS10" si="6">SUM(AC8:AR8)</f>
        <v>307.8</v>
      </c>
    </row>
    <row r="9" spans="1:45" ht="18" customHeight="1">
      <c r="A9" s="448" t="s">
        <v>338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6"/>
      <c r="S9" s="716"/>
      <c r="T9" s="716"/>
      <c r="U9" s="716"/>
      <c r="V9" s="712">
        <f t="shared" si="1"/>
        <v>459</v>
      </c>
      <c r="AB9" s="448" t="s">
        <v>1232</v>
      </c>
      <c r="AC9" s="656">
        <f t="shared" ref="AC9:AR9" si="7">B11*$Y$5</f>
        <v>70.400000000000006</v>
      </c>
      <c r="AD9" s="656">
        <f t="shared" si="7"/>
        <v>36</v>
      </c>
      <c r="AE9" s="656">
        <f t="shared" si="7"/>
        <v>51.2</v>
      </c>
      <c r="AF9" s="656">
        <f t="shared" si="7"/>
        <v>40.800000000000004</v>
      </c>
      <c r="AG9" s="656">
        <f t="shared" si="7"/>
        <v>96</v>
      </c>
      <c r="AH9" s="656">
        <f t="shared" si="7"/>
        <v>0</v>
      </c>
      <c r="AI9" s="656">
        <f t="shared" si="7"/>
        <v>0</v>
      </c>
      <c r="AJ9" s="656">
        <f t="shared" si="7"/>
        <v>0</v>
      </c>
      <c r="AK9" s="656">
        <f t="shared" si="7"/>
        <v>0</v>
      </c>
      <c r="AL9" s="656">
        <f t="shared" si="7"/>
        <v>0</v>
      </c>
      <c r="AM9" s="656">
        <f t="shared" si="7"/>
        <v>0</v>
      </c>
      <c r="AN9" s="656">
        <f t="shared" si="7"/>
        <v>0</v>
      </c>
      <c r="AO9" s="656">
        <f t="shared" si="7"/>
        <v>0</v>
      </c>
      <c r="AP9" s="656">
        <f t="shared" si="7"/>
        <v>0</v>
      </c>
      <c r="AQ9" s="656">
        <f t="shared" si="7"/>
        <v>0</v>
      </c>
      <c r="AR9" s="656">
        <f t="shared" si="7"/>
        <v>0</v>
      </c>
      <c r="AS9" s="656">
        <f t="shared" si="6"/>
        <v>294.40000000000003</v>
      </c>
    </row>
    <row r="10" spans="1:45" ht="18" customHeight="1">
      <c r="A10" s="448" t="s">
        <v>339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6"/>
      <c r="S10" s="716"/>
      <c r="T10" s="716"/>
      <c r="U10" s="716"/>
      <c r="V10" s="712">
        <f t="shared" si="1"/>
        <v>459</v>
      </c>
      <c r="AB10" s="448" t="s">
        <v>1233</v>
      </c>
      <c r="AC10" s="656">
        <f t="shared" ref="AC10:AR10" si="8">B12*$Y$6</f>
        <v>13.4</v>
      </c>
      <c r="AD10" s="656">
        <f t="shared" si="8"/>
        <v>0</v>
      </c>
      <c r="AE10" s="656">
        <f t="shared" si="8"/>
        <v>0</v>
      </c>
      <c r="AF10" s="656">
        <f t="shared" si="8"/>
        <v>0</v>
      </c>
      <c r="AG10" s="656">
        <f t="shared" si="8"/>
        <v>0</v>
      </c>
      <c r="AH10" s="656">
        <f t="shared" si="8"/>
        <v>0</v>
      </c>
      <c r="AI10" s="656">
        <f t="shared" si="8"/>
        <v>0</v>
      </c>
      <c r="AJ10" s="656">
        <f t="shared" si="8"/>
        <v>0</v>
      </c>
      <c r="AK10" s="656">
        <f t="shared" si="8"/>
        <v>0</v>
      </c>
      <c r="AL10" s="656">
        <f t="shared" si="8"/>
        <v>0</v>
      </c>
      <c r="AM10" s="656">
        <f t="shared" si="8"/>
        <v>0</v>
      </c>
      <c r="AN10" s="656">
        <f t="shared" si="8"/>
        <v>0</v>
      </c>
      <c r="AO10" s="656">
        <f t="shared" si="8"/>
        <v>0</v>
      </c>
      <c r="AP10" s="656">
        <f t="shared" si="8"/>
        <v>0</v>
      </c>
      <c r="AQ10" s="656">
        <f t="shared" si="8"/>
        <v>0</v>
      </c>
      <c r="AR10" s="656">
        <f t="shared" si="8"/>
        <v>0</v>
      </c>
      <c r="AS10" s="656">
        <f t="shared" si="6"/>
        <v>13.4</v>
      </c>
    </row>
    <row r="11" spans="1:45" ht="18" customHeight="1">
      <c r="A11" s="448" t="s">
        <v>1234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6"/>
      <c r="S11" s="716"/>
      <c r="T11" s="716"/>
      <c r="U11" s="716"/>
      <c r="V11" s="712">
        <f t="shared" si="1"/>
        <v>368</v>
      </c>
      <c r="AB11" s="452" t="s">
        <v>1235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4">
        <f>SUM(AC11:AR11)</f>
        <v>0.99999999999999989</v>
      </c>
    </row>
    <row r="12" spans="1:45" ht="18" customHeight="1">
      <c r="A12" s="448" t="s">
        <v>1233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6"/>
      <c r="S12" s="716"/>
      <c r="T12" s="716"/>
      <c r="U12" s="716"/>
      <c r="V12" s="712">
        <f t="shared" si="1"/>
        <v>67</v>
      </c>
      <c r="AB12" s="452" t="s">
        <v>1236</v>
      </c>
      <c r="AC12" s="664">
        <f>SUM(AC11)</f>
        <v>9.2332865825151919E-2</v>
      </c>
      <c r="AD12" s="664">
        <f>SUM(AC11:AD11)</f>
        <v>0.14001870032725569</v>
      </c>
      <c r="AE12" s="664">
        <f>SUM(AC11:AE11)</f>
        <v>0.199859747545582</v>
      </c>
      <c r="AF12" s="664">
        <f>SUM(AC11:AF11)</f>
        <v>0.24941561477325849</v>
      </c>
      <c r="AG12" s="664">
        <f>SUM(AC11:AG11)</f>
        <v>0.34385226741467972</v>
      </c>
      <c r="AH12" s="664">
        <f>SUM(AC11:AH11)</f>
        <v>0.44319775596072924</v>
      </c>
      <c r="AI12" s="664">
        <f>SUM(AC11:AI11)</f>
        <v>0.47568957456755484</v>
      </c>
      <c r="AJ12" s="664">
        <f>SUM(AC11:AJ11)</f>
        <v>0.51192145862552585</v>
      </c>
      <c r="AK12" s="664">
        <f>SUM(AC11:AK11)</f>
        <v>0.54090696587190268</v>
      </c>
      <c r="AL12" s="664">
        <f>SUM(AC11:AL11)</f>
        <v>0.59537166900420746</v>
      </c>
      <c r="AM12" s="664">
        <f>SUM(AC11:AM11)</f>
        <v>0.65147265077138838</v>
      </c>
      <c r="AN12" s="664">
        <f>SUM(AC11:AN11)</f>
        <v>0.74216923796166423</v>
      </c>
      <c r="AO12" s="664">
        <f>SUM(AC11:AO11)</f>
        <v>0.7889200561009817</v>
      </c>
      <c r="AP12" s="664">
        <f>SUM(AC11:AP11)</f>
        <v>0.84315100514258989</v>
      </c>
      <c r="AQ12" s="664">
        <f>SUM(AC11:AQ11)</f>
        <v>0.91514726507713873</v>
      </c>
      <c r="AR12" s="664">
        <f>SUM(AC11:AR11)</f>
        <v>0.99999999999999989</v>
      </c>
      <c r="AS12" s="664"/>
    </row>
    <row r="13" spans="1:45" ht="18" customHeight="1">
      <c r="A13" s="448" t="s">
        <v>340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6"/>
      <c r="S13" s="716"/>
      <c r="T13" s="716"/>
      <c r="U13" s="716"/>
      <c r="V13" s="712"/>
      <c r="AB13" s="452" t="s">
        <v>1237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4">
        <f>SUM(AC13:AR13)</f>
        <v>0.35974754558204763</v>
      </c>
    </row>
    <row r="14" spans="1:45" ht="18" customHeight="1">
      <c r="A14" s="448" t="s">
        <v>1238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6"/>
      <c r="S14" s="716"/>
      <c r="T14" s="716"/>
      <c r="U14" s="716"/>
      <c r="V14" s="712"/>
      <c r="AB14" s="452" t="s">
        <v>1239</v>
      </c>
      <c r="AC14" s="664">
        <f>SUM(AC13)</f>
        <v>9.7942964001870025E-2</v>
      </c>
      <c r="AD14" s="664">
        <f>SUM(AC13:AD13)</f>
        <v>0.14001870032725572</v>
      </c>
      <c r="AE14" s="664">
        <f>SUM(AC13:AE13)</f>
        <v>0.19985974754558203</v>
      </c>
      <c r="AF14" s="664">
        <f>SUM(AC13:AF13)</f>
        <v>0.24754558204768581</v>
      </c>
      <c r="AG14" s="664"/>
      <c r="AH14" s="664"/>
      <c r="AI14" s="664"/>
      <c r="AJ14" s="664"/>
      <c r="AK14" s="664"/>
      <c r="AL14" s="664"/>
      <c r="AM14" s="664"/>
      <c r="AN14" s="664"/>
      <c r="AO14" s="664"/>
      <c r="AP14" s="664"/>
      <c r="AQ14" s="664"/>
      <c r="AR14" s="664"/>
      <c r="AS14" s="664"/>
    </row>
    <row r="15" spans="1:45" ht="18" customHeight="1">
      <c r="A15" s="448" t="s">
        <v>1240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6"/>
      <c r="S15" s="716"/>
      <c r="T15" s="716"/>
      <c r="U15" s="716"/>
      <c r="V15" s="712"/>
    </row>
    <row r="16" spans="1:45" ht="18" customHeight="1">
      <c r="A16" s="452" t="s">
        <v>320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7"/>
      <c r="S16" s="717"/>
      <c r="T16" s="717"/>
      <c r="U16" s="717"/>
      <c r="V16" s="717">
        <f t="shared" ref="V16:V21" si="11">SUM(B16:U16)</f>
        <v>45</v>
      </c>
    </row>
    <row r="17" spans="1:22" ht="18" customHeight="1">
      <c r="A17" s="452" t="s">
        <v>321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7"/>
      <c r="S17" s="717"/>
      <c r="T17" s="717"/>
      <c r="U17" s="717"/>
      <c r="V17" s="717">
        <f t="shared" si="11"/>
        <v>28</v>
      </c>
    </row>
    <row r="18" spans="1:22" ht="18" customHeight="1">
      <c r="A18" s="452" t="s">
        <v>890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7"/>
      <c r="S18" s="717"/>
      <c r="T18" s="717"/>
      <c r="U18" s="717"/>
      <c r="V18" s="717">
        <f t="shared" si="11"/>
        <v>19</v>
      </c>
    </row>
    <row r="19" spans="1:22" ht="18" customHeight="1">
      <c r="A19" s="452" t="s">
        <v>891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7"/>
      <c r="S19" s="717"/>
      <c r="T19" s="717"/>
      <c r="U19" s="717"/>
      <c r="V19" s="717">
        <f t="shared" si="11"/>
        <v>2</v>
      </c>
    </row>
    <row r="20" spans="1:22" ht="18" customHeight="1">
      <c r="A20" s="452" t="s">
        <v>896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7"/>
      <c r="S20" s="717"/>
      <c r="T20" s="717"/>
      <c r="U20" s="717"/>
      <c r="V20" s="717">
        <f t="shared" si="11"/>
        <v>24</v>
      </c>
    </row>
    <row r="21" spans="1:22" ht="18" customHeight="1">
      <c r="A21" s="452" t="s">
        <v>897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7"/>
      <c r="S21" s="717"/>
      <c r="T21" s="717"/>
      <c r="U21" s="717"/>
      <c r="V21" s="717">
        <f t="shared" si="11"/>
        <v>24</v>
      </c>
    </row>
    <row r="22" spans="1:22" ht="18" customHeight="1">
      <c r="A22" s="450" t="s">
        <v>1241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3"/>
      <c r="T22" s="713"/>
      <c r="U22" s="713"/>
      <c r="V22" s="713"/>
    </row>
    <row r="23" spans="1:22" ht="18" customHeight="1">
      <c r="A23" s="452" t="s">
        <v>342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4">
        <f>'SVB-รายสัปดาห์'!S55</f>
        <v>0.98555276381909551</v>
      </c>
      <c r="T23" s="714">
        <f>'SVB-รายสัปดาห์'!T55</f>
        <v>1</v>
      </c>
      <c r="U23" s="714">
        <f>'SVB-รายสัปดาห์'!U55</f>
        <v>1</v>
      </c>
      <c r="V23" s="714"/>
    </row>
    <row r="24" spans="1:22" ht="18" customHeight="1">
      <c r="A24" s="452" t="s">
        <v>343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4"/>
      <c r="T24" s="714"/>
      <c r="U24" s="714"/>
      <c r="V24" s="714"/>
    </row>
    <row r="25" spans="1:22" ht="18" customHeight="1">
      <c r="A25" s="452" t="s">
        <v>1242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4">
        <f>'SVB-รายสัปดาห์'!S63</f>
        <v>0.98037466547725249</v>
      </c>
      <c r="T25" s="714">
        <f>'SVB-รายสัปดาห์'!T63</f>
        <v>1</v>
      </c>
      <c r="U25" s="714">
        <f>'SVB-รายสัปดาห์'!U63</f>
        <v>1</v>
      </c>
      <c r="V25" s="714"/>
    </row>
    <row r="26" spans="1:22" ht="18" customHeight="1">
      <c r="A26" s="452" t="s">
        <v>1243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4"/>
      <c r="T26" s="714"/>
      <c r="U26" s="714"/>
      <c r="V26" s="714"/>
    </row>
    <row r="27" spans="1:22" ht="18" customHeight="1">
      <c r="A27" s="452" t="s">
        <v>1244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4">
        <f>'SVB-รายสัปดาห์'!S71</f>
        <v>0.99775280898876406</v>
      </c>
      <c r="T27" s="714">
        <f>'SVB-รายสัปดาห์'!T71</f>
        <v>1</v>
      </c>
      <c r="U27" s="714">
        <f>'SVB-รายสัปดาห์'!U71</f>
        <v>1</v>
      </c>
      <c r="V27" s="714"/>
    </row>
    <row r="28" spans="1:22" ht="18" customHeight="1">
      <c r="A28" s="452" t="s">
        <v>1245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4"/>
      <c r="T28" s="714"/>
      <c r="U28" s="714"/>
      <c r="V28" s="714"/>
    </row>
    <row r="29" spans="1:22" ht="18" customHeight="1">
      <c r="A29" s="454" t="s">
        <v>1246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5"/>
      <c r="T29" s="715"/>
      <c r="U29" s="715"/>
      <c r="V29" s="715"/>
    </row>
    <row r="30" spans="1:22" ht="18" customHeight="1">
      <c r="A30" s="454" t="s">
        <v>1247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5"/>
      <c r="T30" s="715"/>
      <c r="U30" s="715"/>
      <c r="V30" s="715"/>
    </row>
    <row r="31" spans="1:22" ht="18" customHeight="1">
      <c r="A31" s="454" t="s">
        <v>1248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5"/>
      <c r="T31" s="715"/>
      <c r="U31" s="715"/>
      <c r="V31" s="71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2" customWidth="1"/>
    <col min="2" max="8" width="14" style="422" customWidth="1"/>
    <col min="9" max="9" width="8.6640625" style="422"/>
    <col min="10" max="10" width="16.33203125" style="422" customWidth="1"/>
    <col min="11" max="16" width="14.33203125" style="422" customWidth="1"/>
    <col min="17" max="17" width="14.6640625" style="422" customWidth="1"/>
    <col min="18" max="18" width="8.6640625" style="422"/>
    <col min="19" max="26" width="15.33203125" style="422" customWidth="1"/>
    <col min="27" max="16384" width="8.6640625" style="422"/>
  </cols>
  <sheetData>
    <row r="1" spans="1:26" ht="30" customHeight="1">
      <c r="A1" s="997" t="s">
        <v>1249</v>
      </c>
      <c r="B1" s="997"/>
      <c r="C1" s="997"/>
      <c r="D1" s="997"/>
      <c r="E1" s="997"/>
      <c r="F1" s="997"/>
      <c r="G1" s="997"/>
      <c r="H1" s="997"/>
      <c r="J1" s="997" t="s">
        <v>1250</v>
      </c>
      <c r="K1" s="997"/>
      <c r="L1" s="997"/>
      <c r="M1" s="997"/>
      <c r="N1" s="997"/>
      <c r="O1" s="997"/>
      <c r="P1" s="997"/>
      <c r="Q1" s="997"/>
      <c r="S1" s="997" t="s">
        <v>1251</v>
      </c>
      <c r="T1" s="997"/>
      <c r="U1" s="997"/>
      <c r="V1" s="997"/>
      <c r="W1" s="997"/>
      <c r="X1" s="997"/>
      <c r="Y1" s="997"/>
      <c r="Z1" s="997"/>
    </row>
    <row r="2" spans="1:26" ht="18" customHeight="1">
      <c r="A2" s="1065" t="s">
        <v>1252</v>
      </c>
      <c r="B2" s="1065"/>
      <c r="C2" s="1065"/>
      <c r="D2" s="1065"/>
      <c r="E2" s="1065"/>
      <c r="F2" s="1065"/>
      <c r="G2" s="1065"/>
      <c r="H2" s="1065"/>
      <c r="J2" s="1065" t="s">
        <v>1252</v>
      </c>
      <c r="K2" s="1065"/>
      <c r="L2" s="1065"/>
      <c r="M2" s="1065"/>
      <c r="N2" s="1065"/>
      <c r="O2" s="1065"/>
      <c r="P2" s="1065"/>
      <c r="Q2" s="1065"/>
      <c r="S2" s="1065" t="s">
        <v>1252</v>
      </c>
      <c r="T2" s="1065"/>
      <c r="U2" s="1065"/>
      <c r="V2" s="1065"/>
      <c r="W2" s="1065"/>
      <c r="X2" s="1065"/>
      <c r="Y2" s="1065"/>
      <c r="Z2" s="1065"/>
    </row>
    <row r="4" spans="1:26" ht="15.75" customHeight="1">
      <c r="A4" s="545" t="s">
        <v>1253</v>
      </c>
      <c r="B4" s="546" t="s">
        <v>1254</v>
      </c>
      <c r="J4" s="545" t="s">
        <v>1253</v>
      </c>
      <c r="K4" s="546" t="s">
        <v>360</v>
      </c>
      <c r="S4" s="545" t="s">
        <v>1253</v>
      </c>
      <c r="T4" s="546" t="s">
        <v>539</v>
      </c>
    </row>
    <row r="5" spans="1:26" ht="4.5" customHeight="1"/>
    <row r="6" spans="1:26" ht="19.5" customHeight="1">
      <c r="A6" s="616" t="s">
        <v>351</v>
      </c>
      <c r="B6" s="616" t="s">
        <v>1255</v>
      </c>
      <c r="C6" s="616" t="s">
        <v>1256</v>
      </c>
      <c r="D6" s="616" t="s">
        <v>1257</v>
      </c>
      <c r="E6" s="616" t="s">
        <v>28</v>
      </c>
      <c r="F6" s="616" t="s">
        <v>1246</v>
      </c>
      <c r="G6" s="616" t="s">
        <v>1247</v>
      </c>
      <c r="H6" s="616" t="s">
        <v>1248</v>
      </c>
      <c r="J6" s="616" t="s">
        <v>351</v>
      </c>
      <c r="K6" s="616" t="s">
        <v>1255</v>
      </c>
      <c r="L6" s="616" t="s">
        <v>1256</v>
      </c>
      <c r="M6" s="616" t="s">
        <v>1257</v>
      </c>
      <c r="N6" s="616" t="s">
        <v>28</v>
      </c>
      <c r="O6" s="616" t="s">
        <v>1246</v>
      </c>
      <c r="P6" s="616" t="s">
        <v>1247</v>
      </c>
      <c r="Q6" s="616" t="s">
        <v>1248</v>
      </c>
      <c r="S6" s="616" t="s">
        <v>351</v>
      </c>
      <c r="T6" s="616" t="s">
        <v>1255</v>
      </c>
      <c r="U6" s="616" t="s">
        <v>1256</v>
      </c>
      <c r="V6" s="616" t="s">
        <v>1257</v>
      </c>
      <c r="W6" s="616" t="s">
        <v>28</v>
      </c>
      <c r="X6" s="616" t="s">
        <v>1246</v>
      </c>
      <c r="Y6" s="616" t="s">
        <v>1247</v>
      </c>
      <c r="Z6" s="616" t="s">
        <v>1248</v>
      </c>
    </row>
    <row r="7" spans="1:26" ht="18" customHeight="1">
      <c r="A7" s="541" t="s">
        <v>1254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1254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1254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813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813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813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539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539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539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360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360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360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423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423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423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855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855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855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771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771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771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634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634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634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1258</v>
      </c>
      <c r="J16" s="549" t="s">
        <v>1258</v>
      </c>
      <c r="S16" s="549" t="s">
        <v>1258</v>
      </c>
    </row>
    <row r="17" spans="1:26" ht="19.5" customHeight="1">
      <c r="A17" s="550" t="s">
        <v>351</v>
      </c>
      <c r="B17" s="550" t="s">
        <v>1255</v>
      </c>
      <c r="C17" s="550" t="s">
        <v>1256</v>
      </c>
      <c r="D17" s="550" t="s">
        <v>1257</v>
      </c>
      <c r="E17" s="550" t="s">
        <v>28</v>
      </c>
      <c r="F17" s="550" t="s">
        <v>1246</v>
      </c>
      <c r="G17" s="550" t="s">
        <v>1247</v>
      </c>
      <c r="H17" s="550" t="s">
        <v>1248</v>
      </c>
      <c r="J17" s="550" t="s">
        <v>351</v>
      </c>
      <c r="K17" s="550" t="s">
        <v>1255</v>
      </c>
      <c r="L17" s="550" t="s">
        <v>1256</v>
      </c>
      <c r="M17" s="550" t="s">
        <v>1257</v>
      </c>
      <c r="N17" s="550" t="s">
        <v>28</v>
      </c>
      <c r="O17" s="550" t="s">
        <v>1246</v>
      </c>
      <c r="P17" s="550" t="s">
        <v>1247</v>
      </c>
      <c r="Q17" s="550" t="s">
        <v>1248</v>
      </c>
      <c r="S17" s="550" t="s">
        <v>351</v>
      </c>
      <c r="T17" s="550" t="s">
        <v>1255</v>
      </c>
      <c r="U17" s="550" t="s">
        <v>1256</v>
      </c>
      <c r="V17" s="550" t="s">
        <v>1257</v>
      </c>
      <c r="W17" s="550" t="s">
        <v>28</v>
      </c>
      <c r="X17" s="550" t="s">
        <v>1246</v>
      </c>
      <c r="Y17" s="550" t="s">
        <v>1247</v>
      </c>
      <c r="Z17" s="550" t="s">
        <v>1248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1254</v>
      </c>
    </row>
    <row r="51" spans="1:1" ht="15" hidden="1" customHeight="1">
      <c r="A51" s="422" t="s">
        <v>813</v>
      </c>
    </row>
    <row r="52" spans="1:1" ht="15" hidden="1" customHeight="1">
      <c r="A52" s="422" t="s">
        <v>539</v>
      </c>
    </row>
    <row r="53" spans="1:1" ht="15" hidden="1" customHeight="1">
      <c r="A53" s="422" t="s">
        <v>360</v>
      </c>
    </row>
    <row r="54" spans="1:1" ht="15" hidden="1" customHeight="1">
      <c r="A54" s="422" t="s">
        <v>423</v>
      </c>
    </row>
    <row r="55" spans="1:1" ht="15" hidden="1" customHeight="1">
      <c r="A55" s="422" t="s">
        <v>855</v>
      </c>
    </row>
    <row r="56" spans="1:1" ht="15" hidden="1" customHeight="1">
      <c r="A56" s="422" t="s">
        <v>771</v>
      </c>
    </row>
    <row r="57" spans="1:1" ht="15" hidden="1" customHeight="1">
      <c r="A57" s="422" t="s">
        <v>634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2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8" width="9.33203125" style="422" customWidth="1"/>
    <col min="9" max="9" width="8.33203125" style="422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8.33203125" style="422" customWidth="1"/>
    <col min="18" max="16384" width="8.6640625" style="422"/>
  </cols>
  <sheetData>
    <row r="1" spans="1:22" ht="30" customHeight="1">
      <c r="A1" s="997" t="s">
        <v>1259</v>
      </c>
      <c r="B1" s="997"/>
      <c r="C1" s="997"/>
      <c r="D1" s="997"/>
      <c r="E1" s="997"/>
      <c r="F1" s="997"/>
      <c r="G1" s="997"/>
      <c r="H1" s="997"/>
      <c r="I1" s="997"/>
      <c r="J1" s="997"/>
      <c r="K1" s="997"/>
      <c r="L1" s="997"/>
      <c r="M1" s="997"/>
      <c r="N1" s="997"/>
      <c r="O1" s="997"/>
      <c r="P1" s="997"/>
      <c r="Q1" s="997"/>
      <c r="R1" s="997"/>
      <c r="S1" s="997"/>
      <c r="T1" s="997"/>
    </row>
    <row r="2" spans="1:22" ht="18" customHeight="1">
      <c r="A2" s="1065" t="s">
        <v>1260</v>
      </c>
      <c r="B2" s="1065"/>
      <c r="C2" s="1065"/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</row>
    <row r="3" spans="1:22" ht="18">
      <c r="A3" s="579" t="s">
        <v>1261</v>
      </c>
    </row>
    <row r="4" spans="1:22" ht="28.8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314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888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894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337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6">
        <f t="shared" si="0"/>
        <v>280</v>
      </c>
    </row>
    <row r="9" spans="1:22" ht="18" customHeight="1">
      <c r="A9" s="448" t="s">
        <v>338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6">
        <f t="shared" si="0"/>
        <v>280</v>
      </c>
    </row>
    <row r="10" spans="1:22" ht="18" customHeight="1">
      <c r="A10" s="448" t="s">
        <v>339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6">
        <f t="shared" si="0"/>
        <v>280</v>
      </c>
    </row>
    <row r="11" spans="1:22" ht="18" customHeight="1">
      <c r="A11" s="448" t="s">
        <v>1234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6">
        <f t="shared" si="0"/>
        <v>227</v>
      </c>
    </row>
    <row r="12" spans="1:22" ht="18" customHeight="1">
      <c r="A12" s="448" t="s">
        <v>1233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6">
        <f t="shared" si="0"/>
        <v>43</v>
      </c>
    </row>
    <row r="13" spans="1:22" ht="18" customHeight="1">
      <c r="A13" s="448" t="s">
        <v>340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6"/>
    </row>
    <row r="14" spans="1:22" ht="18" customHeight="1">
      <c r="A14" s="448" t="s">
        <v>1238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6"/>
    </row>
    <row r="15" spans="1:22" ht="18" customHeight="1">
      <c r="A15" s="448" t="s">
        <v>1240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6"/>
    </row>
    <row r="16" spans="1:22" ht="18" customHeight="1">
      <c r="A16" s="452" t="s">
        <v>320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7">
        <f>SUM(B16:U16)</f>
        <v>18</v>
      </c>
    </row>
    <row r="17" spans="1:22" ht="18" customHeight="1">
      <c r="A17" s="452" t="s">
        <v>321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7">
        <f t="shared" ref="V17:V21" si="1">SUM(B17:U17)</f>
        <v>2</v>
      </c>
    </row>
    <row r="18" spans="1:22" ht="18" customHeight="1">
      <c r="A18" s="452" t="s">
        <v>890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7">
        <f t="shared" si="1"/>
        <v>18</v>
      </c>
    </row>
    <row r="19" spans="1:22" ht="18" customHeight="1">
      <c r="A19" s="452" t="s">
        <v>891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7">
        <f t="shared" si="1"/>
        <v>2</v>
      </c>
    </row>
    <row r="20" spans="1:22" ht="18" customHeight="1">
      <c r="A20" s="452" t="s">
        <v>896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7">
        <f t="shared" si="1"/>
        <v>0</v>
      </c>
    </row>
    <row r="21" spans="1:22" ht="18" customHeight="1">
      <c r="A21" s="452" t="s">
        <v>897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7">
        <f t="shared" si="1"/>
        <v>0</v>
      </c>
    </row>
    <row r="22" spans="1:22" ht="18" customHeight="1">
      <c r="A22" s="450" t="s">
        <v>1241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342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343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1242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1243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1244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1245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1246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1247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1248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1262</v>
      </c>
    </row>
    <row r="118" spans="1:22" ht="28.8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314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888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894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337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6">
        <f t="shared" si="2"/>
        <v>169</v>
      </c>
    </row>
    <row r="123" spans="1:22" ht="18" customHeight="1">
      <c r="A123" s="448" t="s">
        <v>338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6">
        <f t="shared" si="2"/>
        <v>169</v>
      </c>
    </row>
    <row r="124" spans="1:22" ht="18" customHeight="1">
      <c r="A124" s="448" t="s">
        <v>339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6">
        <f t="shared" si="2"/>
        <v>169</v>
      </c>
    </row>
    <row r="125" spans="1:22" ht="18" customHeight="1">
      <c r="A125" s="448" t="s">
        <v>1234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6">
        <f t="shared" si="2"/>
        <v>141</v>
      </c>
    </row>
    <row r="126" spans="1:22" ht="18" customHeight="1">
      <c r="A126" s="448" t="s">
        <v>1233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6">
        <f t="shared" si="2"/>
        <v>24</v>
      </c>
    </row>
    <row r="127" spans="1:22" ht="18" customHeight="1">
      <c r="A127" s="448" t="s">
        <v>340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6"/>
    </row>
    <row r="128" spans="1:22" ht="18" customHeight="1">
      <c r="A128" s="448" t="s">
        <v>1238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6"/>
    </row>
    <row r="129" spans="1:22" ht="18" customHeight="1">
      <c r="A129" s="448" t="s">
        <v>1240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6"/>
    </row>
    <row r="130" spans="1:22" ht="18" customHeight="1">
      <c r="A130" s="452" t="s">
        <v>320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7">
        <f>SUM(B130:U130)</f>
        <v>27</v>
      </c>
    </row>
    <row r="131" spans="1:22" ht="18" customHeight="1">
      <c r="A131" s="452" t="s">
        <v>321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7">
        <f t="shared" ref="V131:V135" si="3">SUM(B131:U131)</f>
        <v>26</v>
      </c>
    </row>
    <row r="132" spans="1:22" ht="18" customHeight="1">
      <c r="A132" s="452" t="s">
        <v>890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7">
        <f t="shared" si="3"/>
        <v>1</v>
      </c>
    </row>
    <row r="133" spans="1:22" ht="18" customHeight="1">
      <c r="A133" s="452" t="s">
        <v>891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7">
        <f t="shared" si="3"/>
        <v>0</v>
      </c>
    </row>
    <row r="134" spans="1:22" ht="18" customHeight="1">
      <c r="A134" s="452" t="s">
        <v>896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7">
        <f t="shared" si="3"/>
        <v>24</v>
      </c>
    </row>
    <row r="135" spans="1:22" ht="18" customHeight="1">
      <c r="A135" s="452" t="s">
        <v>897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7">
        <f t="shared" si="3"/>
        <v>24</v>
      </c>
    </row>
    <row r="136" spans="1:22" ht="18" customHeight="1">
      <c r="A136" s="450" t="s">
        <v>1241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342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343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1242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1243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1244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1245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1246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1247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1248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1" bestFit="1" customWidth="1"/>
    <col min="20" max="20" width="8.6640625" style="203" bestFit="1" customWidth="1"/>
    <col min="21" max="21" width="8.6640625" style="421" bestFit="1" customWidth="1"/>
    <col min="22" max="16384" width="9.109375" style="220"/>
  </cols>
  <sheetData>
    <row r="1" spans="1:21" ht="31.2">
      <c r="A1" s="377" t="s">
        <v>0</v>
      </c>
      <c r="B1" s="378" t="s">
        <v>1263</v>
      </c>
      <c r="C1" s="379" t="s">
        <v>352</v>
      </c>
      <c r="D1" s="379" t="s">
        <v>1264</v>
      </c>
      <c r="E1" s="379" t="s">
        <v>1265</v>
      </c>
      <c r="F1" s="379" t="s">
        <v>355</v>
      </c>
      <c r="G1" s="379" t="s">
        <v>356</v>
      </c>
      <c r="H1" s="379" t="s">
        <v>3</v>
      </c>
      <c r="I1" s="667" t="s">
        <v>1266</v>
      </c>
      <c r="J1" s="667" t="s">
        <v>1267</v>
      </c>
      <c r="K1" s="667" t="s">
        <v>1268</v>
      </c>
      <c r="L1" s="667" t="s">
        <v>1269</v>
      </c>
      <c r="M1" s="667" t="s">
        <v>1270</v>
      </c>
      <c r="N1" s="373" t="s">
        <v>1271</v>
      </c>
      <c r="O1" s="373" t="s">
        <v>1272</v>
      </c>
      <c r="P1" s="374" t="s">
        <v>29</v>
      </c>
      <c r="Q1" s="375" t="s">
        <v>30</v>
      </c>
      <c r="R1" s="419" t="s">
        <v>359</v>
      </c>
      <c r="S1" s="419" t="s">
        <v>33</v>
      </c>
      <c r="T1" s="419" t="s">
        <v>1273</v>
      </c>
      <c r="U1" s="419" t="s">
        <v>1274</v>
      </c>
    </row>
    <row r="2" spans="1:21">
      <c r="A2">
        <v>1</v>
      </c>
      <c r="B2" s="644" t="s">
        <v>1275</v>
      </c>
      <c r="C2" s="665" t="s">
        <v>492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366</v>
      </c>
      <c r="I2" s="646">
        <v>46100</v>
      </c>
      <c r="J2" s="646">
        <v>46102</v>
      </c>
      <c r="K2" s="668">
        <v>1</v>
      </c>
      <c r="L2" s="668">
        <v>1</v>
      </c>
      <c r="M2" s="645" t="s">
        <v>366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1276</v>
      </c>
      <c r="C3" s="665" t="s">
        <v>492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366</v>
      </c>
      <c r="I3" s="646">
        <v>46087</v>
      </c>
      <c r="J3" s="646">
        <v>46087</v>
      </c>
      <c r="K3" s="668">
        <v>1</v>
      </c>
      <c r="L3" s="668">
        <v>1</v>
      </c>
      <c r="M3" s="645" t="s">
        <v>366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1277</v>
      </c>
      <c r="C4" s="665" t="s">
        <v>492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366</v>
      </c>
      <c r="I4" s="646">
        <v>46101</v>
      </c>
      <c r="J4" s="666"/>
      <c r="K4" s="668">
        <v>1</v>
      </c>
      <c r="L4" s="668"/>
      <c r="M4" s="668" t="s">
        <v>142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1278</v>
      </c>
      <c r="C5" s="665" t="s">
        <v>492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366</v>
      </c>
      <c r="I5" s="646">
        <v>46107</v>
      </c>
      <c r="J5" s="666"/>
      <c r="K5" s="668">
        <v>1</v>
      </c>
      <c r="L5" s="668"/>
      <c r="M5" s="668" t="s">
        <v>142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1279</v>
      </c>
      <c r="C6" s="665" t="s">
        <v>492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366</v>
      </c>
      <c r="I6" s="646">
        <v>46108</v>
      </c>
      <c r="J6" s="666"/>
      <c r="K6" s="668">
        <v>1</v>
      </c>
      <c r="L6" s="668"/>
      <c r="M6" s="668" t="s">
        <v>142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1280</v>
      </c>
      <c r="C7" s="665" t="s">
        <v>492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366</v>
      </c>
      <c r="I7" s="646">
        <v>46114</v>
      </c>
      <c r="J7" s="666"/>
      <c r="K7" s="668">
        <v>1</v>
      </c>
      <c r="L7" s="668"/>
      <c r="M7" s="668" t="s">
        <v>142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1281</v>
      </c>
      <c r="C8" s="665" t="s">
        <v>492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366</v>
      </c>
      <c r="I8" s="646">
        <v>46088</v>
      </c>
      <c r="J8" s="646">
        <v>46088</v>
      </c>
      <c r="K8" s="668">
        <v>1</v>
      </c>
      <c r="L8" s="668">
        <v>1</v>
      </c>
      <c r="M8" s="645" t="s">
        <v>366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1282</v>
      </c>
      <c r="C9" s="665" t="s">
        <v>492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366</v>
      </c>
      <c r="I9" s="646">
        <v>46073</v>
      </c>
      <c r="J9" s="646">
        <v>46073</v>
      </c>
      <c r="K9" s="668">
        <v>1</v>
      </c>
      <c r="L9" s="668">
        <v>1</v>
      </c>
      <c r="M9" s="645" t="s">
        <v>366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1283</v>
      </c>
      <c r="C10" s="665" t="s">
        <v>492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366</v>
      </c>
      <c r="I10" s="646">
        <v>46115</v>
      </c>
      <c r="J10" s="666"/>
      <c r="K10" s="668">
        <v>1</v>
      </c>
      <c r="L10" s="668"/>
      <c r="M10" s="668" t="s">
        <v>142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1284</v>
      </c>
      <c r="C11" s="665" t="s">
        <v>492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366</v>
      </c>
      <c r="I11" s="646">
        <v>46121</v>
      </c>
      <c r="J11" s="666"/>
      <c r="K11" s="668">
        <v>1</v>
      </c>
      <c r="L11" s="668"/>
      <c r="M11" s="668" t="s">
        <v>142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1285</v>
      </c>
      <c r="C12" s="665" t="s">
        <v>406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366</v>
      </c>
      <c r="I12" s="646">
        <v>46177</v>
      </c>
      <c r="J12" s="666"/>
      <c r="K12" s="668">
        <v>1</v>
      </c>
      <c r="L12" s="668"/>
      <c r="M12" s="668" t="s">
        <v>142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1286</v>
      </c>
      <c r="C13" s="665" t="s">
        <v>406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366</v>
      </c>
      <c r="I13" s="646">
        <v>46178</v>
      </c>
      <c r="J13" s="666"/>
      <c r="K13" s="668">
        <v>1</v>
      </c>
      <c r="L13" s="668"/>
      <c r="M13" s="668" t="s">
        <v>142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1287</v>
      </c>
      <c r="C14" s="665" t="s">
        <v>406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366</v>
      </c>
      <c r="I14" s="646">
        <v>46184</v>
      </c>
      <c r="J14" s="666"/>
      <c r="K14" s="668">
        <v>1</v>
      </c>
      <c r="L14" s="668"/>
      <c r="M14" s="668" t="s">
        <v>142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1288</v>
      </c>
      <c r="C15" s="665" t="s">
        <v>406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366</v>
      </c>
      <c r="I15" s="646">
        <v>46185</v>
      </c>
      <c r="J15" s="666"/>
      <c r="K15" s="668">
        <v>1</v>
      </c>
      <c r="L15" s="668"/>
      <c r="M15" s="668" t="s">
        <v>142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1289</v>
      </c>
      <c r="C16" s="665" t="s">
        <v>406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366</v>
      </c>
      <c r="I16" s="646">
        <v>46191</v>
      </c>
      <c r="J16" s="666"/>
      <c r="K16" s="668">
        <v>1</v>
      </c>
      <c r="L16" s="668"/>
      <c r="M16" s="668" t="s">
        <v>142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1290</v>
      </c>
      <c r="C17" s="665" t="s">
        <v>406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366</v>
      </c>
      <c r="I17" s="646">
        <v>46192</v>
      </c>
      <c r="J17" s="666"/>
      <c r="K17" s="668">
        <v>1</v>
      </c>
      <c r="L17" s="668"/>
      <c r="M17" s="668" t="s">
        <v>142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1291</v>
      </c>
      <c r="C18" s="665" t="s">
        <v>406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366</v>
      </c>
      <c r="I18" s="646">
        <v>46198</v>
      </c>
      <c r="J18" s="666"/>
      <c r="K18" s="668">
        <v>1</v>
      </c>
      <c r="L18" s="668"/>
      <c r="M18" s="668" t="s">
        <v>142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1292</v>
      </c>
      <c r="C19" s="665" t="s">
        <v>406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366</v>
      </c>
      <c r="I19" s="646">
        <v>46199</v>
      </c>
      <c r="J19" s="666"/>
      <c r="K19" s="668">
        <v>1</v>
      </c>
      <c r="L19" s="668"/>
      <c r="M19" s="668" t="s">
        <v>142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1293</v>
      </c>
      <c r="C20" s="665" t="s">
        <v>733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366</v>
      </c>
      <c r="I20" s="646">
        <v>46045</v>
      </c>
      <c r="J20" s="646">
        <v>46045</v>
      </c>
      <c r="K20" s="668">
        <v>1</v>
      </c>
      <c r="L20" s="668">
        <v>1</v>
      </c>
      <c r="M20" s="645" t="s">
        <v>366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1294</v>
      </c>
      <c r="C21" s="665" t="s">
        <v>733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366</v>
      </c>
      <c r="I21" s="646">
        <v>46122</v>
      </c>
      <c r="J21" s="666"/>
      <c r="K21" s="668">
        <v>1</v>
      </c>
      <c r="L21" s="668"/>
      <c r="M21" s="668" t="s">
        <v>142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1295</v>
      </c>
      <c r="C22" s="665" t="s">
        <v>733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366</v>
      </c>
      <c r="I22" s="646">
        <v>46135</v>
      </c>
      <c r="J22" s="666"/>
      <c r="K22" s="668">
        <v>1</v>
      </c>
      <c r="L22" s="668"/>
      <c r="M22" s="668" t="s">
        <v>142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1296</v>
      </c>
      <c r="C23" s="665" t="s">
        <v>733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366</v>
      </c>
      <c r="I23" s="646">
        <v>46136</v>
      </c>
      <c r="J23" s="666"/>
      <c r="K23" s="668">
        <v>1</v>
      </c>
      <c r="L23" s="668"/>
      <c r="M23" s="668" t="s">
        <v>142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1297</v>
      </c>
      <c r="C24" s="665" t="s">
        <v>733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366</v>
      </c>
      <c r="I24" s="646">
        <v>46067</v>
      </c>
      <c r="J24" s="646">
        <v>46067</v>
      </c>
      <c r="K24" s="668">
        <v>1</v>
      </c>
      <c r="L24" s="668">
        <v>1</v>
      </c>
      <c r="M24" s="645" t="s">
        <v>366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1298</v>
      </c>
      <c r="C25" s="665" t="s">
        <v>733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366</v>
      </c>
      <c r="I25" s="646">
        <v>46074</v>
      </c>
      <c r="J25" s="646">
        <v>46074</v>
      </c>
      <c r="K25" s="668">
        <v>1</v>
      </c>
      <c r="L25" s="668">
        <v>1</v>
      </c>
      <c r="M25" s="645" t="s">
        <v>366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1299</v>
      </c>
      <c r="C26" s="665" t="s">
        <v>733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366</v>
      </c>
      <c r="I26" s="646">
        <v>46142</v>
      </c>
      <c r="J26" s="666"/>
      <c r="K26" s="668">
        <v>1</v>
      </c>
      <c r="L26" s="668"/>
      <c r="M26" s="668" t="s">
        <v>142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1300</v>
      </c>
      <c r="C27" s="665" t="s">
        <v>733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366</v>
      </c>
      <c r="I27" s="646">
        <v>46143</v>
      </c>
      <c r="J27" s="666"/>
      <c r="K27" s="668">
        <v>1</v>
      </c>
      <c r="L27" s="668"/>
      <c r="M27" s="668" t="s">
        <v>142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1301</v>
      </c>
      <c r="C28" s="665" t="s">
        <v>733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366</v>
      </c>
      <c r="I28" s="646">
        <v>46149</v>
      </c>
      <c r="J28" s="666"/>
      <c r="K28" s="668">
        <v>1</v>
      </c>
      <c r="L28" s="668"/>
      <c r="M28" s="668" t="s">
        <v>142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1302</v>
      </c>
      <c r="C29" s="665" t="s">
        <v>733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366</v>
      </c>
      <c r="I29" s="646">
        <v>46150</v>
      </c>
      <c r="J29" s="666"/>
      <c r="K29" s="668">
        <v>1</v>
      </c>
      <c r="L29" s="668"/>
      <c r="M29" s="668" t="s">
        <v>142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1303</v>
      </c>
      <c r="C30" s="665" t="s">
        <v>747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366</v>
      </c>
      <c r="I30" s="646">
        <v>46156</v>
      </c>
      <c r="J30" s="666"/>
      <c r="K30" s="668">
        <v>1</v>
      </c>
      <c r="L30" s="668"/>
      <c r="M30" s="668" t="s">
        <v>142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1304</v>
      </c>
      <c r="C31" s="665" t="s">
        <v>747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366</v>
      </c>
      <c r="I31" s="646">
        <v>46157</v>
      </c>
      <c r="J31" s="666"/>
      <c r="K31" s="668">
        <v>1</v>
      </c>
      <c r="L31" s="668"/>
      <c r="M31" s="668" t="s">
        <v>142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1305</v>
      </c>
      <c r="C32" s="665" t="s">
        <v>747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366</v>
      </c>
      <c r="I32" s="646">
        <v>46066</v>
      </c>
      <c r="J32" s="646">
        <v>46066</v>
      </c>
      <c r="K32" s="668">
        <v>1</v>
      </c>
      <c r="L32" s="668">
        <v>1</v>
      </c>
      <c r="M32" s="645" t="s">
        <v>366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1306</v>
      </c>
      <c r="C33" s="665" t="s">
        <v>747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366</v>
      </c>
      <c r="I33" s="646">
        <v>46163</v>
      </c>
      <c r="J33" s="666"/>
      <c r="K33" s="668">
        <v>1</v>
      </c>
      <c r="L33" s="668"/>
      <c r="M33" s="668" t="s">
        <v>142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1307</v>
      </c>
      <c r="C34" s="665" t="s">
        <v>747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366</v>
      </c>
      <c r="I34" s="646">
        <v>46164</v>
      </c>
      <c r="J34" s="666"/>
      <c r="K34" s="668">
        <v>1</v>
      </c>
      <c r="L34" s="668"/>
      <c r="M34" s="668" t="s">
        <v>142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1308</v>
      </c>
      <c r="C35" s="665" t="s">
        <v>747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366</v>
      </c>
      <c r="I35" s="646">
        <v>46170</v>
      </c>
      <c r="J35" s="666"/>
      <c r="K35" s="668">
        <v>1</v>
      </c>
      <c r="L35" s="668"/>
      <c r="M35" s="668" t="s">
        <v>142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1309</v>
      </c>
      <c r="C36" s="665" t="s">
        <v>703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366</v>
      </c>
      <c r="I36" s="646">
        <v>46171</v>
      </c>
      <c r="J36" s="666"/>
      <c r="K36" s="668">
        <v>1</v>
      </c>
      <c r="L36" s="668"/>
      <c r="M36" s="668" t="s">
        <v>142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1310</v>
      </c>
      <c r="C37" s="665" t="s">
        <v>703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366</v>
      </c>
      <c r="I37" s="646">
        <v>46205</v>
      </c>
      <c r="J37" s="666"/>
      <c r="K37" s="668">
        <v>1</v>
      </c>
      <c r="L37" s="668"/>
      <c r="M37" s="668" t="s">
        <v>142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1311</v>
      </c>
      <c r="C38" s="665" t="s">
        <v>703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366</v>
      </c>
      <c r="I38" s="646">
        <v>46206</v>
      </c>
      <c r="J38" s="666"/>
      <c r="K38" s="668">
        <v>1</v>
      </c>
      <c r="L38" s="668"/>
      <c r="M38" s="668" t="s">
        <v>142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1312</v>
      </c>
      <c r="C39" s="665" t="s">
        <v>703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366</v>
      </c>
      <c r="I39" s="646">
        <v>46212</v>
      </c>
      <c r="J39" s="666"/>
      <c r="K39" s="668">
        <v>1</v>
      </c>
      <c r="L39" s="668"/>
      <c r="M39" s="668" t="s">
        <v>142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1313</v>
      </c>
      <c r="C40" s="665" t="s">
        <v>703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366</v>
      </c>
      <c r="I40" s="646">
        <v>46213</v>
      </c>
      <c r="J40" s="666"/>
      <c r="K40" s="668">
        <v>1</v>
      </c>
      <c r="L40" s="668"/>
      <c r="M40" s="668" t="s">
        <v>142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70" customWidth="1"/>
    <col min="2" max="39" width="10.5546875" style="670" bestFit="1" customWidth="1"/>
    <col min="40" max="40" width="16" style="670" customWidth="1"/>
    <col min="41" max="16384" width="8.88671875" style="670"/>
  </cols>
  <sheetData>
    <row r="1" spans="1:40" ht="30" customHeight="1">
      <c r="A1" s="1069" t="s">
        <v>1314</v>
      </c>
      <c r="B1" s="1067"/>
      <c r="C1" s="1067"/>
      <c r="D1" s="1067"/>
      <c r="E1" s="1067"/>
      <c r="F1" s="1067"/>
      <c r="G1" s="1067"/>
      <c r="H1" s="1067"/>
      <c r="I1" s="1067"/>
      <c r="J1" s="1067"/>
      <c r="K1" s="1067"/>
      <c r="L1" s="1067"/>
      <c r="M1" s="1067"/>
      <c r="N1" s="1067"/>
      <c r="O1" s="1067"/>
      <c r="P1" s="1067"/>
      <c r="Q1" s="1067"/>
      <c r="R1" s="1067"/>
      <c r="S1" s="1067"/>
      <c r="T1" s="1067"/>
      <c r="U1" s="1067"/>
      <c r="V1" s="1067"/>
      <c r="W1" s="1067"/>
      <c r="X1" s="1067"/>
      <c r="Y1" s="1067"/>
      <c r="Z1" s="1067"/>
      <c r="AA1" s="1067"/>
      <c r="AB1" s="1067"/>
      <c r="AC1" s="1067"/>
      <c r="AD1" s="1067"/>
      <c r="AE1" s="1067"/>
      <c r="AF1" s="1067"/>
      <c r="AG1" s="1067"/>
      <c r="AH1" s="1067"/>
      <c r="AI1" s="1067"/>
      <c r="AJ1" s="1067"/>
      <c r="AK1" s="1067"/>
      <c r="AL1" s="1067"/>
      <c r="AM1" s="1067"/>
      <c r="AN1" s="1068"/>
    </row>
    <row r="2" spans="1:40" ht="18" customHeight="1">
      <c r="A2" s="1070" t="s">
        <v>1315</v>
      </c>
      <c r="B2" s="1067"/>
      <c r="C2" s="1067"/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67"/>
      <c r="V2" s="1067"/>
      <c r="W2" s="1067"/>
      <c r="X2" s="1067"/>
      <c r="Y2" s="1067"/>
      <c r="Z2" s="1067"/>
      <c r="AA2" s="1067"/>
      <c r="AB2" s="1067"/>
      <c r="AC2" s="1067"/>
      <c r="AD2" s="1067"/>
      <c r="AE2" s="1067"/>
      <c r="AF2" s="1067"/>
      <c r="AG2" s="1067"/>
      <c r="AH2" s="1067"/>
      <c r="AI2" s="1067"/>
      <c r="AJ2" s="1067"/>
      <c r="AK2" s="1067"/>
      <c r="AL2" s="1067"/>
      <c r="AM2" s="1067"/>
      <c r="AN2" s="1068"/>
    </row>
    <row r="3" spans="1:40" ht="4.95" customHeight="1"/>
    <row r="4" spans="1:40" ht="22.2" customHeight="1">
      <c r="A4" s="1071" t="s">
        <v>294</v>
      </c>
      <c r="B4" s="671" t="s">
        <v>1316</v>
      </c>
      <c r="C4" s="671" t="s">
        <v>1317</v>
      </c>
      <c r="D4" s="671" t="s">
        <v>1318</v>
      </c>
      <c r="E4" s="671" t="s">
        <v>1319</v>
      </c>
      <c r="F4" s="671" t="s">
        <v>1320</v>
      </c>
      <c r="G4" s="671" t="s">
        <v>1321</v>
      </c>
      <c r="H4" s="671" t="s">
        <v>1322</v>
      </c>
      <c r="I4" s="671" t="s">
        <v>1323</v>
      </c>
      <c r="J4" s="671" t="s">
        <v>1324</v>
      </c>
      <c r="K4" s="671" t="s">
        <v>1325</v>
      </c>
      <c r="L4" s="671" t="s">
        <v>1326</v>
      </c>
      <c r="M4" s="671" t="s">
        <v>1327</v>
      </c>
      <c r="N4" s="671" t="s">
        <v>1328</v>
      </c>
      <c r="O4" s="671" t="s">
        <v>1329</v>
      </c>
      <c r="P4" s="671" t="s">
        <v>1330</v>
      </c>
      <c r="Q4" s="671" t="s">
        <v>1331</v>
      </c>
      <c r="R4" s="671" t="s">
        <v>1332</v>
      </c>
      <c r="S4" s="671" t="s">
        <v>1333</v>
      </c>
      <c r="T4" s="671" t="s">
        <v>1334</v>
      </c>
      <c r="U4" s="671" t="s">
        <v>1335</v>
      </c>
      <c r="V4" s="671" t="s">
        <v>1336</v>
      </c>
      <c r="W4" s="671" t="s">
        <v>1337</v>
      </c>
      <c r="X4" s="671" t="s">
        <v>1338</v>
      </c>
      <c r="Y4" s="671" t="s">
        <v>1339</v>
      </c>
      <c r="Z4" s="671" t="s">
        <v>1340</v>
      </c>
      <c r="AA4" s="671" t="s">
        <v>1341</v>
      </c>
      <c r="AB4" s="671" t="s">
        <v>1342</v>
      </c>
      <c r="AC4" s="671" t="s">
        <v>1343</v>
      </c>
      <c r="AD4" s="671" t="s">
        <v>1344</v>
      </c>
      <c r="AE4" s="671" t="s">
        <v>1345</v>
      </c>
      <c r="AF4" s="671" t="s">
        <v>1346</v>
      </c>
      <c r="AG4" s="671" t="s">
        <v>1347</v>
      </c>
      <c r="AH4" s="671" t="s">
        <v>1348</v>
      </c>
      <c r="AI4" s="671" t="s">
        <v>1349</v>
      </c>
      <c r="AJ4" s="671" t="s">
        <v>1350</v>
      </c>
      <c r="AK4" s="671" t="s">
        <v>1351</v>
      </c>
      <c r="AL4" s="671" t="s">
        <v>1352</v>
      </c>
      <c r="AM4" s="671" t="s">
        <v>1353</v>
      </c>
      <c r="AN4" s="1071" t="s">
        <v>309</v>
      </c>
    </row>
    <row r="5" spans="1:40" ht="4.95" customHeight="1">
      <c r="A5" s="1072"/>
      <c r="AN5" s="1072"/>
    </row>
    <row r="6" spans="1:40" ht="22.2" customHeight="1">
      <c r="A6" s="1073" t="s">
        <v>1354</v>
      </c>
      <c r="B6" s="1067"/>
      <c r="C6" s="1067"/>
      <c r="D6" s="1067"/>
      <c r="E6" s="1067"/>
      <c r="F6" s="1067"/>
      <c r="G6" s="1067"/>
      <c r="H6" s="1067"/>
      <c r="I6" s="1067"/>
      <c r="J6" s="1067"/>
      <c r="K6" s="1067"/>
      <c r="L6" s="1067"/>
      <c r="M6" s="1067"/>
      <c r="N6" s="1067"/>
      <c r="O6" s="1067"/>
      <c r="P6" s="1067"/>
      <c r="Q6" s="1067"/>
      <c r="R6" s="1067"/>
      <c r="S6" s="1067"/>
      <c r="T6" s="1067"/>
      <c r="U6" s="1067"/>
      <c r="V6" s="1067"/>
      <c r="W6" s="1067"/>
      <c r="X6" s="1067"/>
      <c r="Y6" s="1067"/>
      <c r="Z6" s="1067"/>
      <c r="AA6" s="1067"/>
      <c r="AB6" s="1067"/>
      <c r="AC6" s="1067"/>
      <c r="AD6" s="1067"/>
      <c r="AE6" s="1067"/>
      <c r="AF6" s="1067"/>
      <c r="AG6" s="1067"/>
      <c r="AH6" s="1067"/>
      <c r="AI6" s="1067"/>
      <c r="AJ6" s="1067"/>
      <c r="AK6" s="1067"/>
      <c r="AL6" s="1067"/>
      <c r="AM6" s="1067"/>
      <c r="AN6" s="1068"/>
    </row>
    <row r="7" spans="1:40" ht="18" customHeight="1">
      <c r="A7" s="672" t="s">
        <v>1355</v>
      </c>
      <c r="B7" s="673" cm="1">
        <f t="array" ref="B7">SUMPRODUCT(('SVB-Coring'!$R$2:$R$40&gt;=B86)*('SVB-Coring'!$R$2:$R$40&lt;=B87)*(ISNUMBER('SVB-Coring'!$F$2:$F$40))*('SVB-Coring'!$F$2:$F$40))</f>
        <v>2</v>
      </c>
      <c r="C7" s="673" cm="1">
        <f t="array" ref="C7">SUMPRODUCT(('SVB-Coring'!$R$2:$R$40&gt;=C86)*('SVB-Coring'!$R$2:$R$40&lt;=C87)*(ISNUMBER('SVB-Coring'!$F$2:$F$40))*('SVB-Coring'!$F$2:$F$40))</f>
        <v>2</v>
      </c>
      <c r="D7" s="673" cm="1">
        <f t="array" ref="D7">SUMPRODUCT(('SVB-Coring'!$R$2:$R$40&gt;=D86)*('SVB-Coring'!$R$2:$R$40&lt;=D87)*(ISNUMBER('SVB-Coring'!$F$2:$F$40))*('SVB-Coring'!$F$2:$F$40))</f>
        <v>7</v>
      </c>
      <c r="E7" s="673" cm="1">
        <f t="array" ref="E7">SUMPRODUCT(('SVB-Coring'!$R$2:$R$40&gt;=E86)*('SVB-Coring'!$R$2:$R$40&lt;=E87)*(ISNUMBER('SVB-Coring'!$F$2:$F$40))*('SVB-Coring'!$F$2:$F$40))</f>
        <v>3</v>
      </c>
      <c r="F7" s="673" cm="1">
        <f t="array" ref="F7">SUMPRODUCT(('SVB-Coring'!$R$2:$R$40&gt;=F86)*('SVB-Coring'!$R$2:$R$40&lt;=F87)*(ISNUMBER('SVB-Coring'!$F$2:$F$40))*('SVB-Coring'!$F$2:$F$40))</f>
        <v>4</v>
      </c>
      <c r="G7" s="673" cm="1">
        <f t="array" ref="G7">SUMPRODUCT(('SVB-Coring'!$R$2:$R$40&gt;=G86)*('SVB-Coring'!$R$2:$R$40&lt;=G87)*(ISNUMBER('SVB-Coring'!$F$2:$F$40))*('SVB-Coring'!$F$2:$F$40))</f>
        <v>6</v>
      </c>
      <c r="H7" s="673" cm="1">
        <f t="array" ref="H7">SUMPRODUCT(('SVB-Coring'!$R$2:$R$40&gt;=H86)*('SVB-Coring'!$R$2:$R$40&lt;=H87)*(ISNUMBER('SVB-Coring'!$F$2:$F$40))*('SVB-Coring'!$F$2:$F$40))</f>
        <v>2</v>
      </c>
      <c r="I7" s="673" cm="1">
        <f t="array" ref="I7">SUMPRODUCT(('SVB-Coring'!$R$2:$R$40&gt;=I86)*('SVB-Coring'!$R$2:$R$40&lt;=I87)*(ISNUMBER('SVB-Coring'!$F$2:$F$40))*('SVB-Coring'!$F$2:$F$40))</f>
        <v>0</v>
      </c>
      <c r="J7" s="673" cm="1">
        <f t="array" ref="J7">SUMPRODUCT(('SVB-Coring'!$R$2:$R$40&gt;=J86)*('SVB-Coring'!$R$2:$R$40&lt;=J87)*(ISNUMBER('SVB-Coring'!$F$2:$F$40))*('SVB-Coring'!$F$2:$F$40))</f>
        <v>2</v>
      </c>
      <c r="K7" s="673" cm="1">
        <f t="array" ref="K7">SUMPRODUCT(('SVB-Coring'!$R$2:$R$40&gt;=K86)*('SVB-Coring'!$R$2:$R$40&lt;=K87)*(ISNUMBER('SVB-Coring'!$F$2:$F$40))*('SVB-Coring'!$F$2:$F$40))</f>
        <v>6</v>
      </c>
      <c r="L7" s="673" cm="1">
        <f t="array" ref="L7">SUMPRODUCT(('SVB-Coring'!$R$2:$R$40&gt;=L86)*('SVB-Coring'!$R$2:$R$40&lt;=L87)*(ISNUMBER('SVB-Coring'!$F$2:$F$40))*('SVB-Coring'!$F$2:$F$40))</f>
        <v>5</v>
      </c>
      <c r="M7" s="673" cm="1">
        <f t="array" ref="M7">SUMPRODUCT(('SVB-Coring'!$R$2:$R$40&gt;=M86)*('SVB-Coring'!$R$2:$R$40&lt;=M87)*(ISNUMBER('SVB-Coring'!$F$2:$F$40))*('SVB-Coring'!$F$2:$F$40))</f>
        <v>0</v>
      </c>
      <c r="N7" s="673" cm="1">
        <f t="array" ref="N7">SUMPRODUCT(('SVB-Coring'!$R$2:$R$40&gt;=N86)*('SVB-Coring'!$R$2:$R$40&lt;=N87)*(ISNUMBER('SVB-Coring'!$F$2:$F$40))*('SVB-Coring'!$F$2:$F$40))</f>
        <v>0</v>
      </c>
      <c r="O7" s="673" cm="1">
        <f t="array" ref="O7">SUMPRODUCT(('SVB-Coring'!$R$2:$R$40&gt;=O86)*('SVB-Coring'!$R$2:$R$40&lt;=O87)*(ISNUMBER('SVB-Coring'!$F$2:$F$40))*('SVB-Coring'!$F$2:$F$40))</f>
        <v>0</v>
      </c>
      <c r="P7" s="673" cm="1">
        <f t="array" ref="P7">SUMPRODUCT(('SVB-Coring'!$R$2:$R$40&gt;=P86)*('SVB-Coring'!$R$2:$R$40&lt;=P87)*(ISNUMBER('SVB-Coring'!$F$2:$F$40))*('SVB-Coring'!$F$2:$F$40))</f>
        <v>0</v>
      </c>
      <c r="Q7" s="673" cm="1">
        <f t="array" ref="Q7">SUMPRODUCT(('SVB-Coring'!$R$2:$R$40&gt;=Q86)*('SVB-Coring'!$R$2:$R$40&lt;=Q87)*(ISNUMBER('SVB-Coring'!$F$2:$F$40))*('SVB-Coring'!$F$2:$F$40))</f>
        <v>0</v>
      </c>
      <c r="R7" s="673" cm="1">
        <f t="array" ref="R7">SUMPRODUCT(('SVB-Coring'!$R$2:$R$40&gt;=R86)*('SVB-Coring'!$R$2:$R$40&lt;=R87)*(ISNUMBER('SVB-Coring'!$F$2:$F$40))*('SVB-Coring'!$F$2:$F$40))</f>
        <v>0</v>
      </c>
      <c r="S7" s="673" cm="1">
        <f t="array" ref="S7">SUMPRODUCT(('SVB-Coring'!$R$2:$R$40&gt;=S86)*('SVB-Coring'!$R$2:$R$40&lt;=S87)*(ISNUMBER('SVB-Coring'!$F$2:$F$40))*('SVB-Coring'!$F$2:$F$40))</f>
        <v>0</v>
      </c>
      <c r="T7" s="673" cm="1">
        <f t="array" ref="T7">SUMPRODUCT(('SVB-Coring'!$R$2:$R$40&gt;=T86)*('SVB-Coring'!$R$2:$R$40&lt;=T87)*(ISNUMBER('SVB-Coring'!$F$2:$F$40))*('SVB-Coring'!$F$2:$F$40))</f>
        <v>0</v>
      </c>
      <c r="U7" s="673" cm="1">
        <f t="array" ref="U7">SUMPRODUCT(('SVB-Coring'!$R$2:$R$40&gt;=U86)*('SVB-Coring'!$R$2:$R$40&lt;=U87)*(ISNUMBER('SVB-Coring'!$F$2:$F$40))*('SVB-Coring'!$F$2:$F$40))</f>
        <v>0</v>
      </c>
      <c r="V7" s="673" cm="1">
        <f t="array" ref="V7">SUMPRODUCT(('SVB-Coring'!$R$2:$R$40&gt;=V86)*('SVB-Coring'!$R$2:$R$40&lt;=V87)*(ISNUMBER('SVB-Coring'!$F$2:$F$40))*('SVB-Coring'!$F$2:$F$40))</f>
        <v>0</v>
      </c>
      <c r="W7" s="673" cm="1">
        <f t="array" ref="W7">SUMPRODUCT(('SVB-Coring'!$R$2:$R$40&gt;=W86)*('SVB-Coring'!$R$2:$R$40&lt;=W87)*(ISNUMBER('SVB-Coring'!$F$2:$F$40))*('SVB-Coring'!$F$2:$F$40))</f>
        <v>0</v>
      </c>
      <c r="X7" s="673" cm="1">
        <f t="array" ref="X7">SUMPRODUCT(('SVB-Coring'!$R$2:$R$40&gt;=X86)*('SVB-Coring'!$R$2:$R$40&lt;=X87)*(ISNUMBER('SVB-Coring'!$F$2:$F$40))*('SVB-Coring'!$F$2:$F$40))</f>
        <v>0</v>
      </c>
      <c r="Y7" s="673" cm="1">
        <f t="array" ref="Y7">SUMPRODUCT(('SVB-Coring'!$R$2:$R$40&gt;=Y86)*('SVB-Coring'!$R$2:$R$40&lt;=Y87)*(ISNUMBER('SVB-Coring'!$F$2:$F$40))*('SVB-Coring'!$F$2:$F$40))</f>
        <v>0</v>
      </c>
      <c r="Z7" s="673" cm="1">
        <f t="array" ref="Z7">SUMPRODUCT(('SVB-Coring'!$R$2:$R$40&gt;=Z86)*('SVB-Coring'!$R$2:$R$40&lt;=Z87)*(ISNUMBER('SVB-Coring'!$F$2:$F$40))*('SVB-Coring'!$F$2:$F$40))</f>
        <v>0</v>
      </c>
      <c r="AA7" s="673" cm="1">
        <f t="array" ref="AA7">SUMPRODUCT(('SVB-Coring'!$R$2:$R$40&gt;=AA86)*('SVB-Coring'!$R$2:$R$40&lt;=AA87)*(ISNUMBER('SVB-Coring'!$F$2:$F$40))*('SVB-Coring'!$F$2:$F$40))</f>
        <v>0</v>
      </c>
      <c r="AB7" s="673" cm="1">
        <f t="array" ref="AB7">SUMPRODUCT(('SVB-Coring'!$R$2:$R$40&gt;=AB86)*('SVB-Coring'!$R$2:$R$40&lt;=AB87)*(ISNUMBER('SVB-Coring'!$F$2:$F$40))*('SVB-Coring'!$F$2:$F$40))</f>
        <v>0</v>
      </c>
      <c r="AC7" s="673" cm="1">
        <f t="array" ref="AC7">SUMPRODUCT(('SVB-Coring'!$R$2:$R$40&gt;=AC86)*('SVB-Coring'!$R$2:$R$40&lt;=AC87)*(ISNUMBER('SVB-Coring'!$F$2:$F$40))*('SVB-Coring'!$F$2:$F$40))</f>
        <v>0</v>
      </c>
      <c r="AD7" s="673" cm="1">
        <f t="array" ref="AD7">SUMPRODUCT(('SVB-Coring'!$R$2:$R$40&gt;=AD86)*('SVB-Coring'!$R$2:$R$40&lt;=AD87)*(ISNUMBER('SVB-Coring'!$F$2:$F$40))*('SVB-Coring'!$F$2:$F$40))</f>
        <v>0</v>
      </c>
      <c r="AE7" s="673" cm="1">
        <f t="array" ref="AE7">SUMPRODUCT(('SVB-Coring'!$R$2:$R$40&gt;=AE86)*('SVB-Coring'!$R$2:$R$40&lt;=AE87)*(ISNUMBER('SVB-Coring'!$F$2:$F$40))*('SVB-Coring'!$F$2:$F$40))</f>
        <v>0</v>
      </c>
      <c r="AF7" s="673" cm="1">
        <f t="array" ref="AF7">SUMPRODUCT(('SVB-Coring'!$R$2:$R$40&gt;=AF86)*('SVB-Coring'!$R$2:$R$40&lt;=AF87)*(ISNUMBER('SVB-Coring'!$F$2:$F$40))*('SVB-Coring'!$F$2:$F$40))</f>
        <v>0</v>
      </c>
      <c r="AG7" s="673" cm="1">
        <f t="array" ref="AG7">SUMPRODUCT(('SVB-Coring'!$R$2:$R$40&gt;=AG86)*('SVB-Coring'!$R$2:$R$40&lt;=AG87)*(ISNUMBER('SVB-Coring'!$F$2:$F$40))*('SVB-Coring'!$F$2:$F$40))</f>
        <v>0</v>
      </c>
      <c r="AH7" s="673" cm="1">
        <f t="array" ref="AH7">SUMPRODUCT(('SVB-Coring'!$R$2:$R$40&gt;=AH86)*('SVB-Coring'!$R$2:$R$40&lt;=AH87)*(ISNUMBER('SVB-Coring'!$F$2:$F$40))*('SVB-Coring'!$F$2:$F$40))</f>
        <v>0</v>
      </c>
      <c r="AI7" s="673" cm="1">
        <f t="array" ref="AI7">SUMPRODUCT(('SVB-Coring'!$R$2:$R$40&gt;=AI86)*('SVB-Coring'!$R$2:$R$40&lt;=AI87)*(ISNUMBER('SVB-Coring'!$F$2:$F$40))*('SVB-Coring'!$F$2:$F$40))</f>
        <v>0</v>
      </c>
      <c r="AJ7" s="673" cm="1">
        <f t="array" ref="AJ7">SUMPRODUCT(('SVB-Coring'!$R$2:$R$40&gt;=AJ86)*('SVB-Coring'!$R$2:$R$40&lt;=AJ87)*(ISNUMBER('SVB-Coring'!$F$2:$F$40))*('SVB-Coring'!$F$2:$F$40))</f>
        <v>0</v>
      </c>
      <c r="AK7" s="673" cm="1">
        <f t="array" ref="AK7">SUMPRODUCT(('SVB-Coring'!$R$2:$R$40&gt;=AK86)*('SVB-Coring'!$R$2:$R$40&lt;=AK87)*(ISNUMBER('SVB-Coring'!$F$2:$F$40))*('SVB-Coring'!$F$2:$F$40))</f>
        <v>0</v>
      </c>
      <c r="AL7" s="673" cm="1">
        <f t="array" ref="AL7">SUMPRODUCT(('SVB-Coring'!$R$2:$R$40&gt;=AL86)*('SVB-Coring'!$R$2:$R$40&lt;=AL87)*(ISNUMBER('SVB-Coring'!$F$2:$F$40))*('SVB-Coring'!$F$2:$F$40))</f>
        <v>0</v>
      </c>
      <c r="AM7" s="673" cm="1">
        <f t="array" ref="AM7">SUMPRODUCT(('SVB-Coring'!$R$2:$R$40&gt;=AM86)*('SVB-Coring'!$R$2:$R$40&lt;=AM87)*(ISNUMBER('SVB-Coring'!$F$2:$F$40))*('SVB-Coring'!$F$2:$F$40))</f>
        <v>0</v>
      </c>
      <c r="AN7" s="674" cm="1">
        <f t="array" ref="AN7">SUMPRODUCT((ISNUMBER('SVB-Coring'!$R$2:$R$40))*(ISNUMBER('SVB-Coring'!$F$2:$F$40))*('SVB-Coring'!$F$2:$F$40))</f>
        <v>39</v>
      </c>
    </row>
    <row r="8" spans="1:40" ht="18" customHeight="1">
      <c r="A8" s="675" t="s">
        <v>1356</v>
      </c>
      <c r="B8" s="676" cm="1">
        <f t="array" ref="B8">SUMPRODUCT(('SVB-Coring'!$S$2:$S$40&gt;=B86)*('SVB-Coring'!$S$2:$S$40&lt;=B87)*(ISNUMBER('SVB-Coring'!$F$2:$F$40))*('SVB-Coring'!$F$2:$F$40))</f>
        <v>2</v>
      </c>
      <c r="C8" s="676" cm="1">
        <f t="array" ref="C8">SUMPRODUCT(('SVB-Coring'!$S$2:$S$40&gt;=C86)*('SVB-Coring'!$S$2:$S$40&lt;=C87)*(ISNUMBER('SVB-Coring'!$F$2:$F$40))*('SVB-Coring'!$F$2:$F$40))</f>
        <v>2</v>
      </c>
      <c r="D8" s="676" cm="1">
        <f t="array" ref="D8">SUMPRODUCT(('SVB-Coring'!$S$2:$S$40&gt;=D86)*('SVB-Coring'!$S$2:$S$40&lt;=D87)*(ISNUMBER('SVB-Coring'!$F$2:$F$40))*('SVB-Coring'!$F$2:$F$40))</f>
        <v>7</v>
      </c>
      <c r="E8" s="676" cm="1">
        <f t="array" ref="E8">SUMPRODUCT(('SVB-Coring'!$S$2:$S$40&gt;=E86)*('SVB-Coring'!$S$2:$S$40&lt;=E87)*(ISNUMBER('SVB-Coring'!$F$2:$F$40))*('SVB-Coring'!$F$2:$F$40))</f>
        <v>3</v>
      </c>
      <c r="F8" s="676" cm="1">
        <f t="array" ref="F8">SUMPRODUCT(('SVB-Coring'!$S$2:$S$40&gt;=F86)*('SVB-Coring'!$S$2:$S$40&lt;=F87)*(ISNUMBER('SVB-Coring'!$F$2:$F$40))*('SVB-Coring'!$F$2:$F$40))</f>
        <v>4</v>
      </c>
      <c r="G8" s="676" cm="1">
        <f t="array" ref="G8">SUMPRODUCT(('SVB-Coring'!$S$2:$S$40&gt;=G86)*('SVB-Coring'!$S$2:$S$40&lt;=G87)*(ISNUMBER('SVB-Coring'!$F$2:$F$40))*('SVB-Coring'!$F$2:$F$40))</f>
        <v>6</v>
      </c>
      <c r="H8" s="676" cm="1">
        <f t="array" ref="H8">SUMPRODUCT(('SVB-Coring'!$S$2:$S$40&gt;=H86)*('SVB-Coring'!$S$2:$S$40&lt;=H87)*(ISNUMBER('SVB-Coring'!$F$2:$F$40))*('SVB-Coring'!$F$2:$F$40))</f>
        <v>2</v>
      </c>
      <c r="I8" s="676" cm="1">
        <f t="array" ref="I8">SUMPRODUCT(('SVB-Coring'!$S$2:$S$40&gt;=I86)*('SVB-Coring'!$S$2:$S$40&lt;=I87)*(ISNUMBER('SVB-Coring'!$F$2:$F$40))*('SVB-Coring'!$F$2:$F$40))</f>
        <v>0</v>
      </c>
      <c r="J8" s="676" cm="1">
        <f t="array" ref="J8">SUMPRODUCT(('SVB-Coring'!$S$2:$S$40&gt;=J86)*('SVB-Coring'!$S$2:$S$40&lt;=J87)*(ISNUMBER('SVB-Coring'!$F$2:$F$40))*('SVB-Coring'!$F$2:$F$40))</f>
        <v>2</v>
      </c>
      <c r="K8" s="676" cm="1">
        <f t="array" ref="K8">SUMPRODUCT(('SVB-Coring'!$S$2:$S$40&gt;=K86)*('SVB-Coring'!$S$2:$S$40&lt;=K87)*(ISNUMBER('SVB-Coring'!$F$2:$F$40))*('SVB-Coring'!$F$2:$F$40))</f>
        <v>6</v>
      </c>
      <c r="L8" s="676" cm="1">
        <f t="array" ref="L8">SUMPRODUCT(('SVB-Coring'!$S$2:$S$40&gt;=L86)*('SVB-Coring'!$S$2:$S$40&lt;=L87)*(ISNUMBER('SVB-Coring'!$F$2:$F$40))*('SVB-Coring'!$F$2:$F$40))</f>
        <v>5</v>
      </c>
      <c r="M8" s="676" cm="1">
        <f t="array" ref="M8">SUMPRODUCT(('SVB-Coring'!$S$2:$S$40&gt;=M86)*('SVB-Coring'!$S$2:$S$40&lt;=M87)*(ISNUMBER('SVB-Coring'!$F$2:$F$40))*('SVB-Coring'!$F$2:$F$40))</f>
        <v>0</v>
      </c>
      <c r="N8" s="676" cm="1">
        <f t="array" ref="N8">SUMPRODUCT(('SVB-Coring'!$S$2:$S$40&gt;=N86)*('SVB-Coring'!$S$2:$S$40&lt;=N87)*(ISNUMBER('SVB-Coring'!$F$2:$F$40))*('SVB-Coring'!$F$2:$F$40))</f>
        <v>0</v>
      </c>
      <c r="O8" s="676" cm="1">
        <f t="array" ref="O8">SUMPRODUCT(('SVB-Coring'!$S$2:$S$40&gt;=O86)*('SVB-Coring'!$S$2:$S$40&lt;=O87)*(ISNUMBER('SVB-Coring'!$F$2:$F$40))*('SVB-Coring'!$F$2:$F$40))</f>
        <v>0</v>
      </c>
      <c r="P8" s="676" cm="1">
        <f t="array" ref="P8">SUMPRODUCT(('SVB-Coring'!$S$2:$S$40&gt;=P86)*('SVB-Coring'!$S$2:$S$40&lt;=P87)*(ISNUMBER('SVB-Coring'!$F$2:$F$40))*('SVB-Coring'!$F$2:$F$40))</f>
        <v>0</v>
      </c>
      <c r="Q8" s="676" cm="1">
        <f t="array" ref="Q8">SUMPRODUCT(('SVB-Coring'!$S$2:$S$40&gt;=Q86)*('SVB-Coring'!$S$2:$S$40&lt;=Q87)*(ISNUMBER('SVB-Coring'!$F$2:$F$40))*('SVB-Coring'!$F$2:$F$40))</f>
        <v>0</v>
      </c>
      <c r="R8" s="676" cm="1">
        <f t="array" ref="R8">SUMPRODUCT(('SVB-Coring'!$S$2:$S$40&gt;=R86)*('SVB-Coring'!$S$2:$S$40&lt;=R87)*(ISNUMBER('SVB-Coring'!$F$2:$F$40))*('SVB-Coring'!$F$2:$F$40))</f>
        <v>0</v>
      </c>
      <c r="S8" s="676" cm="1">
        <f t="array" ref="S8">SUMPRODUCT(('SVB-Coring'!$S$2:$S$40&gt;=S86)*('SVB-Coring'!$S$2:$S$40&lt;=S87)*(ISNUMBER('SVB-Coring'!$F$2:$F$40))*('SVB-Coring'!$F$2:$F$40))</f>
        <v>0</v>
      </c>
      <c r="T8" s="676" cm="1">
        <f t="array" ref="T8">SUMPRODUCT(('SVB-Coring'!$S$2:$S$40&gt;=T86)*('SVB-Coring'!$S$2:$S$40&lt;=T87)*(ISNUMBER('SVB-Coring'!$F$2:$F$40))*('SVB-Coring'!$F$2:$F$40))</f>
        <v>0</v>
      </c>
      <c r="U8" s="676" cm="1">
        <f t="array" ref="U8">SUMPRODUCT(('SVB-Coring'!$S$2:$S$40&gt;=U86)*('SVB-Coring'!$S$2:$S$40&lt;=U87)*(ISNUMBER('SVB-Coring'!$F$2:$F$40))*('SVB-Coring'!$F$2:$F$40))</f>
        <v>0</v>
      </c>
      <c r="V8" s="676" cm="1">
        <f t="array" ref="V8">SUMPRODUCT(('SVB-Coring'!$S$2:$S$40&gt;=V86)*('SVB-Coring'!$S$2:$S$40&lt;=V87)*(ISNUMBER('SVB-Coring'!$F$2:$F$40))*('SVB-Coring'!$F$2:$F$40))</f>
        <v>0</v>
      </c>
      <c r="W8" s="676" cm="1">
        <f t="array" ref="W8">SUMPRODUCT(('SVB-Coring'!$S$2:$S$40&gt;=W86)*('SVB-Coring'!$S$2:$S$40&lt;=W87)*(ISNUMBER('SVB-Coring'!$F$2:$F$40))*('SVB-Coring'!$F$2:$F$40))</f>
        <v>0</v>
      </c>
      <c r="X8" s="676" cm="1">
        <f t="array" ref="X8">SUMPRODUCT(('SVB-Coring'!$S$2:$S$40&gt;=X86)*('SVB-Coring'!$S$2:$S$40&lt;=X87)*(ISNUMBER('SVB-Coring'!$F$2:$F$40))*('SVB-Coring'!$F$2:$F$40))</f>
        <v>0</v>
      </c>
      <c r="Y8" s="676" cm="1">
        <f t="array" ref="Y8">SUMPRODUCT(('SVB-Coring'!$S$2:$S$40&gt;=Y86)*('SVB-Coring'!$S$2:$S$40&lt;=Y87)*(ISNUMBER('SVB-Coring'!$F$2:$F$40))*('SVB-Coring'!$F$2:$F$40))</f>
        <v>0</v>
      </c>
      <c r="Z8" s="676" cm="1">
        <f t="array" ref="Z8">SUMPRODUCT(('SVB-Coring'!$S$2:$S$40&gt;=Z86)*('SVB-Coring'!$S$2:$S$40&lt;=Z87)*(ISNUMBER('SVB-Coring'!$F$2:$F$40))*('SVB-Coring'!$F$2:$F$40))</f>
        <v>0</v>
      </c>
      <c r="AA8" s="676" cm="1">
        <f t="array" ref="AA8">SUMPRODUCT(('SVB-Coring'!$S$2:$S$40&gt;=AA86)*('SVB-Coring'!$S$2:$S$40&lt;=AA87)*(ISNUMBER('SVB-Coring'!$F$2:$F$40))*('SVB-Coring'!$F$2:$F$40))</f>
        <v>0</v>
      </c>
      <c r="AB8" s="676" cm="1">
        <f t="array" ref="AB8">SUMPRODUCT(('SVB-Coring'!$S$2:$S$40&gt;=AB86)*('SVB-Coring'!$S$2:$S$40&lt;=AB87)*(ISNUMBER('SVB-Coring'!$F$2:$F$40))*('SVB-Coring'!$F$2:$F$40))</f>
        <v>0</v>
      </c>
      <c r="AC8" s="676" cm="1">
        <f t="array" ref="AC8">SUMPRODUCT(('SVB-Coring'!$S$2:$S$40&gt;=AC86)*('SVB-Coring'!$S$2:$S$40&lt;=AC87)*(ISNUMBER('SVB-Coring'!$F$2:$F$40))*('SVB-Coring'!$F$2:$F$40))</f>
        <v>0</v>
      </c>
      <c r="AD8" s="676" cm="1">
        <f t="array" ref="AD8">SUMPRODUCT(('SVB-Coring'!$S$2:$S$40&gt;=AD86)*('SVB-Coring'!$S$2:$S$40&lt;=AD87)*(ISNUMBER('SVB-Coring'!$F$2:$F$40))*('SVB-Coring'!$F$2:$F$40))</f>
        <v>0</v>
      </c>
      <c r="AE8" s="676" cm="1">
        <f t="array" ref="AE8">SUMPRODUCT(('SVB-Coring'!$S$2:$S$40&gt;=AE86)*('SVB-Coring'!$S$2:$S$40&lt;=AE87)*(ISNUMBER('SVB-Coring'!$F$2:$F$40))*('SVB-Coring'!$F$2:$F$40))</f>
        <v>0</v>
      </c>
      <c r="AF8" s="676" cm="1">
        <f t="array" ref="AF8">SUMPRODUCT(('SVB-Coring'!$S$2:$S$40&gt;=AF86)*('SVB-Coring'!$S$2:$S$40&lt;=AF87)*(ISNUMBER('SVB-Coring'!$F$2:$F$40))*('SVB-Coring'!$F$2:$F$40))</f>
        <v>0</v>
      </c>
      <c r="AG8" s="676" cm="1">
        <f t="array" ref="AG8">SUMPRODUCT(('SVB-Coring'!$S$2:$S$40&gt;=AG86)*('SVB-Coring'!$S$2:$S$40&lt;=AG87)*(ISNUMBER('SVB-Coring'!$F$2:$F$40))*('SVB-Coring'!$F$2:$F$40))</f>
        <v>0</v>
      </c>
      <c r="AH8" s="676" cm="1">
        <f t="array" ref="AH8">SUMPRODUCT(('SVB-Coring'!$S$2:$S$40&gt;=AH86)*('SVB-Coring'!$S$2:$S$40&lt;=AH87)*(ISNUMBER('SVB-Coring'!$F$2:$F$40))*('SVB-Coring'!$F$2:$F$40))</f>
        <v>0</v>
      </c>
      <c r="AI8" s="676" cm="1">
        <f t="array" ref="AI8">SUMPRODUCT(('SVB-Coring'!$S$2:$S$40&gt;=AI86)*('SVB-Coring'!$S$2:$S$40&lt;=AI87)*(ISNUMBER('SVB-Coring'!$F$2:$F$40))*('SVB-Coring'!$F$2:$F$40))</f>
        <v>0</v>
      </c>
      <c r="AJ8" s="676" cm="1">
        <f t="array" ref="AJ8">SUMPRODUCT(('SVB-Coring'!$S$2:$S$40&gt;=AJ86)*('SVB-Coring'!$S$2:$S$40&lt;=AJ87)*(ISNUMBER('SVB-Coring'!$F$2:$F$40))*('SVB-Coring'!$F$2:$F$40))</f>
        <v>0</v>
      </c>
      <c r="AK8" s="676" cm="1">
        <f t="array" ref="AK8">SUMPRODUCT(('SVB-Coring'!$S$2:$S$40&gt;=AK86)*('SVB-Coring'!$S$2:$S$40&lt;=AK87)*(ISNUMBER('SVB-Coring'!$F$2:$F$40))*('SVB-Coring'!$F$2:$F$40))</f>
        <v>0</v>
      </c>
      <c r="AL8" s="676" cm="1">
        <f t="array" ref="AL8">SUMPRODUCT(('SVB-Coring'!$S$2:$S$40&gt;=AL86)*('SVB-Coring'!$S$2:$S$40&lt;=AL87)*(ISNUMBER('SVB-Coring'!$F$2:$F$40))*('SVB-Coring'!$F$2:$F$40))</f>
        <v>0</v>
      </c>
      <c r="AM8" s="676" cm="1">
        <f t="array" ref="AM8">SUMPRODUCT(('SVB-Coring'!$S$2:$S$40&gt;=AM86)*('SVB-Coring'!$S$2:$S$40&lt;=AM87)*(ISNUMBER('SVB-Coring'!$F$2:$F$40))*('SVB-Coring'!$F$2:$F$40))</f>
        <v>0</v>
      </c>
      <c r="AN8" s="674">
        <f>SUM(B8:AM8)</f>
        <v>39</v>
      </c>
    </row>
    <row r="9" spans="1:40" ht="18" customHeight="1">
      <c r="A9" s="677" t="s">
        <v>1357</v>
      </c>
      <c r="B9" s="678">
        <f t="shared" ref="B9:AN9" si="0">IF(B7=0,0,B8/B7)</f>
        <v>1</v>
      </c>
      <c r="C9" s="678">
        <f t="shared" si="0"/>
        <v>1</v>
      </c>
      <c r="D9" s="678">
        <f t="shared" si="0"/>
        <v>1</v>
      </c>
      <c r="E9" s="678">
        <f t="shared" si="0"/>
        <v>1</v>
      </c>
      <c r="F9" s="678">
        <f t="shared" si="0"/>
        <v>1</v>
      </c>
      <c r="G9" s="678">
        <f t="shared" si="0"/>
        <v>1</v>
      </c>
      <c r="H9" s="678">
        <f t="shared" si="0"/>
        <v>1</v>
      </c>
      <c r="I9" s="678">
        <f t="shared" si="0"/>
        <v>0</v>
      </c>
      <c r="J9" s="678">
        <f t="shared" si="0"/>
        <v>1</v>
      </c>
      <c r="K9" s="678">
        <f t="shared" si="0"/>
        <v>1</v>
      </c>
      <c r="L9" s="678">
        <f t="shared" si="0"/>
        <v>1</v>
      </c>
      <c r="M9" s="678">
        <f t="shared" si="0"/>
        <v>0</v>
      </c>
      <c r="N9" s="678">
        <f t="shared" si="0"/>
        <v>0</v>
      </c>
      <c r="O9" s="678">
        <f t="shared" si="0"/>
        <v>0</v>
      </c>
      <c r="P9" s="678">
        <f t="shared" si="0"/>
        <v>0</v>
      </c>
      <c r="Q9" s="678">
        <f t="shared" si="0"/>
        <v>0</v>
      </c>
      <c r="R9" s="678">
        <f t="shared" si="0"/>
        <v>0</v>
      </c>
      <c r="S9" s="678">
        <f t="shared" si="0"/>
        <v>0</v>
      </c>
      <c r="T9" s="678">
        <f t="shared" si="0"/>
        <v>0</v>
      </c>
      <c r="U9" s="678">
        <f t="shared" si="0"/>
        <v>0</v>
      </c>
      <c r="V9" s="678">
        <f t="shared" si="0"/>
        <v>0</v>
      </c>
      <c r="W9" s="678">
        <f t="shared" si="0"/>
        <v>0</v>
      </c>
      <c r="X9" s="678">
        <f t="shared" si="0"/>
        <v>0</v>
      </c>
      <c r="Y9" s="678">
        <f t="shared" si="0"/>
        <v>0</v>
      </c>
      <c r="Z9" s="678">
        <f t="shared" si="0"/>
        <v>0</v>
      </c>
      <c r="AA9" s="678">
        <f t="shared" si="0"/>
        <v>0</v>
      </c>
      <c r="AB9" s="678">
        <f t="shared" si="0"/>
        <v>0</v>
      </c>
      <c r="AC9" s="678">
        <f t="shared" si="0"/>
        <v>0</v>
      </c>
      <c r="AD9" s="678">
        <f t="shared" si="0"/>
        <v>0</v>
      </c>
      <c r="AE9" s="678">
        <f t="shared" si="0"/>
        <v>0</v>
      </c>
      <c r="AF9" s="678">
        <f t="shared" si="0"/>
        <v>0</v>
      </c>
      <c r="AG9" s="678">
        <f t="shared" si="0"/>
        <v>0</v>
      </c>
      <c r="AH9" s="678">
        <f t="shared" si="0"/>
        <v>0</v>
      </c>
      <c r="AI9" s="678">
        <f t="shared" si="0"/>
        <v>0</v>
      </c>
      <c r="AJ9" s="678">
        <f t="shared" si="0"/>
        <v>0</v>
      </c>
      <c r="AK9" s="678">
        <f t="shared" si="0"/>
        <v>0</v>
      </c>
      <c r="AL9" s="678">
        <f t="shared" si="0"/>
        <v>0</v>
      </c>
      <c r="AM9" s="678">
        <f t="shared" si="0"/>
        <v>0</v>
      </c>
      <c r="AN9" s="679">
        <f t="shared" si="0"/>
        <v>1</v>
      </c>
    </row>
    <row r="10" spans="1:40" ht="18" customHeight="1">
      <c r="A10" s="680" t="s">
        <v>1358</v>
      </c>
      <c r="B10" s="681">
        <f>SUM($B7:B7)</f>
        <v>2</v>
      </c>
      <c r="C10" s="681">
        <f>SUM($B7:C7)</f>
        <v>4</v>
      </c>
      <c r="D10" s="681">
        <f>SUM($B7:D7)</f>
        <v>11</v>
      </c>
      <c r="E10" s="681">
        <f>SUM($B7:E7)</f>
        <v>14</v>
      </c>
      <c r="F10" s="681">
        <f>SUM($B7:F7)</f>
        <v>18</v>
      </c>
      <c r="G10" s="681">
        <f>SUM($B7:G7)</f>
        <v>24</v>
      </c>
      <c r="H10" s="681">
        <f>SUM($B7:H7)</f>
        <v>26</v>
      </c>
      <c r="I10" s="681">
        <f>SUM($B7:I7)</f>
        <v>26</v>
      </c>
      <c r="J10" s="681">
        <f>SUM($B7:J7)</f>
        <v>28</v>
      </c>
      <c r="K10" s="681">
        <f>SUM($B7:K7)</f>
        <v>34</v>
      </c>
      <c r="L10" s="681">
        <f>SUM($B7:L7)</f>
        <v>39</v>
      </c>
      <c r="M10" s="681">
        <f>SUM($B7:M7)</f>
        <v>39</v>
      </c>
      <c r="N10" s="681">
        <f>SUM($B7:N7)</f>
        <v>39</v>
      </c>
      <c r="O10" s="681">
        <f>SUM($B7:O7)</f>
        <v>39</v>
      </c>
      <c r="P10" s="681">
        <f>SUM($B7:P7)</f>
        <v>39</v>
      </c>
      <c r="Q10" s="681">
        <f>SUM($B7:Q7)</f>
        <v>39</v>
      </c>
      <c r="R10" s="681">
        <f>SUM($B7:R7)</f>
        <v>39</v>
      </c>
      <c r="S10" s="681">
        <f>SUM($B7:S7)</f>
        <v>39</v>
      </c>
      <c r="T10" s="681">
        <f>SUM($B7:T7)</f>
        <v>39</v>
      </c>
      <c r="U10" s="681">
        <f>SUM($B7:U7)</f>
        <v>39</v>
      </c>
      <c r="V10" s="681">
        <f>SUM($B7:V7)</f>
        <v>39</v>
      </c>
      <c r="W10" s="681">
        <f>SUM($B7:W7)</f>
        <v>39</v>
      </c>
      <c r="X10" s="681">
        <f>SUM($B7:X7)</f>
        <v>39</v>
      </c>
      <c r="Y10" s="681">
        <f>SUM($B7:Y7)</f>
        <v>39</v>
      </c>
      <c r="Z10" s="681">
        <f>SUM($B7:Z7)</f>
        <v>39</v>
      </c>
      <c r="AA10" s="681">
        <f>SUM($B7:AA7)</f>
        <v>39</v>
      </c>
      <c r="AB10" s="681">
        <f>SUM($B7:AB7)</f>
        <v>39</v>
      </c>
      <c r="AC10" s="681">
        <f>SUM($B7:AC7)</f>
        <v>39</v>
      </c>
      <c r="AD10" s="681">
        <f>SUM($B7:AD7)</f>
        <v>39</v>
      </c>
      <c r="AE10" s="681">
        <f>SUM($B7:AE7)</f>
        <v>39</v>
      </c>
      <c r="AF10" s="681">
        <f>SUM($B7:AF7)</f>
        <v>39</v>
      </c>
      <c r="AG10" s="681">
        <f>SUM($B7:AG7)</f>
        <v>39</v>
      </c>
      <c r="AH10" s="681">
        <f>SUM($B7:AH7)</f>
        <v>39</v>
      </c>
      <c r="AI10" s="681">
        <f>SUM($B7:AI7)</f>
        <v>39</v>
      </c>
      <c r="AJ10" s="681">
        <f>SUM($B7:AJ7)</f>
        <v>39</v>
      </c>
      <c r="AK10" s="681">
        <f>SUM($B7:AK7)</f>
        <v>39</v>
      </c>
      <c r="AL10" s="681">
        <f>SUM($B7:AL7)</f>
        <v>39</v>
      </c>
      <c r="AM10" s="681">
        <f>SUM($B7:AM7)</f>
        <v>39</v>
      </c>
      <c r="AN10" s="674">
        <f>AN7</f>
        <v>39</v>
      </c>
    </row>
    <row r="11" spans="1:40" ht="18" customHeight="1">
      <c r="A11" s="680" t="s">
        <v>1359</v>
      </c>
      <c r="B11" s="681">
        <f>SUM($B8:B8)</f>
        <v>2</v>
      </c>
      <c r="C11" s="681">
        <f>SUM($B8:C8)</f>
        <v>4</v>
      </c>
      <c r="D11" s="681">
        <f>SUM($B8:D8)</f>
        <v>11</v>
      </c>
      <c r="E11" s="681">
        <f>SUM($B8:E8)</f>
        <v>14</v>
      </c>
      <c r="F11" s="681">
        <f>SUM($B8:F8)</f>
        <v>18</v>
      </c>
      <c r="G11" s="681">
        <f>SUM($B8:G8)</f>
        <v>24</v>
      </c>
      <c r="H11" s="681">
        <f>SUM($B8:H8)</f>
        <v>26</v>
      </c>
      <c r="I11" s="681">
        <f>SUM($B8:I8)</f>
        <v>26</v>
      </c>
      <c r="J11" s="681">
        <f>SUM($B8:J8)</f>
        <v>28</v>
      </c>
      <c r="K11" s="681">
        <f>SUM($B8:K8)</f>
        <v>34</v>
      </c>
      <c r="L11" s="681">
        <f>SUM($B8:L8)</f>
        <v>39</v>
      </c>
      <c r="M11" s="681">
        <f>SUM($B8:M8)</f>
        <v>39</v>
      </c>
      <c r="N11" s="681">
        <f>SUM($B8:N8)</f>
        <v>39</v>
      </c>
      <c r="O11" s="681">
        <f>SUM($B8:O8)</f>
        <v>39</v>
      </c>
      <c r="P11" s="681">
        <f>SUM($B8:P8)</f>
        <v>39</v>
      </c>
      <c r="Q11" s="681">
        <f>SUM($B8:Q8)</f>
        <v>39</v>
      </c>
      <c r="R11" s="681">
        <f>SUM($B8:R8)</f>
        <v>39</v>
      </c>
      <c r="S11" s="681">
        <f>SUM($B8:S8)</f>
        <v>39</v>
      </c>
      <c r="T11" s="681">
        <f>SUM($B8:T8)</f>
        <v>39</v>
      </c>
      <c r="U11" s="681">
        <f>SUM($B8:U8)</f>
        <v>39</v>
      </c>
      <c r="V11" s="681">
        <f>SUM($B8:V8)</f>
        <v>39</v>
      </c>
      <c r="W11" s="681">
        <f>SUM($B8:W8)</f>
        <v>39</v>
      </c>
      <c r="X11" s="681">
        <f>SUM($B8:X8)</f>
        <v>39</v>
      </c>
      <c r="Y11" s="681">
        <f>SUM($B8:Y8)</f>
        <v>39</v>
      </c>
      <c r="Z11" s="681">
        <f>SUM($B8:Z8)</f>
        <v>39</v>
      </c>
      <c r="AA11" s="681">
        <f>SUM($B8:AA8)</f>
        <v>39</v>
      </c>
      <c r="AB11" s="681">
        <f>SUM($B8:AB8)</f>
        <v>39</v>
      </c>
      <c r="AC11" s="681">
        <f>SUM($B8:AC8)</f>
        <v>39</v>
      </c>
      <c r="AD11" s="681">
        <f>SUM($B8:AD8)</f>
        <v>39</v>
      </c>
      <c r="AE11" s="681">
        <f>SUM($B8:AE8)</f>
        <v>39</v>
      </c>
      <c r="AF11" s="681">
        <f>SUM($B8:AF8)</f>
        <v>39</v>
      </c>
      <c r="AG11" s="681">
        <f>SUM($B8:AG8)</f>
        <v>39</v>
      </c>
      <c r="AH11" s="681">
        <f>SUM($B8:AH8)</f>
        <v>39</v>
      </c>
      <c r="AI11" s="681">
        <f>SUM($B8:AI8)</f>
        <v>39</v>
      </c>
      <c r="AJ11" s="681">
        <f>SUM($B8:AJ8)</f>
        <v>39</v>
      </c>
      <c r="AK11" s="681">
        <f>SUM($B8:AK8)</f>
        <v>39</v>
      </c>
      <c r="AL11" s="681">
        <f>SUM($B8:AL8)</f>
        <v>39</v>
      </c>
      <c r="AM11" s="681">
        <f>SUM($B8:AM8)</f>
        <v>39</v>
      </c>
      <c r="AN11" s="674">
        <f>AN8</f>
        <v>39</v>
      </c>
    </row>
    <row r="12" spans="1:40" ht="18" customHeight="1">
      <c r="A12" s="682" t="s">
        <v>1360</v>
      </c>
      <c r="B12" s="683">
        <f>IF(AN7=0,0,B11/AN7)</f>
        <v>5.128205128205128E-2</v>
      </c>
      <c r="C12" s="683">
        <f>IF(AN7=0,0,C11/AN7)</f>
        <v>0.10256410256410256</v>
      </c>
      <c r="D12" s="683">
        <f>IF(AN7=0,0,D11/AN7)</f>
        <v>0.28205128205128205</v>
      </c>
      <c r="E12" s="683">
        <f>IF(AN7=0,0,E11/AN7)</f>
        <v>0.35897435897435898</v>
      </c>
      <c r="F12" s="683">
        <f>IF(AN7=0,0,F11/AN7)</f>
        <v>0.46153846153846156</v>
      </c>
      <c r="G12" s="683">
        <f>IF(AN7=0,0,G11/AN7)</f>
        <v>0.61538461538461542</v>
      </c>
      <c r="H12" s="683">
        <f>IF(AN7=0,0,H11/AN7)</f>
        <v>0.66666666666666663</v>
      </c>
      <c r="I12" s="683">
        <f>IF(AN7=0,0,I11/AN7)</f>
        <v>0.66666666666666663</v>
      </c>
      <c r="J12" s="683">
        <f>IF(AN7=0,0,J11/AN7)</f>
        <v>0.71794871794871795</v>
      </c>
      <c r="K12" s="683">
        <f>IF(AN7=0,0,K11/AN7)</f>
        <v>0.87179487179487181</v>
      </c>
      <c r="L12" s="683">
        <f>IF(AN7=0,0,L11/AN7)</f>
        <v>1</v>
      </c>
      <c r="M12" s="683">
        <f>IF(AN7=0,0,M11/AN7)</f>
        <v>1</v>
      </c>
      <c r="N12" s="683">
        <f>IF(AN7=0,0,N11/AN7)</f>
        <v>1</v>
      </c>
      <c r="O12" s="683">
        <f>IF(AN7=0,0,O11/AN7)</f>
        <v>1</v>
      </c>
      <c r="P12" s="683">
        <f>IF(AN7=0,0,P11/AN7)</f>
        <v>1</v>
      </c>
      <c r="Q12" s="683">
        <f>IF(AN7=0,0,Q11/AN7)</f>
        <v>1</v>
      </c>
      <c r="R12" s="683">
        <f>IF(AN7=0,0,R11/AN7)</f>
        <v>1</v>
      </c>
      <c r="S12" s="683">
        <f>IF(AN7=0,0,S11/AN7)</f>
        <v>1</v>
      </c>
      <c r="T12" s="683">
        <f>IF(AN7=0,0,T11/AN7)</f>
        <v>1</v>
      </c>
      <c r="U12" s="683">
        <f>IF(AN7=0,0,U11/AN7)</f>
        <v>1</v>
      </c>
      <c r="V12" s="683">
        <f>IF(AN7=0,0,V11/AN7)</f>
        <v>1</v>
      </c>
      <c r="W12" s="683">
        <f>IF(AN7=0,0,W11/AN7)</f>
        <v>1</v>
      </c>
      <c r="X12" s="683">
        <f>IF(AN7=0,0,X11/AN7)</f>
        <v>1</v>
      </c>
      <c r="Y12" s="683">
        <f>IF(AN7=0,0,Y11/AN7)</f>
        <v>1</v>
      </c>
      <c r="Z12" s="683">
        <f>IF(AN7=0,0,Z11/AN7)</f>
        <v>1</v>
      </c>
      <c r="AA12" s="683">
        <f>IF(AN7=0,0,AA11/AN7)</f>
        <v>1</v>
      </c>
      <c r="AB12" s="683">
        <f>IF(AN7=0,0,AB11/AN7)</f>
        <v>1</v>
      </c>
      <c r="AC12" s="683">
        <f>IF(AN7=0,0,AC11/AN7)</f>
        <v>1</v>
      </c>
      <c r="AD12" s="683">
        <f>IF(AN7=0,0,AD11/AN7)</f>
        <v>1</v>
      </c>
      <c r="AE12" s="683">
        <f>IF(AN7=0,0,AE11/AN7)</f>
        <v>1</v>
      </c>
      <c r="AF12" s="683">
        <f>IF(AN7=0,0,AF11/AN7)</f>
        <v>1</v>
      </c>
      <c r="AG12" s="683">
        <f>IF(AN7=0,0,AG11/AN7)</f>
        <v>1</v>
      </c>
      <c r="AH12" s="683">
        <f>IF(AN7=0,0,AH11/AN7)</f>
        <v>1</v>
      </c>
      <c r="AI12" s="683">
        <f>IF(AN7=0,0,AI11/AN7)</f>
        <v>1</v>
      </c>
      <c r="AJ12" s="683">
        <f>IF(AN7=0,0,AJ11/AN7)</f>
        <v>1</v>
      </c>
      <c r="AK12" s="683">
        <f>IF(AN7=0,0,AK11/AN7)</f>
        <v>1</v>
      </c>
      <c r="AL12" s="683">
        <f>IF(AN7=0,0,AL11/AN7)</f>
        <v>1</v>
      </c>
      <c r="AM12" s="683">
        <f>IF(AN7=0,0,AM11/AN7)</f>
        <v>1</v>
      </c>
      <c r="AN12" s="679">
        <f>IF(AN7=0,0,AN11/AN7)</f>
        <v>1</v>
      </c>
    </row>
    <row r="13" spans="1:40" ht="4.95" customHeight="1"/>
    <row r="14" spans="1:40" ht="22.2" customHeight="1">
      <c r="A14" s="1074" t="s">
        <v>1361</v>
      </c>
      <c r="B14" s="1067"/>
      <c r="C14" s="1067"/>
      <c r="D14" s="1067"/>
      <c r="E14" s="1067"/>
      <c r="F14" s="1067"/>
      <c r="G14" s="1067"/>
      <c r="H14" s="1067"/>
      <c r="I14" s="1067"/>
      <c r="J14" s="1067"/>
      <c r="K14" s="1067"/>
      <c r="L14" s="1067"/>
      <c r="M14" s="1067"/>
      <c r="N14" s="1067"/>
      <c r="O14" s="1067"/>
      <c r="P14" s="1067"/>
      <c r="Q14" s="1067"/>
      <c r="R14" s="1067"/>
      <c r="S14" s="1067"/>
      <c r="T14" s="1067"/>
      <c r="U14" s="1067"/>
      <c r="V14" s="1067"/>
      <c r="W14" s="1067"/>
      <c r="X14" s="1067"/>
      <c r="Y14" s="1067"/>
      <c r="Z14" s="1067"/>
      <c r="AA14" s="1067"/>
      <c r="AB14" s="1067"/>
      <c r="AC14" s="1067"/>
      <c r="AD14" s="1067"/>
      <c r="AE14" s="1067"/>
      <c r="AF14" s="1067"/>
      <c r="AG14" s="1067"/>
      <c r="AH14" s="1067"/>
      <c r="AI14" s="1067"/>
      <c r="AJ14" s="1067"/>
      <c r="AK14" s="1067"/>
      <c r="AL14" s="1067"/>
      <c r="AM14" s="1067"/>
      <c r="AN14" s="1068"/>
    </row>
    <row r="15" spans="1:40" ht="18" customHeight="1">
      <c r="A15" s="672" t="s">
        <v>1355</v>
      </c>
      <c r="B15" s="673" cm="1">
        <f t="array" ref="B15">SUMPRODUCT(('SVB-Coring'!$T$2:$T$40&gt;=B86)*('SVB-Coring'!$T$2:$T$40&lt;=B87)*(ISNUMBER('SVB-Coring'!$K$2:$K$40))*('SVB-Coring'!$K$2:$K$40))</f>
        <v>0</v>
      </c>
      <c r="C15" s="673" cm="1">
        <f t="array" ref="C15">SUMPRODUCT(('SVB-Coring'!$T$2:$T$40&gt;=C86)*('SVB-Coring'!$T$2:$T$40&lt;=C87)*(ISNUMBER('SVB-Coring'!$K$2:$K$40))*('SVB-Coring'!$K$2:$K$40))</f>
        <v>0</v>
      </c>
      <c r="D15" s="673" cm="1">
        <f t="array" ref="D15">SUMPRODUCT(('SVB-Coring'!$T$2:$T$40&gt;=D86)*('SVB-Coring'!$T$2:$T$40&lt;=D87)*(ISNUMBER('SVB-Coring'!$K$2:$K$40))*('SVB-Coring'!$K$2:$K$40))</f>
        <v>0</v>
      </c>
      <c r="E15" s="673" cm="1">
        <f t="array" ref="E15">SUMPRODUCT(('SVB-Coring'!$T$2:$T$40&gt;=E86)*('SVB-Coring'!$T$2:$T$40&lt;=E87)*(ISNUMBER('SVB-Coring'!$K$2:$K$40))*('SVB-Coring'!$K$2:$K$40))</f>
        <v>0</v>
      </c>
      <c r="F15" s="673" cm="1">
        <f t="array" ref="F15">SUMPRODUCT(('SVB-Coring'!$T$2:$T$40&gt;=F86)*('SVB-Coring'!$T$2:$T$40&lt;=F87)*(ISNUMBER('SVB-Coring'!$K$2:$K$40))*('SVB-Coring'!$K$2:$K$40))</f>
        <v>0</v>
      </c>
      <c r="G15" s="673" cm="1">
        <f t="array" ref="G15">SUMPRODUCT(('SVB-Coring'!$T$2:$T$40&gt;=G86)*('SVB-Coring'!$T$2:$T$40&lt;=G87)*(ISNUMBER('SVB-Coring'!$K$2:$K$40))*('SVB-Coring'!$K$2:$K$40))</f>
        <v>0</v>
      </c>
      <c r="H15" s="673" cm="1">
        <f t="array" ref="H15">SUMPRODUCT(('SVB-Coring'!$T$2:$T$40&gt;=H86)*('SVB-Coring'!$T$2:$T$40&lt;=H87)*(ISNUMBER('SVB-Coring'!$K$2:$K$40))*('SVB-Coring'!$K$2:$K$40))</f>
        <v>0</v>
      </c>
      <c r="I15" s="673" cm="1">
        <f t="array" ref="I15">SUMPRODUCT(('SVB-Coring'!$T$2:$T$40&gt;=I86)*('SVB-Coring'!$T$2:$T$40&lt;=I87)*(ISNUMBER('SVB-Coring'!$K$2:$K$40))*('SVB-Coring'!$K$2:$K$40))</f>
        <v>0</v>
      </c>
      <c r="J15" s="673" cm="1">
        <f t="array" ref="J15">SUMPRODUCT(('SVB-Coring'!$T$2:$T$40&gt;=J86)*('SVB-Coring'!$T$2:$T$40&lt;=J87)*(ISNUMBER('SVB-Coring'!$K$2:$K$40))*('SVB-Coring'!$K$2:$K$40))</f>
        <v>0</v>
      </c>
      <c r="K15" s="673" cm="1">
        <f t="array" ref="K15">SUMPRODUCT(('SVB-Coring'!$T$2:$T$40&gt;=K86)*('SVB-Coring'!$T$2:$T$40&lt;=K87)*(ISNUMBER('SVB-Coring'!$K$2:$K$40))*('SVB-Coring'!$K$2:$K$40))</f>
        <v>0</v>
      </c>
      <c r="L15" s="673" cm="1">
        <f t="array" ref="L15">SUMPRODUCT(('SVB-Coring'!$T$2:$T$40&gt;=L86)*('SVB-Coring'!$T$2:$T$40&lt;=L87)*(ISNUMBER('SVB-Coring'!$K$2:$K$40))*('SVB-Coring'!$K$2:$K$40))</f>
        <v>1</v>
      </c>
      <c r="M15" s="673" cm="1">
        <f t="array" ref="M15">SUMPRODUCT(('SVB-Coring'!$T$2:$T$40&gt;=M86)*('SVB-Coring'!$T$2:$T$40&lt;=M87)*(ISNUMBER('SVB-Coring'!$K$2:$K$40))*('SVB-Coring'!$K$2:$K$40))</f>
        <v>0</v>
      </c>
      <c r="N15" s="673" cm="1">
        <f t="array" ref="N15">SUMPRODUCT(('SVB-Coring'!$T$2:$T$40&gt;=N86)*('SVB-Coring'!$T$2:$T$40&lt;=N87)*(ISNUMBER('SVB-Coring'!$K$2:$K$40))*('SVB-Coring'!$K$2:$K$40))</f>
        <v>0</v>
      </c>
      <c r="O15" s="673" cm="1">
        <f t="array" ref="O15">SUMPRODUCT(('SVB-Coring'!$T$2:$T$40&gt;=O86)*('SVB-Coring'!$T$2:$T$40&lt;=O87)*(ISNUMBER('SVB-Coring'!$K$2:$K$40))*('SVB-Coring'!$K$2:$K$40))</f>
        <v>1</v>
      </c>
      <c r="P15" s="673" cm="1">
        <f t="array" ref="P15">SUMPRODUCT(('SVB-Coring'!$T$2:$T$40&gt;=P86)*('SVB-Coring'!$T$2:$T$40&lt;=P87)*(ISNUMBER('SVB-Coring'!$K$2:$K$40))*('SVB-Coring'!$K$2:$K$40))</f>
        <v>2</v>
      </c>
      <c r="Q15" s="673" cm="1">
        <f t="array" ref="Q15">SUMPRODUCT(('SVB-Coring'!$T$2:$T$40&gt;=Q86)*('SVB-Coring'!$T$2:$T$40&lt;=Q87)*(ISNUMBER('SVB-Coring'!$K$2:$K$40))*('SVB-Coring'!$K$2:$K$40))</f>
        <v>1</v>
      </c>
      <c r="R15" s="673" cm="1">
        <f t="array" ref="R15">SUMPRODUCT(('SVB-Coring'!$T$2:$T$40&gt;=R86)*('SVB-Coring'!$T$2:$T$40&lt;=R87)*(ISNUMBER('SVB-Coring'!$K$2:$K$40))*('SVB-Coring'!$K$2:$K$40))</f>
        <v>1</v>
      </c>
      <c r="S15" s="673" cm="1">
        <f t="array" ref="S15">SUMPRODUCT(('SVB-Coring'!$T$2:$T$40&gt;=S86)*('SVB-Coring'!$T$2:$T$40&lt;=S87)*(ISNUMBER('SVB-Coring'!$K$2:$K$40))*('SVB-Coring'!$K$2:$K$40))</f>
        <v>1</v>
      </c>
      <c r="T15" s="673" cm="1">
        <f t="array" ref="T15">SUMPRODUCT(('SVB-Coring'!$T$2:$T$40&gt;=T86)*('SVB-Coring'!$T$2:$T$40&lt;=T87)*(ISNUMBER('SVB-Coring'!$K$2:$K$40))*('SVB-Coring'!$K$2:$K$40))</f>
        <v>2</v>
      </c>
      <c r="U15" s="673" cm="1">
        <f t="array" ref="U15">SUMPRODUCT(('SVB-Coring'!$T$2:$T$40&gt;=U86)*('SVB-Coring'!$T$2:$T$40&lt;=U87)*(ISNUMBER('SVB-Coring'!$K$2:$K$40))*('SVB-Coring'!$K$2:$K$40))</f>
        <v>2</v>
      </c>
      <c r="V15" s="673" cm="1">
        <f t="array" ref="V15">SUMPRODUCT(('SVB-Coring'!$T$2:$T$40&gt;=V86)*('SVB-Coring'!$T$2:$T$40&lt;=V87)*(ISNUMBER('SVB-Coring'!$K$2:$K$40))*('SVB-Coring'!$K$2:$K$40))</f>
        <v>2</v>
      </c>
      <c r="W15" s="673" cm="1">
        <f t="array" ref="W15">SUMPRODUCT(('SVB-Coring'!$T$2:$T$40&gt;=W86)*('SVB-Coring'!$T$2:$T$40&lt;=W87)*(ISNUMBER('SVB-Coring'!$K$2:$K$40))*('SVB-Coring'!$K$2:$K$40))</f>
        <v>2</v>
      </c>
      <c r="X15" s="673" cm="1">
        <f t="array" ref="X15">SUMPRODUCT(('SVB-Coring'!$T$2:$T$40&gt;=X86)*('SVB-Coring'!$T$2:$T$40&lt;=X87)*(ISNUMBER('SVB-Coring'!$K$2:$K$40))*('SVB-Coring'!$K$2:$K$40))</f>
        <v>0</v>
      </c>
      <c r="Y15" s="673" cm="1">
        <f t="array" ref="Y15">SUMPRODUCT(('SVB-Coring'!$T$2:$T$40&gt;=Y86)*('SVB-Coring'!$T$2:$T$40&lt;=Y87)*(ISNUMBER('SVB-Coring'!$K$2:$K$40))*('SVB-Coring'!$K$2:$K$40))</f>
        <v>2</v>
      </c>
      <c r="Z15" s="673" cm="1">
        <f t="array" ref="Z15">SUMPRODUCT(('SVB-Coring'!$T$2:$T$40&gt;=Z86)*('SVB-Coring'!$T$2:$T$40&lt;=Z87)*(ISNUMBER('SVB-Coring'!$K$2:$K$40))*('SVB-Coring'!$K$2:$K$40))</f>
        <v>2</v>
      </c>
      <c r="AA15" s="673" cm="1">
        <f t="array" ref="AA15">SUMPRODUCT(('SVB-Coring'!$T$2:$T$40&gt;=AA86)*('SVB-Coring'!$T$2:$T$40&lt;=AA87)*(ISNUMBER('SVB-Coring'!$K$2:$K$40))*('SVB-Coring'!$K$2:$K$40))</f>
        <v>2</v>
      </c>
      <c r="AB15" s="673" cm="1">
        <f t="array" ref="AB15">SUMPRODUCT(('SVB-Coring'!$T$2:$T$40&gt;=AB86)*('SVB-Coring'!$T$2:$T$40&lt;=AB87)*(ISNUMBER('SVB-Coring'!$K$2:$K$40))*('SVB-Coring'!$K$2:$K$40))</f>
        <v>2</v>
      </c>
      <c r="AC15" s="673" cm="1">
        <f t="array" ref="AC15">SUMPRODUCT(('SVB-Coring'!$T$2:$T$40&gt;=AC86)*('SVB-Coring'!$T$2:$T$40&lt;=AC87)*(ISNUMBER('SVB-Coring'!$K$2:$K$40))*('SVB-Coring'!$K$2:$K$40))</f>
        <v>2</v>
      </c>
      <c r="AD15" s="673" cm="1">
        <f t="array" ref="AD15">SUMPRODUCT(('SVB-Coring'!$T$2:$T$40&gt;=AD86)*('SVB-Coring'!$T$2:$T$40&lt;=AD87)*(ISNUMBER('SVB-Coring'!$K$2:$K$40))*('SVB-Coring'!$K$2:$K$40))</f>
        <v>2</v>
      </c>
      <c r="AE15" s="673" cm="1">
        <f t="array" ref="AE15">SUMPRODUCT(('SVB-Coring'!$T$2:$T$40&gt;=AE86)*('SVB-Coring'!$T$2:$T$40&lt;=AE87)*(ISNUMBER('SVB-Coring'!$K$2:$K$40))*('SVB-Coring'!$K$2:$K$40))</f>
        <v>2</v>
      </c>
      <c r="AF15" s="673" cm="1">
        <f t="array" ref="AF15">SUMPRODUCT(('SVB-Coring'!$T$2:$T$40&gt;=AF86)*('SVB-Coring'!$T$2:$T$40&lt;=AF87)*(ISNUMBER('SVB-Coring'!$K$2:$K$40))*('SVB-Coring'!$K$2:$K$40))</f>
        <v>2</v>
      </c>
      <c r="AG15" s="673" cm="1">
        <f t="array" ref="AG15">SUMPRODUCT(('SVB-Coring'!$T$2:$T$40&gt;=AG86)*('SVB-Coring'!$T$2:$T$40&lt;=AG87)*(ISNUMBER('SVB-Coring'!$K$2:$K$40))*('SVB-Coring'!$K$2:$K$40))</f>
        <v>2</v>
      </c>
      <c r="AH15" s="673" cm="1">
        <f t="array" ref="AH15">SUMPRODUCT(('SVB-Coring'!$T$2:$T$40&gt;=AH86)*('SVB-Coring'!$T$2:$T$40&lt;=AH87)*(ISNUMBER('SVB-Coring'!$K$2:$K$40))*('SVB-Coring'!$K$2:$K$40))</f>
        <v>2</v>
      </c>
      <c r="AI15" s="673" cm="1">
        <f t="array" ref="AI15">SUMPRODUCT(('SVB-Coring'!$T$2:$T$40&gt;=AI86)*('SVB-Coring'!$T$2:$T$40&lt;=AI87)*(ISNUMBER('SVB-Coring'!$K$2:$K$40))*('SVB-Coring'!$K$2:$K$40))</f>
        <v>2</v>
      </c>
      <c r="AJ15" s="673" cm="1">
        <f t="array" ref="AJ15">SUMPRODUCT(('SVB-Coring'!$T$2:$T$40&gt;=AJ86)*('SVB-Coring'!$T$2:$T$40&lt;=AJ87)*(ISNUMBER('SVB-Coring'!$K$2:$K$40))*('SVB-Coring'!$K$2:$K$40))</f>
        <v>2</v>
      </c>
      <c r="AK15" s="673" cm="1">
        <f t="array" ref="AK15">SUMPRODUCT(('SVB-Coring'!$T$2:$T$40&gt;=AK86)*('SVB-Coring'!$T$2:$T$40&lt;=AK87)*(ISNUMBER('SVB-Coring'!$K$2:$K$40))*('SVB-Coring'!$K$2:$K$40))</f>
        <v>0</v>
      </c>
      <c r="AL15" s="673" cm="1">
        <f t="array" ref="AL15">SUMPRODUCT(('SVB-Coring'!$T$2:$T$40&gt;=AL86)*('SVB-Coring'!$T$2:$T$40&lt;=AL87)*(ISNUMBER('SVB-Coring'!$K$2:$K$40))*('SVB-Coring'!$K$2:$K$40))</f>
        <v>0</v>
      </c>
      <c r="AM15" s="673" cm="1">
        <f t="array" ref="AM15">SUMPRODUCT(('SVB-Coring'!$T$2:$T$40&gt;=AM86)*('SVB-Coring'!$T$2:$T$40&lt;=AM87)*(ISNUMBER('SVB-Coring'!$K$2:$K$40))*('SVB-Coring'!$K$2:$K$40))</f>
        <v>0</v>
      </c>
      <c r="AN15" s="674" cm="1">
        <f t="array" ref="AN15">SUMPRODUCT((ISNUMBER('SVB-Coring'!$T$2:$T$40))*(ISNUMBER('SVB-Coring'!$K$2:$K$40))*('SVB-Coring'!$K$2:$K$40))</f>
        <v>39</v>
      </c>
    </row>
    <row r="16" spans="1:40" ht="18" customHeight="1">
      <c r="A16" s="675" t="s">
        <v>1356</v>
      </c>
      <c r="B16" s="676" cm="1">
        <f t="array" ref="B16">SUMPRODUCT(('SVB-Coring'!$U$2:$U$40&gt;=B86)*('SVB-Coring'!$U$2:$U$40&lt;=B87)*(ISNUMBER('SVB-Coring'!$K$2:$K$40))*('SVB-Coring'!$K$2:$K$40))</f>
        <v>0</v>
      </c>
      <c r="C16" s="676" cm="1">
        <f t="array" ref="C16">SUMPRODUCT(('SVB-Coring'!$U$2:$U$40&gt;=C86)*('SVB-Coring'!$U$2:$U$40&lt;=C87)*(ISNUMBER('SVB-Coring'!$K$2:$K$40))*('SVB-Coring'!$K$2:$K$40))</f>
        <v>0</v>
      </c>
      <c r="D16" s="676" cm="1">
        <f t="array" ref="D16">SUMPRODUCT(('SVB-Coring'!$U$2:$U$40&gt;=D86)*('SVB-Coring'!$U$2:$U$40&lt;=D87)*(ISNUMBER('SVB-Coring'!$K$2:$K$40))*('SVB-Coring'!$K$2:$K$40))</f>
        <v>0</v>
      </c>
      <c r="E16" s="676" cm="1">
        <f t="array" ref="E16">SUMPRODUCT(('SVB-Coring'!$U$2:$U$40&gt;=E86)*('SVB-Coring'!$U$2:$U$40&lt;=E87)*(ISNUMBER('SVB-Coring'!$K$2:$K$40))*('SVB-Coring'!$K$2:$K$40))</f>
        <v>0</v>
      </c>
      <c r="F16" s="676" cm="1">
        <f t="array" ref="F16">SUMPRODUCT(('SVB-Coring'!$U$2:$U$40&gt;=F86)*('SVB-Coring'!$U$2:$U$40&lt;=F87)*(ISNUMBER('SVB-Coring'!$K$2:$K$40))*('SVB-Coring'!$K$2:$K$40))</f>
        <v>0</v>
      </c>
      <c r="G16" s="676" cm="1">
        <f t="array" ref="G16">SUMPRODUCT(('SVB-Coring'!$U$2:$U$40&gt;=G86)*('SVB-Coring'!$U$2:$U$40&lt;=G87)*(ISNUMBER('SVB-Coring'!$K$2:$K$40))*('SVB-Coring'!$K$2:$K$40))</f>
        <v>0</v>
      </c>
      <c r="H16" s="676" cm="1">
        <f t="array" ref="H16">SUMPRODUCT(('SVB-Coring'!$U$2:$U$40&gt;=H86)*('SVB-Coring'!$U$2:$U$40&lt;=H87)*(ISNUMBER('SVB-Coring'!$K$2:$K$40))*('SVB-Coring'!$K$2:$K$40))</f>
        <v>0</v>
      </c>
      <c r="I16" s="676" cm="1">
        <f t="array" ref="I16">SUMPRODUCT(('SVB-Coring'!$U$2:$U$40&gt;=I86)*('SVB-Coring'!$U$2:$U$40&lt;=I87)*(ISNUMBER('SVB-Coring'!$K$2:$K$40))*('SVB-Coring'!$K$2:$K$40))</f>
        <v>0</v>
      </c>
      <c r="J16" s="676" cm="1">
        <f t="array" ref="J16">SUMPRODUCT(('SVB-Coring'!$U$2:$U$40&gt;=J86)*('SVB-Coring'!$U$2:$U$40&lt;=J87)*(ISNUMBER('SVB-Coring'!$K$2:$K$40))*('SVB-Coring'!$K$2:$K$40))</f>
        <v>0</v>
      </c>
      <c r="K16" s="676" cm="1">
        <f t="array" ref="K16">SUMPRODUCT(('SVB-Coring'!$U$2:$U$40&gt;=K86)*('SVB-Coring'!$U$2:$U$40&lt;=K87)*(ISNUMBER('SVB-Coring'!$K$2:$K$40))*('SVB-Coring'!$K$2:$K$40))</f>
        <v>0</v>
      </c>
      <c r="L16" s="676" cm="1">
        <f t="array" ref="L16">SUMPRODUCT(('SVB-Coring'!$U$2:$U$40&gt;=L86)*('SVB-Coring'!$U$2:$U$40&lt;=L87)*(ISNUMBER('SVB-Coring'!$K$2:$K$40))*('SVB-Coring'!$K$2:$K$40))</f>
        <v>1</v>
      </c>
      <c r="M16" s="676" cm="1">
        <f t="array" ref="M16">SUMPRODUCT(('SVB-Coring'!$U$2:$U$40&gt;=M86)*('SVB-Coring'!$U$2:$U$40&lt;=M87)*(ISNUMBER('SVB-Coring'!$K$2:$K$40))*('SVB-Coring'!$K$2:$K$40))</f>
        <v>0</v>
      </c>
      <c r="N16" s="676" cm="1">
        <f t="array" ref="N16">SUMPRODUCT(('SVB-Coring'!$U$2:$U$40&gt;=N86)*('SVB-Coring'!$U$2:$U$40&lt;=N87)*(ISNUMBER('SVB-Coring'!$K$2:$K$40))*('SVB-Coring'!$K$2:$K$40))</f>
        <v>0</v>
      </c>
      <c r="O16" s="676" cm="1">
        <f t="array" ref="O16">SUMPRODUCT(('SVB-Coring'!$U$2:$U$40&gt;=O86)*('SVB-Coring'!$U$2:$U$40&lt;=O87)*(ISNUMBER('SVB-Coring'!$K$2:$K$40))*('SVB-Coring'!$K$2:$K$40))</f>
        <v>1</v>
      </c>
      <c r="P16" s="676" cm="1">
        <f t="array" ref="P16">SUMPRODUCT(('SVB-Coring'!$U$2:$U$40&gt;=P86)*('SVB-Coring'!$U$2:$U$40&lt;=P87)*(ISNUMBER('SVB-Coring'!$K$2:$K$40))*('SVB-Coring'!$K$2:$K$40))</f>
        <v>2</v>
      </c>
      <c r="Q16" s="676" cm="1">
        <f t="array" ref="Q16">SUMPRODUCT(('SVB-Coring'!$U$2:$U$40&gt;=Q86)*('SVB-Coring'!$U$2:$U$40&lt;=Q87)*(ISNUMBER('SVB-Coring'!$K$2:$K$40))*('SVB-Coring'!$K$2:$K$40))</f>
        <v>1</v>
      </c>
      <c r="R16" s="676" cm="1">
        <f t="array" ref="R16">SUMPRODUCT(('SVB-Coring'!$U$2:$U$40&gt;=R86)*('SVB-Coring'!$U$2:$U$40&lt;=R87)*(ISNUMBER('SVB-Coring'!$K$2:$K$40))*('SVB-Coring'!$K$2:$K$40))</f>
        <v>1</v>
      </c>
      <c r="S16" s="676" cm="1">
        <f t="array" ref="S16">SUMPRODUCT(('SVB-Coring'!$U$2:$U$40&gt;=S86)*('SVB-Coring'!$U$2:$U$40&lt;=S87)*(ISNUMBER('SVB-Coring'!$K$2:$K$40))*('SVB-Coring'!$K$2:$K$40))</f>
        <v>1</v>
      </c>
      <c r="T16" s="676" cm="1">
        <f t="array" ref="T16">SUMPRODUCT(('SVB-Coring'!$U$2:$U$40&gt;=T86)*('SVB-Coring'!$U$2:$U$40&lt;=T87)*(ISNUMBER('SVB-Coring'!$K$2:$K$40))*('SVB-Coring'!$K$2:$K$40))</f>
        <v>0</v>
      </c>
      <c r="U16" s="676" cm="1">
        <f t="array" ref="U16">SUMPRODUCT(('SVB-Coring'!$U$2:$U$40&gt;=U86)*('SVB-Coring'!$U$2:$U$40&lt;=U87)*(ISNUMBER('SVB-Coring'!$K$2:$K$40))*('SVB-Coring'!$K$2:$K$40))</f>
        <v>1</v>
      </c>
      <c r="V16" s="676" cm="1">
        <f t="array" ref="V16">SUMPRODUCT(('SVB-Coring'!$U$2:$U$40&gt;=V86)*('SVB-Coring'!$U$2:$U$40&lt;=V87)*(ISNUMBER('SVB-Coring'!$K$2:$K$40))*('SVB-Coring'!$K$2:$K$40))</f>
        <v>0</v>
      </c>
      <c r="W16" s="676" cm="1">
        <f t="array" ref="W16">SUMPRODUCT(('SVB-Coring'!$U$2:$U$40&gt;=W86)*('SVB-Coring'!$U$2:$U$40&lt;=W87)*(ISNUMBER('SVB-Coring'!$K$2:$K$40))*('SVB-Coring'!$K$2:$K$40))</f>
        <v>0</v>
      </c>
      <c r="X16" s="676" cm="1">
        <f t="array" ref="X16">SUMPRODUCT(('SVB-Coring'!$U$2:$U$40&gt;=X86)*('SVB-Coring'!$U$2:$U$40&lt;=X87)*(ISNUMBER('SVB-Coring'!$K$2:$K$40))*('SVB-Coring'!$K$2:$K$40))</f>
        <v>0</v>
      </c>
      <c r="Y16" s="676" cm="1">
        <f t="array" ref="Y16">SUMPRODUCT(('SVB-Coring'!$U$2:$U$40&gt;=Y86)*('SVB-Coring'!$U$2:$U$40&lt;=Y87)*(ISNUMBER('SVB-Coring'!$K$2:$K$40))*('SVB-Coring'!$K$2:$K$40))</f>
        <v>0</v>
      </c>
      <c r="Z16" s="676" cm="1">
        <f t="array" ref="Z16">SUMPRODUCT(('SVB-Coring'!$U$2:$U$40&gt;=Z86)*('SVB-Coring'!$U$2:$U$40&lt;=Z87)*(ISNUMBER('SVB-Coring'!$K$2:$K$40))*('SVB-Coring'!$K$2:$K$40))</f>
        <v>0</v>
      </c>
      <c r="AA16" s="676" cm="1">
        <f t="array" ref="AA16">SUMPRODUCT(('SVB-Coring'!$U$2:$U$40&gt;=AA86)*('SVB-Coring'!$U$2:$U$40&lt;=AA87)*(ISNUMBER('SVB-Coring'!$K$2:$K$40))*('SVB-Coring'!$K$2:$K$40))</f>
        <v>0</v>
      </c>
      <c r="AB16" s="676" cm="1">
        <f t="array" ref="AB16">SUMPRODUCT(('SVB-Coring'!$U$2:$U$40&gt;=AB86)*('SVB-Coring'!$U$2:$U$40&lt;=AB87)*(ISNUMBER('SVB-Coring'!$K$2:$K$40))*('SVB-Coring'!$K$2:$K$40))</f>
        <v>0</v>
      </c>
      <c r="AC16" s="676" cm="1">
        <f t="array" ref="AC16">SUMPRODUCT(('SVB-Coring'!$U$2:$U$40&gt;=AC86)*('SVB-Coring'!$U$2:$U$40&lt;=AC87)*(ISNUMBER('SVB-Coring'!$K$2:$K$40))*('SVB-Coring'!$K$2:$K$40))</f>
        <v>0</v>
      </c>
      <c r="AD16" s="676" cm="1">
        <f t="array" ref="AD16">SUMPRODUCT(('SVB-Coring'!$U$2:$U$40&gt;=AD86)*('SVB-Coring'!$U$2:$U$40&lt;=AD87)*(ISNUMBER('SVB-Coring'!$K$2:$K$40))*('SVB-Coring'!$K$2:$K$40))</f>
        <v>0</v>
      </c>
      <c r="AE16" s="676" cm="1">
        <f t="array" ref="AE16">SUMPRODUCT(('SVB-Coring'!$U$2:$U$40&gt;=AE86)*('SVB-Coring'!$U$2:$U$40&lt;=AE87)*(ISNUMBER('SVB-Coring'!$K$2:$K$40))*('SVB-Coring'!$K$2:$K$40))</f>
        <v>0</v>
      </c>
      <c r="AF16" s="676" cm="1">
        <f t="array" ref="AF16">SUMPRODUCT(('SVB-Coring'!$U$2:$U$40&gt;=AF86)*('SVB-Coring'!$U$2:$U$40&lt;=AF87)*(ISNUMBER('SVB-Coring'!$K$2:$K$40))*('SVB-Coring'!$K$2:$K$40))</f>
        <v>0</v>
      </c>
      <c r="AG16" s="676" cm="1">
        <f t="array" ref="AG16">SUMPRODUCT(('SVB-Coring'!$U$2:$U$40&gt;=AG86)*('SVB-Coring'!$U$2:$U$40&lt;=AG87)*(ISNUMBER('SVB-Coring'!$K$2:$K$40))*('SVB-Coring'!$K$2:$K$40))</f>
        <v>0</v>
      </c>
      <c r="AH16" s="676" cm="1">
        <f t="array" ref="AH16">SUMPRODUCT(('SVB-Coring'!$U$2:$U$40&gt;=AH86)*('SVB-Coring'!$U$2:$U$40&lt;=AH87)*(ISNUMBER('SVB-Coring'!$K$2:$K$40))*('SVB-Coring'!$K$2:$K$40))</f>
        <v>0</v>
      </c>
      <c r="AI16" s="676" cm="1">
        <f t="array" ref="AI16">SUMPRODUCT(('SVB-Coring'!$U$2:$U$40&gt;=AI86)*('SVB-Coring'!$U$2:$U$40&lt;=AI87)*(ISNUMBER('SVB-Coring'!$K$2:$K$40))*('SVB-Coring'!$K$2:$K$40))</f>
        <v>0</v>
      </c>
      <c r="AJ16" s="676" cm="1">
        <f t="array" ref="AJ16">SUMPRODUCT(('SVB-Coring'!$U$2:$U$40&gt;=AJ86)*('SVB-Coring'!$U$2:$U$40&lt;=AJ87)*(ISNUMBER('SVB-Coring'!$K$2:$K$40))*('SVB-Coring'!$K$2:$K$40))</f>
        <v>0</v>
      </c>
      <c r="AK16" s="676" cm="1">
        <f t="array" ref="AK16">SUMPRODUCT(('SVB-Coring'!$U$2:$U$40&gt;=AK86)*('SVB-Coring'!$U$2:$U$40&lt;=AK87)*(ISNUMBER('SVB-Coring'!$K$2:$K$40))*('SVB-Coring'!$K$2:$K$40))</f>
        <v>0</v>
      </c>
      <c r="AL16" s="676" cm="1">
        <f t="array" ref="AL16">SUMPRODUCT(('SVB-Coring'!$U$2:$U$40&gt;=AL86)*('SVB-Coring'!$U$2:$U$40&lt;=AL87)*(ISNUMBER('SVB-Coring'!$K$2:$K$40))*('SVB-Coring'!$K$2:$K$40))</f>
        <v>0</v>
      </c>
      <c r="AM16" s="676" cm="1">
        <f t="array" ref="AM16">SUMPRODUCT(('SVB-Coring'!$U$2:$U$40&gt;=AM86)*('SVB-Coring'!$U$2:$U$40&lt;=AM87)*(ISNUMBER('SVB-Coring'!$K$2:$K$40))*('SVB-Coring'!$K$2:$K$40))</f>
        <v>0</v>
      </c>
      <c r="AN16" s="674">
        <f>SUM(B16:AM16)</f>
        <v>8</v>
      </c>
    </row>
    <row r="17" spans="1:40" ht="18" customHeight="1">
      <c r="A17" s="677" t="s">
        <v>1357</v>
      </c>
      <c r="B17" s="678">
        <f t="shared" ref="B17:AN17" si="1">IF(B15=0,0,B16/B15)</f>
        <v>0</v>
      </c>
      <c r="C17" s="678">
        <f t="shared" si="1"/>
        <v>0</v>
      </c>
      <c r="D17" s="678">
        <f t="shared" si="1"/>
        <v>0</v>
      </c>
      <c r="E17" s="678">
        <f t="shared" si="1"/>
        <v>0</v>
      </c>
      <c r="F17" s="678">
        <f t="shared" si="1"/>
        <v>0</v>
      </c>
      <c r="G17" s="678">
        <f t="shared" si="1"/>
        <v>0</v>
      </c>
      <c r="H17" s="678">
        <f t="shared" si="1"/>
        <v>0</v>
      </c>
      <c r="I17" s="678">
        <f t="shared" si="1"/>
        <v>0</v>
      </c>
      <c r="J17" s="678">
        <f t="shared" si="1"/>
        <v>0</v>
      </c>
      <c r="K17" s="678">
        <f t="shared" si="1"/>
        <v>0</v>
      </c>
      <c r="L17" s="678">
        <f t="shared" si="1"/>
        <v>1</v>
      </c>
      <c r="M17" s="678">
        <f t="shared" si="1"/>
        <v>0</v>
      </c>
      <c r="N17" s="678">
        <f t="shared" si="1"/>
        <v>0</v>
      </c>
      <c r="O17" s="678">
        <f t="shared" si="1"/>
        <v>1</v>
      </c>
      <c r="P17" s="678">
        <f t="shared" si="1"/>
        <v>1</v>
      </c>
      <c r="Q17" s="678">
        <f t="shared" si="1"/>
        <v>1</v>
      </c>
      <c r="R17" s="678">
        <f t="shared" si="1"/>
        <v>1</v>
      </c>
      <c r="S17" s="678">
        <f t="shared" si="1"/>
        <v>1</v>
      </c>
      <c r="T17" s="678">
        <f t="shared" si="1"/>
        <v>0</v>
      </c>
      <c r="U17" s="678">
        <f t="shared" si="1"/>
        <v>0.5</v>
      </c>
      <c r="V17" s="678">
        <f t="shared" si="1"/>
        <v>0</v>
      </c>
      <c r="W17" s="678">
        <f t="shared" si="1"/>
        <v>0</v>
      </c>
      <c r="X17" s="678">
        <f t="shared" si="1"/>
        <v>0</v>
      </c>
      <c r="Y17" s="678">
        <f t="shared" si="1"/>
        <v>0</v>
      </c>
      <c r="Z17" s="678">
        <f t="shared" si="1"/>
        <v>0</v>
      </c>
      <c r="AA17" s="678">
        <f t="shared" si="1"/>
        <v>0</v>
      </c>
      <c r="AB17" s="678">
        <f t="shared" si="1"/>
        <v>0</v>
      </c>
      <c r="AC17" s="678">
        <f t="shared" si="1"/>
        <v>0</v>
      </c>
      <c r="AD17" s="678">
        <f t="shared" si="1"/>
        <v>0</v>
      </c>
      <c r="AE17" s="678">
        <f t="shared" si="1"/>
        <v>0</v>
      </c>
      <c r="AF17" s="678">
        <f t="shared" si="1"/>
        <v>0</v>
      </c>
      <c r="AG17" s="678">
        <f t="shared" si="1"/>
        <v>0</v>
      </c>
      <c r="AH17" s="678">
        <f t="shared" si="1"/>
        <v>0</v>
      </c>
      <c r="AI17" s="678">
        <f t="shared" si="1"/>
        <v>0</v>
      </c>
      <c r="AJ17" s="678">
        <f t="shared" si="1"/>
        <v>0</v>
      </c>
      <c r="AK17" s="678">
        <f t="shared" si="1"/>
        <v>0</v>
      </c>
      <c r="AL17" s="678">
        <f t="shared" si="1"/>
        <v>0</v>
      </c>
      <c r="AM17" s="678">
        <f t="shared" si="1"/>
        <v>0</v>
      </c>
      <c r="AN17" s="679">
        <f t="shared" si="1"/>
        <v>0.20512820512820512</v>
      </c>
    </row>
    <row r="18" spans="1:40" ht="18" customHeight="1">
      <c r="A18" s="680" t="s">
        <v>1358</v>
      </c>
      <c r="B18" s="681">
        <f>SUM($B15:B15)</f>
        <v>0</v>
      </c>
      <c r="C18" s="681">
        <f>SUM($B15:C15)</f>
        <v>0</v>
      </c>
      <c r="D18" s="681">
        <f>SUM($B15:D15)</f>
        <v>0</v>
      </c>
      <c r="E18" s="681">
        <f>SUM($B15:E15)</f>
        <v>0</v>
      </c>
      <c r="F18" s="681">
        <f>SUM($B15:F15)</f>
        <v>0</v>
      </c>
      <c r="G18" s="681">
        <f>SUM($B15:G15)</f>
        <v>0</v>
      </c>
      <c r="H18" s="681">
        <f>SUM($B15:H15)</f>
        <v>0</v>
      </c>
      <c r="I18" s="681">
        <f>SUM($B15:I15)</f>
        <v>0</v>
      </c>
      <c r="J18" s="681">
        <f>SUM($B15:J15)</f>
        <v>0</v>
      </c>
      <c r="K18" s="681">
        <f>SUM($B15:K15)</f>
        <v>0</v>
      </c>
      <c r="L18" s="681">
        <f>SUM($B15:L15)</f>
        <v>1</v>
      </c>
      <c r="M18" s="681">
        <f>SUM($B15:M15)</f>
        <v>1</v>
      </c>
      <c r="N18" s="681">
        <f>SUM($B15:N15)</f>
        <v>1</v>
      </c>
      <c r="O18" s="681">
        <f>SUM($B15:O15)</f>
        <v>2</v>
      </c>
      <c r="P18" s="681">
        <f>SUM($B15:P15)</f>
        <v>4</v>
      </c>
      <c r="Q18" s="681">
        <f>SUM($B15:Q15)</f>
        <v>5</v>
      </c>
      <c r="R18" s="681">
        <f>SUM($B15:R15)</f>
        <v>6</v>
      </c>
      <c r="S18" s="681">
        <f>SUM($B15:S15)</f>
        <v>7</v>
      </c>
      <c r="T18" s="681">
        <f>SUM($B15:T15)</f>
        <v>9</v>
      </c>
      <c r="U18" s="681">
        <f>SUM($B15:U15)</f>
        <v>11</v>
      </c>
      <c r="V18" s="681">
        <f>SUM($B15:V15)</f>
        <v>13</v>
      </c>
      <c r="W18" s="681">
        <f>SUM($B15:W15)</f>
        <v>15</v>
      </c>
      <c r="X18" s="681">
        <f>SUM($B15:X15)</f>
        <v>15</v>
      </c>
      <c r="Y18" s="681">
        <f>SUM($B15:Y15)</f>
        <v>17</v>
      </c>
      <c r="Z18" s="681">
        <f>SUM($B15:Z15)</f>
        <v>19</v>
      </c>
      <c r="AA18" s="681">
        <f>SUM($B15:AA15)</f>
        <v>21</v>
      </c>
      <c r="AB18" s="681">
        <f>SUM($B15:AB15)</f>
        <v>23</v>
      </c>
      <c r="AC18" s="681">
        <f>SUM($B15:AC15)</f>
        <v>25</v>
      </c>
      <c r="AD18" s="681">
        <f>SUM($B15:AD15)</f>
        <v>27</v>
      </c>
      <c r="AE18" s="681">
        <f>SUM($B15:AE15)</f>
        <v>29</v>
      </c>
      <c r="AF18" s="681">
        <f>SUM($B15:AF15)</f>
        <v>31</v>
      </c>
      <c r="AG18" s="681">
        <f>SUM($B15:AG15)</f>
        <v>33</v>
      </c>
      <c r="AH18" s="681">
        <f>SUM($B15:AH15)</f>
        <v>35</v>
      </c>
      <c r="AI18" s="681">
        <f>SUM($B15:AI15)</f>
        <v>37</v>
      </c>
      <c r="AJ18" s="681">
        <f>SUM($B15:AJ15)</f>
        <v>39</v>
      </c>
      <c r="AK18" s="681">
        <f>SUM($B15:AK15)</f>
        <v>39</v>
      </c>
      <c r="AL18" s="681">
        <f>SUM($B15:AL15)</f>
        <v>39</v>
      </c>
      <c r="AM18" s="681">
        <f>SUM($B15:AM15)</f>
        <v>39</v>
      </c>
      <c r="AN18" s="674">
        <f>AN15</f>
        <v>39</v>
      </c>
    </row>
    <row r="19" spans="1:40" ht="18" customHeight="1">
      <c r="A19" s="680" t="s">
        <v>1359</v>
      </c>
      <c r="B19" s="681">
        <f>SUM($B16:B16)</f>
        <v>0</v>
      </c>
      <c r="C19" s="681">
        <f>SUM($B16:C16)</f>
        <v>0</v>
      </c>
      <c r="D19" s="681">
        <f>SUM($B16:D16)</f>
        <v>0</v>
      </c>
      <c r="E19" s="681">
        <f>SUM($B16:E16)</f>
        <v>0</v>
      </c>
      <c r="F19" s="681">
        <f>SUM($B16:F16)</f>
        <v>0</v>
      </c>
      <c r="G19" s="681">
        <f>SUM($B16:G16)</f>
        <v>0</v>
      </c>
      <c r="H19" s="681">
        <f>SUM($B16:H16)</f>
        <v>0</v>
      </c>
      <c r="I19" s="681">
        <f>SUM($B16:I16)</f>
        <v>0</v>
      </c>
      <c r="J19" s="681">
        <f>SUM($B16:J16)</f>
        <v>0</v>
      </c>
      <c r="K19" s="681">
        <f>SUM($B16:K16)</f>
        <v>0</v>
      </c>
      <c r="L19" s="681">
        <f>SUM($B16:L16)</f>
        <v>1</v>
      </c>
      <c r="M19" s="681">
        <f>SUM($B16:M16)</f>
        <v>1</v>
      </c>
      <c r="N19" s="681">
        <f>SUM($B16:N16)</f>
        <v>1</v>
      </c>
      <c r="O19" s="681">
        <f>SUM($B16:O16)</f>
        <v>2</v>
      </c>
      <c r="P19" s="681">
        <f>SUM($B16:P16)</f>
        <v>4</v>
      </c>
      <c r="Q19" s="681">
        <f>SUM($B16:Q16)</f>
        <v>5</v>
      </c>
      <c r="R19" s="681">
        <f>SUM($B16:R16)</f>
        <v>6</v>
      </c>
      <c r="S19" s="681">
        <f>SUM($B16:S16)</f>
        <v>7</v>
      </c>
      <c r="T19" s="681">
        <f>SUM($B16:T16)</f>
        <v>7</v>
      </c>
      <c r="U19" s="681">
        <f>SUM($B16:U16)</f>
        <v>8</v>
      </c>
      <c r="V19" s="681">
        <f>SUM($B16:V16)</f>
        <v>8</v>
      </c>
      <c r="W19" s="681">
        <f>SUM($B16:W16)</f>
        <v>8</v>
      </c>
      <c r="X19" s="681">
        <f>SUM($B16:X16)</f>
        <v>8</v>
      </c>
      <c r="Y19" s="681">
        <f>SUM($B16:Y16)</f>
        <v>8</v>
      </c>
      <c r="Z19" s="681">
        <f>SUM($B16:Z16)</f>
        <v>8</v>
      </c>
      <c r="AA19" s="681">
        <f>SUM($B16:AA16)</f>
        <v>8</v>
      </c>
      <c r="AB19" s="681">
        <f>SUM($B16:AB16)</f>
        <v>8</v>
      </c>
      <c r="AC19" s="681">
        <f>SUM($B16:AC16)</f>
        <v>8</v>
      </c>
      <c r="AD19" s="681">
        <f>SUM($B16:AD16)</f>
        <v>8</v>
      </c>
      <c r="AE19" s="681">
        <f>SUM($B16:AE16)</f>
        <v>8</v>
      </c>
      <c r="AF19" s="681">
        <f>SUM($B16:AF16)</f>
        <v>8</v>
      </c>
      <c r="AG19" s="681">
        <f>SUM($B16:AG16)</f>
        <v>8</v>
      </c>
      <c r="AH19" s="681">
        <f>SUM($B16:AH16)</f>
        <v>8</v>
      </c>
      <c r="AI19" s="681">
        <f>SUM($B16:AI16)</f>
        <v>8</v>
      </c>
      <c r="AJ19" s="681">
        <f>SUM($B16:AJ16)</f>
        <v>8</v>
      </c>
      <c r="AK19" s="681">
        <f>SUM($B16:AK16)</f>
        <v>8</v>
      </c>
      <c r="AL19" s="681">
        <f>SUM($B16:AL16)</f>
        <v>8</v>
      </c>
      <c r="AM19" s="681">
        <f>SUM($B16:AM16)</f>
        <v>8</v>
      </c>
      <c r="AN19" s="674">
        <f>AN16</f>
        <v>8</v>
      </c>
    </row>
    <row r="20" spans="1:40" ht="18" customHeight="1">
      <c r="A20" s="682" t="s">
        <v>1360</v>
      </c>
      <c r="B20" s="683">
        <f>IF(AN15=0,0,B19/AN15)</f>
        <v>0</v>
      </c>
      <c r="C20" s="683">
        <f>IF(AN15=0,0,C19/AN15)</f>
        <v>0</v>
      </c>
      <c r="D20" s="683">
        <f>IF(AN15=0,0,D19/AN15)</f>
        <v>0</v>
      </c>
      <c r="E20" s="683">
        <f>IF(AN15=0,0,E19/AN15)</f>
        <v>0</v>
      </c>
      <c r="F20" s="683">
        <f>IF(AN15=0,0,F19/AN15)</f>
        <v>0</v>
      </c>
      <c r="G20" s="683">
        <f>IF(AN15=0,0,G19/AN15)</f>
        <v>0</v>
      </c>
      <c r="H20" s="683">
        <f>IF(AN15=0,0,H19/AN15)</f>
        <v>0</v>
      </c>
      <c r="I20" s="683">
        <f>IF(AN15=0,0,I19/AN15)</f>
        <v>0</v>
      </c>
      <c r="J20" s="683">
        <f>IF(AN15=0,0,J19/AN15)</f>
        <v>0</v>
      </c>
      <c r="K20" s="683">
        <f>IF(AN15=0,0,K19/AN15)</f>
        <v>0</v>
      </c>
      <c r="L20" s="683">
        <f>IF(AN15=0,0,L19/AN15)</f>
        <v>2.564102564102564E-2</v>
      </c>
      <c r="M20" s="683">
        <f>IF(AN15=0,0,M19/AN15)</f>
        <v>2.564102564102564E-2</v>
      </c>
      <c r="N20" s="683">
        <f>IF(AN15=0,0,N19/AN15)</f>
        <v>2.564102564102564E-2</v>
      </c>
      <c r="O20" s="683">
        <f>IF(AN15=0,0,O19/AN15)</f>
        <v>5.128205128205128E-2</v>
      </c>
      <c r="P20" s="683">
        <f>IF(AN15=0,0,P19/AN15)</f>
        <v>0.10256410256410256</v>
      </c>
      <c r="Q20" s="683">
        <f>IF(AN15=0,0,Q19/AN15)</f>
        <v>0.12820512820512819</v>
      </c>
      <c r="R20" s="683">
        <f>IF(AN15=0,0,R19/AN15)</f>
        <v>0.15384615384615385</v>
      </c>
      <c r="S20" s="683">
        <f>IF(AN15=0,0,S19/AN15)</f>
        <v>0.17948717948717949</v>
      </c>
      <c r="T20" s="683">
        <f>IF(AN15=0,0,T19/AN15)</f>
        <v>0.17948717948717949</v>
      </c>
      <c r="U20" s="683">
        <f>IF(AN15=0,0,U19/AN15)</f>
        <v>0.20512820512820512</v>
      </c>
      <c r="V20" s="683">
        <f>IF(AN15=0,0,V19/AN15)</f>
        <v>0.20512820512820512</v>
      </c>
      <c r="W20" s="683">
        <f>IF(AN15=0,0,W19/AN15)</f>
        <v>0.20512820512820512</v>
      </c>
      <c r="X20" s="683">
        <f>IF(AN15=0,0,X19/AN15)</f>
        <v>0.20512820512820512</v>
      </c>
      <c r="Y20" s="683">
        <f>IF(AN15=0,0,Y19/AN15)</f>
        <v>0.20512820512820512</v>
      </c>
      <c r="Z20" s="683">
        <f>IF(AN15=0,0,Z19/AN15)</f>
        <v>0.20512820512820512</v>
      </c>
      <c r="AA20" s="683">
        <f>IF(AN15=0,0,AA19/AN15)</f>
        <v>0.20512820512820512</v>
      </c>
      <c r="AB20" s="683">
        <f>IF(AN15=0,0,AB19/AN15)</f>
        <v>0.20512820512820512</v>
      </c>
      <c r="AC20" s="683">
        <f>IF(AN15=0,0,AC19/AN15)</f>
        <v>0.20512820512820512</v>
      </c>
      <c r="AD20" s="683">
        <f>IF(AN15=0,0,AD19/AN15)</f>
        <v>0.20512820512820512</v>
      </c>
      <c r="AE20" s="683">
        <f>IF(AN15=0,0,AE19/AN15)</f>
        <v>0.20512820512820512</v>
      </c>
      <c r="AF20" s="683">
        <f>IF(AN15=0,0,AF19/AN15)</f>
        <v>0.20512820512820512</v>
      </c>
      <c r="AG20" s="683">
        <f>IF(AN15=0,0,AG19/AN15)</f>
        <v>0.20512820512820512</v>
      </c>
      <c r="AH20" s="683">
        <f>IF(AN15=0,0,AH19/AN15)</f>
        <v>0.20512820512820512</v>
      </c>
      <c r="AI20" s="683">
        <f>IF(AN15=0,0,AI19/AN15)</f>
        <v>0.20512820512820512</v>
      </c>
      <c r="AJ20" s="683">
        <f>IF(AN15=0,0,AJ19/AN15)</f>
        <v>0.20512820512820512</v>
      </c>
      <c r="AK20" s="683">
        <f>IF(AN15=0,0,AK19/AN15)</f>
        <v>0.20512820512820512</v>
      </c>
      <c r="AL20" s="683">
        <f>IF(AN15=0,0,AL19/AN15)</f>
        <v>0.20512820512820512</v>
      </c>
      <c r="AM20" s="683">
        <f>IF(AN15=0,0,AM19/AN15)</f>
        <v>0.20512820512820512</v>
      </c>
      <c r="AN20" s="679">
        <f>IF(AN15=0,0,AN19/AN15)</f>
        <v>0.20512820512820512</v>
      </c>
    </row>
    <row r="21" spans="1:40" ht="4.95" customHeight="1"/>
    <row r="22" spans="1:40" ht="22.2" customHeight="1">
      <c r="A22" s="1066" t="s">
        <v>1362</v>
      </c>
      <c r="B22" s="1067"/>
      <c r="C22" s="1067"/>
      <c r="D22" s="1067"/>
      <c r="E22" s="1067"/>
      <c r="F22" s="1067"/>
      <c r="G22" s="1067"/>
      <c r="H22" s="1067"/>
      <c r="I22" s="1067"/>
      <c r="J22" s="1067"/>
      <c r="K22" s="1067"/>
      <c r="L22" s="1067"/>
      <c r="M22" s="1067"/>
      <c r="N22" s="1067"/>
      <c r="O22" s="1067"/>
      <c r="P22" s="1067"/>
      <c r="Q22" s="1067"/>
      <c r="R22" s="1067"/>
      <c r="S22" s="1067"/>
      <c r="T22" s="1067"/>
      <c r="U22" s="1067"/>
      <c r="V22" s="1067"/>
      <c r="W22" s="1067"/>
      <c r="X22" s="1067"/>
      <c r="Y22" s="1067"/>
      <c r="Z22" s="1067"/>
      <c r="AA22" s="1067"/>
      <c r="AB22" s="1067"/>
      <c r="AC22" s="1067"/>
      <c r="AD22" s="1067"/>
      <c r="AE22" s="1067"/>
      <c r="AF22" s="1067"/>
      <c r="AG22" s="1067"/>
      <c r="AH22" s="1067"/>
      <c r="AI22" s="1067"/>
      <c r="AJ22" s="1067"/>
      <c r="AK22" s="1067"/>
      <c r="AL22" s="1067"/>
      <c r="AM22" s="1067"/>
      <c r="AN22" s="1068"/>
    </row>
    <row r="23" spans="1:40" ht="18" customHeight="1">
      <c r="A23" s="684" t="s">
        <v>1363</v>
      </c>
      <c r="B23" s="685">
        <f t="shared" ref="B23:AN23" si="2">AVERAGE(B9,B17)</f>
        <v>0.5</v>
      </c>
      <c r="C23" s="685">
        <f t="shared" si="2"/>
        <v>0.5</v>
      </c>
      <c r="D23" s="685">
        <f t="shared" si="2"/>
        <v>0.5</v>
      </c>
      <c r="E23" s="685">
        <f t="shared" si="2"/>
        <v>0.5</v>
      </c>
      <c r="F23" s="685">
        <f t="shared" si="2"/>
        <v>0.5</v>
      </c>
      <c r="G23" s="685">
        <f t="shared" si="2"/>
        <v>0.5</v>
      </c>
      <c r="H23" s="685">
        <f t="shared" si="2"/>
        <v>0.5</v>
      </c>
      <c r="I23" s="685">
        <f t="shared" si="2"/>
        <v>0</v>
      </c>
      <c r="J23" s="685">
        <f t="shared" si="2"/>
        <v>0.5</v>
      </c>
      <c r="K23" s="685">
        <f t="shared" si="2"/>
        <v>0.5</v>
      </c>
      <c r="L23" s="685">
        <f t="shared" si="2"/>
        <v>1</v>
      </c>
      <c r="M23" s="685">
        <f t="shared" si="2"/>
        <v>0</v>
      </c>
      <c r="N23" s="685">
        <f t="shared" si="2"/>
        <v>0</v>
      </c>
      <c r="O23" s="685">
        <f t="shared" si="2"/>
        <v>0.5</v>
      </c>
      <c r="P23" s="685">
        <f t="shared" si="2"/>
        <v>0.5</v>
      </c>
      <c r="Q23" s="685">
        <f t="shared" si="2"/>
        <v>0.5</v>
      </c>
      <c r="R23" s="685">
        <f t="shared" si="2"/>
        <v>0.5</v>
      </c>
      <c r="S23" s="685">
        <f t="shared" si="2"/>
        <v>0.5</v>
      </c>
      <c r="T23" s="685">
        <f t="shared" si="2"/>
        <v>0</v>
      </c>
      <c r="U23" s="685">
        <f t="shared" si="2"/>
        <v>0.25</v>
      </c>
      <c r="V23" s="685">
        <f t="shared" si="2"/>
        <v>0</v>
      </c>
      <c r="W23" s="685">
        <f t="shared" si="2"/>
        <v>0</v>
      </c>
      <c r="X23" s="685">
        <f t="shared" si="2"/>
        <v>0</v>
      </c>
      <c r="Y23" s="685">
        <f t="shared" si="2"/>
        <v>0</v>
      </c>
      <c r="Z23" s="685">
        <f t="shared" si="2"/>
        <v>0</v>
      </c>
      <c r="AA23" s="685">
        <f t="shared" si="2"/>
        <v>0</v>
      </c>
      <c r="AB23" s="685">
        <f t="shared" si="2"/>
        <v>0</v>
      </c>
      <c r="AC23" s="685">
        <f t="shared" si="2"/>
        <v>0</v>
      </c>
      <c r="AD23" s="685">
        <f t="shared" si="2"/>
        <v>0</v>
      </c>
      <c r="AE23" s="685">
        <f t="shared" si="2"/>
        <v>0</v>
      </c>
      <c r="AF23" s="685">
        <f t="shared" si="2"/>
        <v>0</v>
      </c>
      <c r="AG23" s="685">
        <f t="shared" si="2"/>
        <v>0</v>
      </c>
      <c r="AH23" s="685">
        <f t="shared" si="2"/>
        <v>0</v>
      </c>
      <c r="AI23" s="685">
        <f t="shared" si="2"/>
        <v>0</v>
      </c>
      <c r="AJ23" s="685">
        <f t="shared" si="2"/>
        <v>0</v>
      </c>
      <c r="AK23" s="685">
        <f t="shared" si="2"/>
        <v>0</v>
      </c>
      <c r="AL23" s="685">
        <f t="shared" si="2"/>
        <v>0</v>
      </c>
      <c r="AM23" s="685">
        <f t="shared" si="2"/>
        <v>0</v>
      </c>
      <c r="AN23" s="679">
        <f t="shared" si="2"/>
        <v>0.60256410256410253</v>
      </c>
    </row>
    <row r="25" spans="1:40" ht="22.2" customHeight="1">
      <c r="A25" s="1066" t="s">
        <v>1364</v>
      </c>
      <c r="B25" s="1067"/>
      <c r="C25" s="1067"/>
      <c r="D25" s="1067"/>
      <c r="E25" s="1067"/>
      <c r="F25" s="1067"/>
      <c r="G25" s="1067"/>
      <c r="H25" s="1067"/>
      <c r="I25" s="1067"/>
      <c r="J25" s="1067"/>
      <c r="K25" s="1067"/>
      <c r="L25" s="1067"/>
      <c r="M25" s="1067"/>
      <c r="N25" s="1067"/>
      <c r="O25" s="1067"/>
      <c r="P25" s="1067"/>
      <c r="Q25" s="1067"/>
      <c r="R25" s="1067"/>
      <c r="S25" s="1067"/>
      <c r="T25" s="1067"/>
      <c r="U25" s="1067"/>
      <c r="V25" s="1067"/>
      <c r="W25" s="1067"/>
      <c r="X25" s="1067"/>
      <c r="Y25" s="1067"/>
      <c r="Z25" s="1067"/>
      <c r="AA25" s="1067"/>
      <c r="AB25" s="1067"/>
      <c r="AC25" s="1067"/>
      <c r="AD25" s="1067"/>
      <c r="AE25" s="1067"/>
      <c r="AF25" s="1067"/>
      <c r="AG25" s="1067"/>
      <c r="AH25" s="1067"/>
      <c r="AI25" s="1067"/>
      <c r="AJ25" s="1067"/>
      <c r="AK25" s="1067"/>
      <c r="AL25" s="1067"/>
      <c r="AM25" s="1067"/>
      <c r="AN25" s="1068"/>
    </row>
    <row r="26" spans="1:40" ht="18" customHeight="1">
      <c r="A26" s="686" t="s">
        <v>1365</v>
      </c>
      <c r="B26" s="687">
        <f>IF(($AN$7+$AN$15)=0,0,(B10+B18)/($AN$7+$AN$15))</f>
        <v>2.564102564102564E-2</v>
      </c>
      <c r="C26" s="687">
        <f>IF(($AN$7+$AN$15)=0,0,(C10+C18)/($AN$7+$AN$15))</f>
        <v>5.128205128205128E-2</v>
      </c>
      <c r="D26" s="687">
        <f t="shared" ref="D26:AM26" si="3">IF(($AN$7+$AN$15)=0,0,(D10+D18)/($AN$7+$AN$15))</f>
        <v>0.14102564102564102</v>
      </c>
      <c r="E26" s="687">
        <f t="shared" si="3"/>
        <v>0.17948717948717949</v>
      </c>
      <c r="F26" s="687">
        <f t="shared" si="3"/>
        <v>0.23076923076923078</v>
      </c>
      <c r="G26" s="687">
        <f t="shared" si="3"/>
        <v>0.30769230769230771</v>
      </c>
      <c r="H26" s="687">
        <f t="shared" si="3"/>
        <v>0.33333333333333331</v>
      </c>
      <c r="I26" s="687">
        <f t="shared" si="3"/>
        <v>0.33333333333333331</v>
      </c>
      <c r="J26" s="687">
        <f t="shared" si="3"/>
        <v>0.35897435897435898</v>
      </c>
      <c r="K26" s="687">
        <f t="shared" si="3"/>
        <v>0.4358974358974359</v>
      </c>
      <c r="L26" s="687">
        <f t="shared" si="3"/>
        <v>0.51282051282051277</v>
      </c>
      <c r="M26" s="687">
        <f t="shared" si="3"/>
        <v>0.51282051282051277</v>
      </c>
      <c r="N26" s="687">
        <f t="shared" si="3"/>
        <v>0.51282051282051277</v>
      </c>
      <c r="O26" s="687">
        <f t="shared" si="3"/>
        <v>0.52564102564102566</v>
      </c>
      <c r="P26" s="687">
        <f t="shared" si="3"/>
        <v>0.55128205128205132</v>
      </c>
      <c r="Q26" s="687">
        <f t="shared" si="3"/>
        <v>0.5641025641025641</v>
      </c>
      <c r="R26" s="687">
        <f t="shared" si="3"/>
        <v>0.57692307692307687</v>
      </c>
      <c r="S26" s="687">
        <f t="shared" si="3"/>
        <v>0.58974358974358976</v>
      </c>
      <c r="T26" s="687">
        <f t="shared" si="3"/>
        <v>0.61538461538461542</v>
      </c>
      <c r="U26" s="687">
        <f t="shared" si="3"/>
        <v>0.64102564102564108</v>
      </c>
      <c r="V26" s="687">
        <f t="shared" si="3"/>
        <v>0.66666666666666663</v>
      </c>
      <c r="W26" s="687">
        <f t="shared" si="3"/>
        <v>0.69230769230769229</v>
      </c>
      <c r="X26" s="687">
        <f t="shared" si="3"/>
        <v>0.69230769230769229</v>
      </c>
      <c r="Y26" s="687">
        <f t="shared" si="3"/>
        <v>0.71794871794871795</v>
      </c>
      <c r="Z26" s="687">
        <f t="shared" si="3"/>
        <v>0.74358974358974361</v>
      </c>
      <c r="AA26" s="687">
        <f t="shared" si="3"/>
        <v>0.76923076923076927</v>
      </c>
      <c r="AB26" s="687">
        <f t="shared" si="3"/>
        <v>0.79487179487179482</v>
      </c>
      <c r="AC26" s="687">
        <f t="shared" si="3"/>
        <v>0.82051282051282048</v>
      </c>
      <c r="AD26" s="687">
        <f t="shared" si="3"/>
        <v>0.84615384615384615</v>
      </c>
      <c r="AE26" s="687">
        <f t="shared" si="3"/>
        <v>0.87179487179487181</v>
      </c>
      <c r="AF26" s="687">
        <f t="shared" si="3"/>
        <v>0.89743589743589747</v>
      </c>
      <c r="AG26" s="687">
        <f t="shared" si="3"/>
        <v>0.92307692307692313</v>
      </c>
      <c r="AH26" s="687">
        <f t="shared" si="3"/>
        <v>0.94871794871794868</v>
      </c>
      <c r="AI26" s="687">
        <f t="shared" si="3"/>
        <v>0.97435897435897434</v>
      </c>
      <c r="AJ26" s="687">
        <f t="shared" si="3"/>
        <v>1</v>
      </c>
      <c r="AK26" s="687">
        <f t="shared" si="3"/>
        <v>1</v>
      </c>
      <c r="AL26" s="687">
        <f t="shared" si="3"/>
        <v>1</v>
      </c>
      <c r="AM26" s="687">
        <f t="shared" si="3"/>
        <v>1</v>
      </c>
      <c r="AN26" s="679">
        <f>IF((AN7+AN15)=0,0,(AN10+AN18)/(AN7+AN15))</f>
        <v>1</v>
      </c>
    </row>
    <row r="27" spans="1:40" ht="18" customHeight="1">
      <c r="A27" s="688" t="s">
        <v>1366</v>
      </c>
      <c r="B27" s="683">
        <f>IF(($AN$7+$AN$15)=0,0,(B11+B19)/($AN$7+$AN$15))</f>
        <v>2.564102564102564E-2</v>
      </c>
      <c r="C27" s="683">
        <f t="shared" ref="C27:AM27" si="4">IF(($AN$7+$AN$15)=0,0,(C11+C19)/($AN$7+$AN$15))</f>
        <v>5.128205128205128E-2</v>
      </c>
      <c r="D27" s="683">
        <f t="shared" si="4"/>
        <v>0.14102564102564102</v>
      </c>
      <c r="E27" s="683">
        <f t="shared" si="4"/>
        <v>0.17948717948717949</v>
      </c>
      <c r="F27" s="683">
        <f t="shared" si="4"/>
        <v>0.23076923076923078</v>
      </c>
      <c r="G27" s="683">
        <f t="shared" si="4"/>
        <v>0.30769230769230771</v>
      </c>
      <c r="H27" s="683">
        <f t="shared" si="4"/>
        <v>0.33333333333333331</v>
      </c>
      <c r="I27" s="683">
        <f t="shared" si="4"/>
        <v>0.33333333333333331</v>
      </c>
      <c r="J27" s="683">
        <f t="shared" si="4"/>
        <v>0.35897435897435898</v>
      </c>
      <c r="K27" s="683">
        <f t="shared" si="4"/>
        <v>0.4358974358974359</v>
      </c>
      <c r="L27" s="683">
        <f t="shared" si="4"/>
        <v>0.51282051282051277</v>
      </c>
      <c r="M27" s="683">
        <f t="shared" si="4"/>
        <v>0.51282051282051277</v>
      </c>
      <c r="N27" s="683">
        <f t="shared" si="4"/>
        <v>0.51282051282051277</v>
      </c>
      <c r="O27" s="683">
        <f t="shared" si="4"/>
        <v>0.52564102564102566</v>
      </c>
      <c r="P27" s="683">
        <f t="shared" si="4"/>
        <v>0.55128205128205132</v>
      </c>
      <c r="Q27" s="683">
        <f t="shared" si="4"/>
        <v>0.5641025641025641</v>
      </c>
      <c r="R27" s="683">
        <f t="shared" si="4"/>
        <v>0.57692307692307687</v>
      </c>
      <c r="S27" s="683">
        <f t="shared" si="4"/>
        <v>0.58974358974358976</v>
      </c>
      <c r="T27" s="683">
        <f t="shared" si="4"/>
        <v>0.58974358974358976</v>
      </c>
      <c r="U27" s="683">
        <f t="shared" si="4"/>
        <v>0.60256410256410253</v>
      </c>
      <c r="V27" s="683">
        <f t="shared" si="4"/>
        <v>0.60256410256410253</v>
      </c>
      <c r="W27" s="683">
        <f t="shared" si="4"/>
        <v>0.60256410256410253</v>
      </c>
      <c r="X27" s="683">
        <f t="shared" si="4"/>
        <v>0.60256410256410253</v>
      </c>
      <c r="Y27" s="683">
        <f t="shared" si="4"/>
        <v>0.60256410256410253</v>
      </c>
      <c r="Z27" s="683">
        <f t="shared" si="4"/>
        <v>0.60256410256410253</v>
      </c>
      <c r="AA27" s="683">
        <f t="shared" si="4"/>
        <v>0.60256410256410253</v>
      </c>
      <c r="AB27" s="683">
        <f t="shared" si="4"/>
        <v>0.60256410256410253</v>
      </c>
      <c r="AC27" s="683">
        <f t="shared" si="4"/>
        <v>0.60256410256410253</v>
      </c>
      <c r="AD27" s="683">
        <f t="shared" si="4"/>
        <v>0.60256410256410253</v>
      </c>
      <c r="AE27" s="683">
        <f t="shared" si="4"/>
        <v>0.60256410256410253</v>
      </c>
      <c r="AF27" s="683">
        <f t="shared" si="4"/>
        <v>0.60256410256410253</v>
      </c>
      <c r="AG27" s="683">
        <f t="shared" si="4"/>
        <v>0.60256410256410253</v>
      </c>
      <c r="AH27" s="683">
        <f t="shared" si="4"/>
        <v>0.60256410256410253</v>
      </c>
      <c r="AI27" s="683">
        <f t="shared" si="4"/>
        <v>0.60256410256410253</v>
      </c>
      <c r="AJ27" s="683">
        <f t="shared" si="4"/>
        <v>0.60256410256410253</v>
      </c>
      <c r="AK27" s="683">
        <f t="shared" si="4"/>
        <v>0.60256410256410253</v>
      </c>
      <c r="AL27" s="683">
        <f t="shared" si="4"/>
        <v>0.60256410256410253</v>
      </c>
      <c r="AM27" s="683">
        <f t="shared" si="4"/>
        <v>0.60256410256410253</v>
      </c>
      <c r="AN27" s="679">
        <f>IF((AN7+AN15)=0,0,(AN11+AN19)/(AN7+AN15))</f>
        <v>0.60256410256410253</v>
      </c>
    </row>
    <row r="28" spans="1:40" ht="18" customHeight="1">
      <c r="A28" s="689" t="s">
        <v>1367</v>
      </c>
      <c r="B28" s="690">
        <f t="shared" ref="B28:AN28" si="5">B26-B27</f>
        <v>0</v>
      </c>
      <c r="C28" s="690">
        <f t="shared" si="5"/>
        <v>0</v>
      </c>
      <c r="D28" s="690">
        <f t="shared" si="5"/>
        <v>0</v>
      </c>
      <c r="E28" s="690">
        <f t="shared" si="5"/>
        <v>0</v>
      </c>
      <c r="F28" s="690">
        <f t="shared" si="5"/>
        <v>0</v>
      </c>
      <c r="G28" s="690">
        <f t="shared" si="5"/>
        <v>0</v>
      </c>
      <c r="H28" s="690">
        <f t="shared" si="5"/>
        <v>0</v>
      </c>
      <c r="I28" s="690">
        <f t="shared" si="5"/>
        <v>0</v>
      </c>
      <c r="J28" s="690">
        <f t="shared" si="5"/>
        <v>0</v>
      </c>
      <c r="K28" s="690">
        <f t="shared" si="5"/>
        <v>0</v>
      </c>
      <c r="L28" s="690">
        <f t="shared" si="5"/>
        <v>0</v>
      </c>
      <c r="M28" s="690">
        <f t="shared" si="5"/>
        <v>0</v>
      </c>
      <c r="N28" s="690">
        <f t="shared" si="5"/>
        <v>0</v>
      </c>
      <c r="O28" s="690">
        <f t="shared" si="5"/>
        <v>0</v>
      </c>
      <c r="P28" s="690">
        <f t="shared" si="5"/>
        <v>0</v>
      </c>
      <c r="Q28" s="690">
        <f t="shared" si="5"/>
        <v>0</v>
      </c>
      <c r="R28" s="690">
        <f t="shared" si="5"/>
        <v>0</v>
      </c>
      <c r="S28" s="690">
        <f t="shared" si="5"/>
        <v>0</v>
      </c>
      <c r="T28" s="690">
        <f t="shared" si="5"/>
        <v>2.5641025641025661E-2</v>
      </c>
      <c r="U28" s="690">
        <f t="shared" si="5"/>
        <v>3.8461538461538547E-2</v>
      </c>
      <c r="V28" s="690">
        <f t="shared" si="5"/>
        <v>6.4102564102564097E-2</v>
      </c>
      <c r="W28" s="690">
        <f t="shared" si="5"/>
        <v>8.9743589743589758E-2</v>
      </c>
      <c r="X28" s="690">
        <f t="shared" si="5"/>
        <v>8.9743589743589758E-2</v>
      </c>
      <c r="Y28" s="690">
        <f t="shared" si="5"/>
        <v>0.11538461538461542</v>
      </c>
      <c r="Z28" s="690">
        <f t="shared" si="5"/>
        <v>0.14102564102564108</v>
      </c>
      <c r="AA28" s="690">
        <f t="shared" si="5"/>
        <v>0.16666666666666674</v>
      </c>
      <c r="AB28" s="690">
        <f t="shared" si="5"/>
        <v>0.19230769230769229</v>
      </c>
      <c r="AC28" s="690">
        <f t="shared" si="5"/>
        <v>0.21794871794871795</v>
      </c>
      <c r="AD28" s="690">
        <f t="shared" si="5"/>
        <v>0.24358974358974361</v>
      </c>
      <c r="AE28" s="690">
        <f t="shared" si="5"/>
        <v>0.26923076923076927</v>
      </c>
      <c r="AF28" s="690">
        <f t="shared" si="5"/>
        <v>0.29487179487179493</v>
      </c>
      <c r="AG28" s="690">
        <f t="shared" si="5"/>
        <v>0.3205128205128206</v>
      </c>
      <c r="AH28" s="690">
        <f t="shared" si="5"/>
        <v>0.34615384615384615</v>
      </c>
      <c r="AI28" s="690">
        <f t="shared" si="5"/>
        <v>0.37179487179487181</v>
      </c>
      <c r="AJ28" s="690">
        <f t="shared" si="5"/>
        <v>0.39743589743589747</v>
      </c>
      <c r="AK28" s="690">
        <f t="shared" si="5"/>
        <v>0.39743589743589747</v>
      </c>
      <c r="AL28" s="690">
        <f t="shared" si="5"/>
        <v>0.39743589743589747</v>
      </c>
      <c r="AM28" s="690">
        <f t="shared" si="5"/>
        <v>0.39743589743589747</v>
      </c>
      <c r="AN28" s="691">
        <f t="shared" si="5"/>
        <v>0.39743589743589747</v>
      </c>
    </row>
    <row r="29" spans="1:40" ht="27.6">
      <c r="A29" s="692" t="s">
        <v>1368</v>
      </c>
      <c r="B29" s="800"/>
      <c r="C29" s="800"/>
      <c r="D29" s="800"/>
      <c r="E29" s="800"/>
      <c r="F29" s="800"/>
      <c r="G29" s="800"/>
      <c r="H29" s="800"/>
      <c r="I29" s="800"/>
      <c r="J29" s="800"/>
      <c r="K29" s="800"/>
      <c r="L29" s="800"/>
      <c r="M29" s="800"/>
      <c r="N29" s="800"/>
      <c r="O29" s="800"/>
      <c r="P29" s="800"/>
      <c r="Q29" s="800"/>
      <c r="R29" s="800"/>
      <c r="S29" s="800"/>
      <c r="T29" s="800"/>
      <c r="U29" s="800"/>
      <c r="V29" s="800"/>
      <c r="W29" s="800"/>
      <c r="X29" s="800"/>
      <c r="Y29" s="800"/>
      <c r="Z29" s="800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1"/>
    </row>
    <row r="86" spans="2:39" hidden="1">
      <c r="B86" s="693">
        <f>DATE(2025,11,8)</f>
        <v>45969</v>
      </c>
      <c r="C86" s="693">
        <f>DATE(2025,11,15)</f>
        <v>45976</v>
      </c>
      <c r="D86" s="693">
        <f>DATE(2025,11,22)</f>
        <v>45983</v>
      </c>
      <c r="E86" s="693">
        <f>DATE(2025,11,29)</f>
        <v>45990</v>
      </c>
      <c r="F86" s="693">
        <f>DATE(2025,12,6)</f>
        <v>45997</v>
      </c>
      <c r="G86" s="693">
        <f>DATE(2025,12,13)</f>
        <v>46004</v>
      </c>
      <c r="H86" s="693">
        <f>DATE(2025,12,20)</f>
        <v>46011</v>
      </c>
      <c r="I86" s="693">
        <f>DATE(2025,12,27)</f>
        <v>46018</v>
      </c>
      <c r="J86" s="693">
        <f>DATE(2026,1,3)</f>
        <v>46025</v>
      </c>
      <c r="K86" s="693">
        <f>DATE(2026,1,10)</f>
        <v>46032</v>
      </c>
      <c r="L86" s="693">
        <f>DATE(2026,1,17)</f>
        <v>46039</v>
      </c>
      <c r="M86" s="693">
        <f>DATE(2026,1,24)</f>
        <v>46046</v>
      </c>
      <c r="N86" s="693">
        <f>DATE(2026,1,31)</f>
        <v>46053</v>
      </c>
      <c r="O86" s="693">
        <f>DATE(2026,2,7)</f>
        <v>46060</v>
      </c>
      <c r="P86" s="693">
        <f>DATE(2026,2,14)</f>
        <v>46067</v>
      </c>
      <c r="Q86" s="693">
        <f>DATE(2026,2,21)</f>
        <v>46074</v>
      </c>
      <c r="R86" s="693">
        <f>DATE(2026,2,28)</f>
        <v>46081</v>
      </c>
      <c r="S86" s="693">
        <f>DATE(2026,3,7)</f>
        <v>46088</v>
      </c>
      <c r="T86" s="693">
        <f>DATE(2026,3,14)</f>
        <v>46095</v>
      </c>
      <c r="U86" s="693">
        <f>DATE(2026,3,21)</f>
        <v>46102</v>
      </c>
      <c r="V86" s="693">
        <f>DATE(2026,3,28)</f>
        <v>46109</v>
      </c>
      <c r="W86" s="693">
        <f>DATE(2026,4,4)</f>
        <v>46116</v>
      </c>
      <c r="X86" s="693">
        <f>DATE(2026,4,11)</f>
        <v>46123</v>
      </c>
      <c r="Y86" s="693">
        <f>DATE(2026,4,18)</f>
        <v>46130</v>
      </c>
      <c r="Z86" s="693">
        <f>DATE(2026,4,25)</f>
        <v>46137</v>
      </c>
      <c r="AA86" s="693">
        <f>DATE(2026,5,2)</f>
        <v>46144</v>
      </c>
      <c r="AB86" s="693">
        <f>DATE(2026,5,9)</f>
        <v>46151</v>
      </c>
      <c r="AC86" s="693">
        <f>DATE(2026,5,16)</f>
        <v>46158</v>
      </c>
      <c r="AD86" s="693">
        <f>DATE(2026,5,23)</f>
        <v>46165</v>
      </c>
      <c r="AE86" s="693">
        <f>DATE(2026,5,30)</f>
        <v>46172</v>
      </c>
      <c r="AF86" s="693">
        <f>DATE(2026,6,6)</f>
        <v>46179</v>
      </c>
      <c r="AG86" s="693">
        <f>DATE(2026,6,13)</f>
        <v>46186</v>
      </c>
      <c r="AH86" s="693">
        <f>DATE(2026,6,20)</f>
        <v>46193</v>
      </c>
      <c r="AI86" s="693">
        <f>DATE(2026,6,27)</f>
        <v>46200</v>
      </c>
      <c r="AJ86" s="693">
        <f>DATE(2026,7,4)</f>
        <v>46207</v>
      </c>
      <c r="AK86" s="693">
        <f>DATE(2026,7,11)</f>
        <v>46214</v>
      </c>
      <c r="AL86" s="693">
        <f>DATE(2026,7,18)</f>
        <v>46221</v>
      </c>
      <c r="AM86" s="693">
        <f>DATE(2026,7,25)</f>
        <v>46228</v>
      </c>
    </row>
    <row r="87" spans="2:39" hidden="1">
      <c r="B87" s="693">
        <f>DATE(2025,11,14)</f>
        <v>45975</v>
      </c>
      <c r="C87" s="693">
        <f>DATE(2025,11,21)</f>
        <v>45982</v>
      </c>
      <c r="D87" s="693">
        <f>DATE(2025,11,28)</f>
        <v>45989</v>
      </c>
      <c r="E87" s="693">
        <f>DATE(2025,12,5)</f>
        <v>45996</v>
      </c>
      <c r="F87" s="693">
        <f>DATE(2025,12,12)</f>
        <v>46003</v>
      </c>
      <c r="G87" s="693">
        <f>DATE(2025,12,19)</f>
        <v>46010</v>
      </c>
      <c r="H87" s="693">
        <f>DATE(2025,12,26)</f>
        <v>46017</v>
      </c>
      <c r="I87" s="693">
        <f>DATE(2026,1,2)</f>
        <v>46024</v>
      </c>
      <c r="J87" s="693">
        <f>DATE(2026,1,9)</f>
        <v>46031</v>
      </c>
      <c r="K87" s="693">
        <f>DATE(2026,1,16)</f>
        <v>46038</v>
      </c>
      <c r="L87" s="693">
        <f>DATE(2026,1,23)</f>
        <v>46045</v>
      </c>
      <c r="M87" s="693">
        <f>DATE(2026,1,30)</f>
        <v>46052</v>
      </c>
      <c r="N87" s="693">
        <f>DATE(2026,2,6)</f>
        <v>46059</v>
      </c>
      <c r="O87" s="693">
        <f>DATE(2026,2,13)</f>
        <v>46066</v>
      </c>
      <c r="P87" s="693">
        <f>DATE(2026,2,20)</f>
        <v>46073</v>
      </c>
      <c r="Q87" s="693">
        <f>DATE(2026,2,27)</f>
        <v>46080</v>
      </c>
      <c r="R87" s="693">
        <f>DATE(2026,3,6)</f>
        <v>46087</v>
      </c>
      <c r="S87" s="693">
        <f>DATE(2026,3,13)</f>
        <v>46094</v>
      </c>
      <c r="T87" s="693">
        <f>DATE(2026,3,20)</f>
        <v>46101</v>
      </c>
      <c r="U87" s="693">
        <f>DATE(2026,3,27)</f>
        <v>46108</v>
      </c>
      <c r="V87" s="693">
        <f>DATE(2026,4,3)</f>
        <v>46115</v>
      </c>
      <c r="W87" s="693">
        <f>DATE(2026,4,10)</f>
        <v>46122</v>
      </c>
      <c r="X87" s="693">
        <f>DATE(2026,4,17)</f>
        <v>46129</v>
      </c>
      <c r="Y87" s="693">
        <f>DATE(2026,4,24)</f>
        <v>46136</v>
      </c>
      <c r="Z87" s="693">
        <f>DATE(2026,5,1)</f>
        <v>46143</v>
      </c>
      <c r="AA87" s="693">
        <f>DATE(2026,5,8)</f>
        <v>46150</v>
      </c>
      <c r="AB87" s="693">
        <f>DATE(2026,5,15)</f>
        <v>46157</v>
      </c>
      <c r="AC87" s="693">
        <f>DATE(2026,5,22)</f>
        <v>46164</v>
      </c>
      <c r="AD87" s="693">
        <f>DATE(2026,5,29)</f>
        <v>46171</v>
      </c>
      <c r="AE87" s="693">
        <f>DATE(2026,6,5)</f>
        <v>46178</v>
      </c>
      <c r="AF87" s="693">
        <f>DATE(2026,6,12)</f>
        <v>46185</v>
      </c>
      <c r="AG87" s="693">
        <f>DATE(2026,6,19)</f>
        <v>46192</v>
      </c>
      <c r="AH87" s="693">
        <f>DATE(2026,6,26)</f>
        <v>46199</v>
      </c>
      <c r="AI87" s="693">
        <f>DATE(2026,7,3)</f>
        <v>46206</v>
      </c>
      <c r="AJ87" s="693">
        <f>DATE(2026,7,10)</f>
        <v>46213</v>
      </c>
      <c r="AK87" s="693">
        <f>DATE(2026,7,17)</f>
        <v>46220</v>
      </c>
      <c r="AL87" s="693">
        <f>DATE(2026,7,24)</f>
        <v>46227</v>
      </c>
      <c r="AM87" s="693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70" customWidth="1"/>
    <col min="2" max="39" width="9.33203125" style="670" customWidth="1"/>
    <col min="40" max="16384" width="8.88671875" style="670"/>
  </cols>
  <sheetData>
    <row r="1" spans="1:41" ht="30" customHeight="1">
      <c r="A1" s="1069" t="s">
        <v>1369</v>
      </c>
      <c r="B1" s="1067"/>
      <c r="C1" s="1067"/>
      <c r="D1" s="1067"/>
      <c r="E1" s="1067"/>
      <c r="F1" s="1067"/>
      <c r="G1" s="1067"/>
      <c r="H1" s="1067"/>
      <c r="I1" s="1067"/>
      <c r="J1" s="1067"/>
      <c r="K1" s="1067"/>
      <c r="L1" s="1067"/>
      <c r="M1" s="1067"/>
      <c r="N1" s="1067"/>
      <c r="O1" s="1067"/>
      <c r="P1" s="1067"/>
      <c r="Q1" s="1067"/>
      <c r="R1" s="1067"/>
      <c r="S1" s="1067"/>
      <c r="T1" s="1067"/>
      <c r="U1" s="1067"/>
      <c r="V1" s="1067"/>
      <c r="W1" s="1067"/>
      <c r="X1" s="1067"/>
      <c r="Y1" s="1067"/>
      <c r="Z1" s="1067"/>
      <c r="AA1" s="1067"/>
      <c r="AB1" s="1067"/>
      <c r="AC1" s="1067"/>
      <c r="AD1" s="1067"/>
      <c r="AE1" s="1067"/>
      <c r="AF1" s="1067"/>
      <c r="AG1" s="1067"/>
      <c r="AH1" s="1067"/>
      <c r="AI1" s="1067"/>
      <c r="AJ1" s="1067"/>
      <c r="AK1" s="1067"/>
      <c r="AL1" s="1067"/>
      <c r="AM1" s="1067"/>
      <c r="AN1" s="1067"/>
      <c r="AO1" s="1068"/>
    </row>
    <row r="2" spans="1:41" ht="18" customHeight="1">
      <c r="A2" s="1070" t="s">
        <v>1370</v>
      </c>
      <c r="B2" s="1067"/>
      <c r="C2" s="1067"/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1067"/>
      <c r="V2" s="1067"/>
      <c r="W2" s="1067"/>
      <c r="X2" s="1067"/>
      <c r="Y2" s="1067"/>
      <c r="Z2" s="1067"/>
      <c r="AA2" s="1067"/>
      <c r="AB2" s="1067"/>
      <c r="AC2" s="1067"/>
      <c r="AD2" s="1067"/>
      <c r="AE2" s="1067"/>
      <c r="AF2" s="1067"/>
      <c r="AG2" s="1067"/>
      <c r="AH2" s="1067"/>
      <c r="AI2" s="1067"/>
      <c r="AJ2" s="1067"/>
      <c r="AK2" s="1067"/>
      <c r="AL2" s="1067"/>
      <c r="AM2" s="1067"/>
      <c r="AN2" s="1067"/>
      <c r="AO2" s="1068"/>
    </row>
    <row r="4" spans="1:41" ht="22.2" customHeight="1">
      <c r="A4" s="1075" t="s">
        <v>1354</v>
      </c>
      <c r="B4" s="1067"/>
      <c r="C4" s="1067"/>
      <c r="D4" s="1067"/>
      <c r="E4" s="1067"/>
      <c r="F4" s="1067"/>
      <c r="G4" s="1067"/>
      <c r="H4" s="1067"/>
      <c r="I4" s="1067"/>
      <c r="J4" s="1067"/>
      <c r="K4" s="1067"/>
      <c r="L4" s="1067"/>
      <c r="M4" s="1067"/>
      <c r="N4" s="1067"/>
      <c r="O4" s="1067"/>
      <c r="P4" s="1067"/>
      <c r="Q4" s="1067"/>
      <c r="R4" s="1067"/>
      <c r="S4" s="1067"/>
      <c r="T4" s="1067"/>
      <c r="U4" s="1067"/>
      <c r="V4" s="1067"/>
      <c r="W4" s="1067"/>
      <c r="X4" s="1067"/>
      <c r="Y4" s="1067"/>
      <c r="Z4" s="1067"/>
      <c r="AA4" s="1067"/>
      <c r="AB4" s="1067"/>
      <c r="AC4" s="1067"/>
      <c r="AD4" s="1067"/>
      <c r="AE4" s="1067"/>
      <c r="AF4" s="1067"/>
      <c r="AG4" s="1067"/>
      <c r="AH4" s="1067"/>
      <c r="AI4" s="1067"/>
      <c r="AJ4" s="1067"/>
      <c r="AK4" s="1067"/>
      <c r="AL4" s="1067"/>
      <c r="AM4" s="1067"/>
      <c r="AN4" s="1067"/>
      <c r="AO4" s="1068"/>
    </row>
    <row r="5" spans="1:41" ht="24">
      <c r="A5" s="694"/>
      <c r="B5" s="671" t="str">
        <f>'SVB-Coring-รายสัปดาห์'!B4</f>
        <v>W.1
(8/11-14/11)</v>
      </c>
      <c r="C5" s="671" t="str">
        <f>'SVB-Coring-รายสัปดาห์'!C4</f>
        <v>W.2
(15/11-21/11)</v>
      </c>
      <c r="D5" s="671" t="str">
        <f>'SVB-Coring-รายสัปดาห์'!D4</f>
        <v>W.3
(22/11-28/11)</v>
      </c>
      <c r="E5" s="671" t="str">
        <f>'SVB-Coring-รายสัปดาห์'!E4</f>
        <v>W.4
(29/11-5/12)</v>
      </c>
      <c r="F5" s="671" t="str">
        <f>'SVB-Coring-รายสัปดาห์'!F4</f>
        <v>W.5
(6/12-12/12)</v>
      </c>
      <c r="G5" s="671" t="str">
        <f>'SVB-Coring-รายสัปดาห์'!G4</f>
        <v>W.6
(13/12-19/12)</v>
      </c>
      <c r="H5" s="671" t="str">
        <f>'SVB-Coring-รายสัปดาห์'!H4</f>
        <v>W.7
(20/12-26/12)</v>
      </c>
      <c r="I5" s="671" t="str">
        <f>'SVB-Coring-รายสัปดาห์'!I4</f>
        <v>W.8
(27/12-2/1)</v>
      </c>
      <c r="J5" s="671" t="str">
        <f>'SVB-Coring-รายสัปดาห์'!J4</f>
        <v>W.9
(3/1-9/1)</v>
      </c>
      <c r="K5" s="671" t="str">
        <f>'SVB-Coring-รายสัปดาห์'!K4</f>
        <v>W.10
(10/1-16/1)</v>
      </c>
      <c r="L5" s="671" t="str">
        <f>'SVB-Coring-รายสัปดาห์'!L4</f>
        <v>W.11
(17/1-23/1)</v>
      </c>
      <c r="M5" s="671" t="str">
        <f>'SVB-Coring-รายสัปดาห์'!M4</f>
        <v>W.12
(24/1-30/1)</v>
      </c>
      <c r="N5" s="671" t="str">
        <f>'SVB-Coring-รายสัปดาห์'!N4</f>
        <v>W.13
(31/1-6/2)</v>
      </c>
      <c r="O5" s="671" t="str">
        <f>'SVB-Coring-รายสัปดาห์'!O4</f>
        <v>W.14
(7/2-13/2)</v>
      </c>
      <c r="P5" s="671" t="str">
        <f>'SVB-Coring-รายสัปดาห์'!P4</f>
        <v>W.15
(14/2-20/2)</v>
      </c>
      <c r="Q5" s="671" t="str">
        <f>'SVB-Coring-รายสัปดาห์'!Q4</f>
        <v>W.16
(21/2-27/2)</v>
      </c>
      <c r="R5" s="671" t="str">
        <f>'SVB-Coring-รายสัปดาห์'!R4</f>
        <v>W.17
(28/2-6/3)</v>
      </c>
      <c r="S5" s="671" t="str">
        <f>'SVB-Coring-รายสัปดาห์'!S4</f>
        <v>W.18
(7/3-13/3)</v>
      </c>
      <c r="T5" s="671" t="str">
        <f>'SVB-Coring-รายสัปดาห์'!T4</f>
        <v>W.19
(14/3-20/3)</v>
      </c>
      <c r="U5" s="671" t="str">
        <f>'SVB-Coring-รายสัปดาห์'!U4</f>
        <v>W.20
(21/3-27/3)</v>
      </c>
      <c r="V5" s="671" t="str">
        <f>'SVB-Coring-รายสัปดาห์'!V4</f>
        <v>W.21
(28/3-3/4)</v>
      </c>
      <c r="W5" s="671" t="str">
        <f>'SVB-Coring-รายสัปดาห์'!W4</f>
        <v>W.22
(4/4-10/4)</v>
      </c>
      <c r="X5" s="671" t="str">
        <f>'SVB-Coring-รายสัปดาห์'!X4</f>
        <v>W.23
(11/4-17/4)</v>
      </c>
      <c r="Y5" s="671" t="str">
        <f>'SVB-Coring-รายสัปดาห์'!Y4</f>
        <v>W.24
(18/4-24/4)</v>
      </c>
      <c r="Z5" s="671" t="str">
        <f>'SVB-Coring-รายสัปดาห์'!Z4</f>
        <v>W.25
(25/4-1/5)</v>
      </c>
      <c r="AA5" s="671" t="str">
        <f>'SVB-Coring-รายสัปดาห์'!AA4</f>
        <v>W.26
(2/5-8/5)</v>
      </c>
      <c r="AB5" s="671" t="str">
        <f>'SVB-Coring-รายสัปดาห์'!AB4</f>
        <v>W.27
(9/5-15/5)</v>
      </c>
      <c r="AC5" s="671" t="str">
        <f>'SVB-Coring-รายสัปดาห์'!AC4</f>
        <v>W.28
(16/5-22/5)</v>
      </c>
      <c r="AD5" s="671" t="str">
        <f>'SVB-Coring-รายสัปดาห์'!AD4</f>
        <v>W.29
(23/5-29/5)</v>
      </c>
      <c r="AE5" s="671" t="str">
        <f>'SVB-Coring-รายสัปดาห์'!AE4</f>
        <v>W.30
(30/5-5/6)</v>
      </c>
      <c r="AF5" s="671" t="str">
        <f>'SVB-Coring-รายสัปดาห์'!AF4</f>
        <v>W.31
(6/6-12/6)</v>
      </c>
      <c r="AG5" s="671" t="str">
        <f>'SVB-Coring-รายสัปดาห์'!AG4</f>
        <v>W.32
(13/6-19/6)</v>
      </c>
      <c r="AH5" s="671" t="str">
        <f>'SVB-Coring-รายสัปดาห์'!AH4</f>
        <v>W.33
(20/6-26/6)</v>
      </c>
      <c r="AI5" s="671" t="str">
        <f>'SVB-Coring-รายสัปดาห์'!AI4</f>
        <v>W.34
(27/6-3/7)</v>
      </c>
      <c r="AJ5" s="671" t="str">
        <f>'SVB-Coring-รายสัปดาห์'!AJ4</f>
        <v>W.35
(4/7-10/7)</v>
      </c>
      <c r="AK5" s="671" t="str">
        <f>'SVB-Coring-รายสัปดาห์'!AK4</f>
        <v>W.36
(11/7-17/7)</v>
      </c>
      <c r="AL5" s="671" t="str">
        <f>'SVB-Coring-รายสัปดาห์'!AL4</f>
        <v>W.37
(18/7-24/7)</v>
      </c>
      <c r="AM5" s="671" t="str">
        <f>'SVB-Coring-รายสัปดาห์'!AM4</f>
        <v>W.38
(25/7-31/7)</v>
      </c>
    </row>
    <row r="6" spans="1:41" ht="16.2" customHeight="1">
      <c r="A6" s="695" t="s">
        <v>1371</v>
      </c>
      <c r="B6" s="696">
        <f>'SVB-Coring-รายสัปดาห์'!B7</f>
        <v>2</v>
      </c>
      <c r="C6" s="696">
        <f>'SVB-Coring-รายสัปดาห์'!C7</f>
        <v>2</v>
      </c>
      <c r="D6" s="696">
        <f>'SVB-Coring-รายสัปดาห์'!D7</f>
        <v>7</v>
      </c>
      <c r="E6" s="696">
        <f>'SVB-Coring-รายสัปดาห์'!E7</f>
        <v>3</v>
      </c>
      <c r="F6" s="696">
        <f>'SVB-Coring-รายสัปดาห์'!F7</f>
        <v>4</v>
      </c>
      <c r="G6" s="696">
        <f>'SVB-Coring-รายสัปดาห์'!G7</f>
        <v>6</v>
      </c>
      <c r="H6" s="696">
        <f>'SVB-Coring-รายสัปดาห์'!H7</f>
        <v>2</v>
      </c>
      <c r="I6" s="696">
        <f>'SVB-Coring-รายสัปดาห์'!I7</f>
        <v>0</v>
      </c>
      <c r="J6" s="696">
        <f>'SVB-Coring-รายสัปดาห์'!J7</f>
        <v>2</v>
      </c>
      <c r="K6" s="696">
        <f>'SVB-Coring-รายสัปดาห์'!K7</f>
        <v>6</v>
      </c>
      <c r="L6" s="696">
        <f>'SVB-Coring-รายสัปดาห์'!L7</f>
        <v>5</v>
      </c>
      <c r="M6" s="696">
        <f>'SVB-Coring-รายสัปดาห์'!M7</f>
        <v>0</v>
      </c>
      <c r="N6" s="696">
        <f>'SVB-Coring-รายสัปดาห์'!N7</f>
        <v>0</v>
      </c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</row>
    <row r="7" spans="1:41" ht="16.2" customHeight="1">
      <c r="A7" s="675" t="s">
        <v>1372</v>
      </c>
      <c r="B7" s="697">
        <f>'SVB-Coring-รายสัปดาห์'!B8</f>
        <v>2</v>
      </c>
      <c r="C7" s="697">
        <f>'SVB-Coring-รายสัปดาห์'!C8</f>
        <v>2</v>
      </c>
      <c r="D7" s="697">
        <f>'SVB-Coring-รายสัปดาห์'!D8</f>
        <v>7</v>
      </c>
      <c r="E7" s="697">
        <f>'SVB-Coring-รายสัปดาห์'!E8</f>
        <v>3</v>
      </c>
      <c r="F7" s="697">
        <f>'SVB-Coring-รายสัปดาห์'!F8</f>
        <v>4</v>
      </c>
      <c r="G7" s="697">
        <f>'SVB-Coring-รายสัปดาห์'!G8</f>
        <v>6</v>
      </c>
      <c r="H7" s="697">
        <f>'SVB-Coring-รายสัปดาห์'!H8</f>
        <v>2</v>
      </c>
      <c r="I7" s="697">
        <f>'SVB-Coring-รายสัปดาห์'!I8</f>
        <v>0</v>
      </c>
      <c r="J7" s="697">
        <f>'SVB-Coring-รายสัปดาห์'!J8</f>
        <v>2</v>
      </c>
      <c r="K7" s="697">
        <f>'SVB-Coring-รายสัปดาห์'!K8</f>
        <v>6</v>
      </c>
      <c r="L7" s="697">
        <f>'SVB-Coring-รายสัปดาห์'!L8</f>
        <v>5</v>
      </c>
      <c r="M7" s="697">
        <f>'SVB-Coring-รายสัปดาห์'!M8</f>
        <v>0</v>
      </c>
      <c r="N7" s="697">
        <f>'SVB-Coring-รายสัปดาห์'!N8</f>
        <v>0</v>
      </c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</row>
    <row r="8" spans="1:41" ht="16.2" customHeight="1">
      <c r="A8" s="675" t="s">
        <v>1359</v>
      </c>
      <c r="B8" s="697">
        <f>'SVB-Coring-รายสัปดาห์'!B11</f>
        <v>2</v>
      </c>
      <c r="C8" s="697">
        <f>'SVB-Coring-รายสัปดาห์'!C11</f>
        <v>4</v>
      </c>
      <c r="D8" s="697">
        <f>'SVB-Coring-รายสัปดาห์'!D11</f>
        <v>11</v>
      </c>
      <c r="E8" s="697">
        <f>'SVB-Coring-รายสัปดาห์'!E11</f>
        <v>14</v>
      </c>
      <c r="F8" s="697">
        <f>'SVB-Coring-รายสัปดาห์'!F11</f>
        <v>18</v>
      </c>
      <c r="G8" s="697">
        <f>'SVB-Coring-รายสัปดาห์'!G11</f>
        <v>24</v>
      </c>
      <c r="H8" s="697">
        <f>'SVB-Coring-รายสัปดาห์'!H11</f>
        <v>26</v>
      </c>
      <c r="I8" s="697">
        <f>'SVB-Coring-รายสัปดาห์'!I11</f>
        <v>26</v>
      </c>
      <c r="J8" s="697">
        <f>'SVB-Coring-รายสัปดาห์'!J11</f>
        <v>28</v>
      </c>
      <c r="K8" s="697">
        <f>'SVB-Coring-รายสัปดาห์'!K11</f>
        <v>34</v>
      </c>
      <c r="L8" s="697">
        <f>'SVB-Coring-รายสัปดาห์'!L11</f>
        <v>39</v>
      </c>
      <c r="M8" s="697">
        <f>'SVB-Coring-รายสัปดาห์'!M11</f>
        <v>39</v>
      </c>
      <c r="N8" s="697">
        <f>'SVB-Coring-รายสัปดาห์'!N11</f>
        <v>39</v>
      </c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  <c r="AA8" s="697"/>
      <c r="AB8" s="697"/>
      <c r="AC8" s="697"/>
      <c r="AD8" s="697"/>
      <c r="AE8" s="697"/>
      <c r="AF8" s="697"/>
      <c r="AG8" s="697"/>
      <c r="AH8" s="697"/>
      <c r="AI8" s="697"/>
      <c r="AJ8" s="697"/>
      <c r="AK8" s="697"/>
      <c r="AL8" s="697"/>
      <c r="AM8" s="697"/>
    </row>
    <row r="9" spans="1:41" ht="16.2" customHeight="1">
      <c r="A9" s="689" t="s">
        <v>1357</v>
      </c>
      <c r="B9" s="698">
        <f>'SVB-Coring-รายสัปดาห์'!B9</f>
        <v>1</v>
      </c>
      <c r="C9" s="698">
        <f>'SVB-Coring-รายสัปดาห์'!C9</f>
        <v>1</v>
      </c>
      <c r="D9" s="698">
        <f>'SVB-Coring-รายสัปดาห์'!D9</f>
        <v>1</v>
      </c>
      <c r="E9" s="698">
        <f>'SVB-Coring-รายสัปดาห์'!E9</f>
        <v>1</v>
      </c>
      <c r="F9" s="698">
        <f>'SVB-Coring-รายสัปดาห์'!F9</f>
        <v>1</v>
      </c>
      <c r="G9" s="698">
        <f>'SVB-Coring-รายสัปดาห์'!G9</f>
        <v>1</v>
      </c>
      <c r="H9" s="698">
        <f>'SVB-Coring-รายสัปดาห์'!H9</f>
        <v>1</v>
      </c>
      <c r="I9" s="698">
        <f>'SVB-Coring-รายสัปดาห์'!I9</f>
        <v>0</v>
      </c>
      <c r="J9" s="698">
        <f>'SVB-Coring-รายสัปดาห์'!J9</f>
        <v>1</v>
      </c>
      <c r="K9" s="698">
        <f>'SVB-Coring-รายสัปดาห์'!K9</f>
        <v>1</v>
      </c>
      <c r="L9" s="698">
        <f>'SVB-Coring-รายสัปดาห์'!L9</f>
        <v>1</v>
      </c>
      <c r="M9" s="698">
        <f>'SVB-Coring-รายสัปดาห์'!M9</f>
        <v>0</v>
      </c>
      <c r="N9" s="698">
        <f>'SVB-Coring-รายสัปดาห์'!N9</f>
        <v>0</v>
      </c>
      <c r="O9" s="698">
        <f>'SVB-Coring-รายสัปดาห์'!O9</f>
        <v>0</v>
      </c>
      <c r="P9" s="698">
        <f>'SVB-Coring-รายสัปดาห์'!P9</f>
        <v>0</v>
      </c>
      <c r="Q9" s="698">
        <f>'SVB-Coring-รายสัปดาห์'!Q9</f>
        <v>0</v>
      </c>
      <c r="R9" s="698">
        <f>'SVB-Coring-รายสัปดาห์'!R9</f>
        <v>0</v>
      </c>
      <c r="S9" s="698">
        <f>'SVB-Coring-รายสัปดาห์'!S9</f>
        <v>0</v>
      </c>
      <c r="T9" s="698">
        <f>'SVB-Coring-รายสัปดาห์'!T9</f>
        <v>0</v>
      </c>
      <c r="U9" s="698">
        <f>'SVB-Coring-รายสัปดาห์'!U9</f>
        <v>0</v>
      </c>
      <c r="V9" s="698">
        <f>'SVB-Coring-รายสัปดาห์'!V9</f>
        <v>0</v>
      </c>
      <c r="W9" s="698">
        <f>'SVB-Coring-รายสัปดาห์'!W9</f>
        <v>0</v>
      </c>
      <c r="X9" s="698">
        <f>'SVB-Coring-รายสัปดาห์'!X9</f>
        <v>0</v>
      </c>
      <c r="Y9" s="698">
        <f>'SVB-Coring-รายสัปดาห์'!Y9</f>
        <v>0</v>
      </c>
      <c r="Z9" s="698">
        <f>'SVB-Coring-รายสัปดาห์'!Z9</f>
        <v>0</v>
      </c>
      <c r="AA9" s="698">
        <f>'SVB-Coring-รายสัปดาห์'!AA9</f>
        <v>0</v>
      </c>
      <c r="AB9" s="698">
        <f>'SVB-Coring-รายสัปดาห์'!AB9</f>
        <v>0</v>
      </c>
      <c r="AC9" s="698">
        <f>'SVB-Coring-รายสัปดาห์'!AC9</f>
        <v>0</v>
      </c>
      <c r="AD9" s="698">
        <f>'SVB-Coring-รายสัปดาห์'!AD9</f>
        <v>0</v>
      </c>
      <c r="AE9" s="698">
        <f>'SVB-Coring-รายสัปดาห์'!AE9</f>
        <v>0</v>
      </c>
      <c r="AF9" s="698">
        <f>'SVB-Coring-รายสัปดาห์'!AF9</f>
        <v>0</v>
      </c>
      <c r="AG9" s="698">
        <f>'SVB-Coring-รายสัปดาห์'!AG9</f>
        <v>0</v>
      </c>
      <c r="AH9" s="698">
        <f>'SVB-Coring-รายสัปดาห์'!AH9</f>
        <v>0</v>
      </c>
      <c r="AI9" s="698">
        <f>'SVB-Coring-รายสัปดาห์'!AI9</f>
        <v>0</v>
      </c>
      <c r="AJ9" s="698">
        <f>'SVB-Coring-รายสัปดาห์'!AJ9</f>
        <v>0</v>
      </c>
      <c r="AK9" s="698">
        <f>'SVB-Coring-รายสัปดาห์'!AK9</f>
        <v>0</v>
      </c>
      <c r="AL9" s="698">
        <f>'SVB-Coring-รายสัปดาห์'!AL9</f>
        <v>0</v>
      </c>
      <c r="AM9" s="698">
        <f>'SVB-Coring-รายสัปดาห์'!AM9</f>
        <v>0</v>
      </c>
    </row>
    <row r="10" spans="1:41" ht="16.2" customHeight="1">
      <c r="A10" s="680" t="s">
        <v>1373</v>
      </c>
      <c r="B10" s="699">
        <f>'SVB-Coring-รายสัปดาห์'!B12</f>
        <v>5.128205128205128E-2</v>
      </c>
      <c r="C10" s="699">
        <f>'SVB-Coring-รายสัปดาห์'!C12</f>
        <v>0.10256410256410256</v>
      </c>
      <c r="D10" s="699">
        <f>'SVB-Coring-รายสัปดาห์'!D12</f>
        <v>0.28205128205128205</v>
      </c>
      <c r="E10" s="699">
        <f>'SVB-Coring-รายสัปดาห์'!E12</f>
        <v>0.35897435897435898</v>
      </c>
      <c r="F10" s="699">
        <f>'SVB-Coring-รายสัปดาห์'!F12</f>
        <v>0.46153846153846156</v>
      </c>
      <c r="G10" s="699">
        <f>'SVB-Coring-รายสัปดาห์'!G12</f>
        <v>0.61538461538461542</v>
      </c>
      <c r="H10" s="699">
        <f>'SVB-Coring-รายสัปดาห์'!H12</f>
        <v>0.66666666666666663</v>
      </c>
      <c r="I10" s="699">
        <f>'SVB-Coring-รายสัปดาห์'!I12</f>
        <v>0.66666666666666663</v>
      </c>
      <c r="J10" s="699">
        <f>'SVB-Coring-รายสัปดาห์'!J12</f>
        <v>0.71794871794871795</v>
      </c>
      <c r="K10" s="699">
        <f>'SVB-Coring-รายสัปดาห์'!K12</f>
        <v>0.87179487179487181</v>
      </c>
      <c r="L10" s="699">
        <f>'SVB-Coring-รายสัปดาห์'!L12</f>
        <v>1</v>
      </c>
      <c r="M10" s="699">
        <f>'SVB-Coring-รายสัปดาห์'!M12</f>
        <v>1</v>
      </c>
      <c r="N10" s="699">
        <f>'SVB-Coring-รายสัปดาห์'!N12</f>
        <v>1</v>
      </c>
      <c r="O10" s="699">
        <f>'SVB-Coring-รายสัปดาห์'!O12</f>
        <v>1</v>
      </c>
      <c r="P10" s="699">
        <f>'SVB-Coring-รายสัปดาห์'!P12</f>
        <v>1</v>
      </c>
      <c r="Q10" s="699">
        <f>'SVB-Coring-รายสัปดาห์'!Q12</f>
        <v>1</v>
      </c>
      <c r="R10" s="699">
        <f>'SVB-Coring-รายสัปดาห์'!R12</f>
        <v>1</v>
      </c>
      <c r="S10" s="699">
        <f>'SVB-Coring-รายสัปดาห์'!S12</f>
        <v>1</v>
      </c>
      <c r="T10" s="699">
        <f>'SVB-Coring-รายสัปดาห์'!T12</f>
        <v>1</v>
      </c>
      <c r="U10" s="699">
        <f>'SVB-Coring-รายสัปดาห์'!U12</f>
        <v>1</v>
      </c>
      <c r="V10" s="699">
        <f>'SVB-Coring-รายสัปดาห์'!V12</f>
        <v>1</v>
      </c>
      <c r="W10" s="699">
        <f>'SVB-Coring-รายสัปดาห์'!W12</f>
        <v>1</v>
      </c>
      <c r="X10" s="699">
        <f>'SVB-Coring-รายสัปดาห์'!X12</f>
        <v>1</v>
      </c>
      <c r="Y10" s="699">
        <f>'SVB-Coring-รายสัปดาห์'!Y12</f>
        <v>1</v>
      </c>
      <c r="Z10" s="699">
        <f>'SVB-Coring-รายสัปดาห์'!Z12</f>
        <v>1</v>
      </c>
      <c r="AA10" s="699">
        <f>'SVB-Coring-รายสัปดาห์'!AA12</f>
        <v>1</v>
      </c>
      <c r="AB10" s="699">
        <f>'SVB-Coring-รายสัปดาห์'!AB12</f>
        <v>1</v>
      </c>
      <c r="AC10" s="699">
        <f>'SVB-Coring-รายสัปดาห์'!AC12</f>
        <v>1</v>
      </c>
      <c r="AD10" s="699">
        <f>'SVB-Coring-รายสัปดาห์'!AD12</f>
        <v>1</v>
      </c>
      <c r="AE10" s="699">
        <f>'SVB-Coring-รายสัปดาห์'!AE12</f>
        <v>1</v>
      </c>
      <c r="AF10" s="699">
        <f>'SVB-Coring-รายสัปดาห์'!AF12</f>
        <v>1</v>
      </c>
      <c r="AG10" s="699">
        <f>'SVB-Coring-รายสัปดาห์'!AG12</f>
        <v>1</v>
      </c>
      <c r="AH10" s="699">
        <f>'SVB-Coring-รายสัปดาห์'!AH12</f>
        <v>1</v>
      </c>
      <c r="AI10" s="699">
        <f>'SVB-Coring-รายสัปดาห์'!AI12</f>
        <v>1</v>
      </c>
      <c r="AJ10" s="699">
        <f>'SVB-Coring-รายสัปดาห์'!AJ12</f>
        <v>1</v>
      </c>
      <c r="AK10" s="699">
        <f>'SVB-Coring-รายสัปดาห์'!AK12</f>
        <v>1</v>
      </c>
      <c r="AL10" s="699">
        <f>'SVB-Coring-รายสัปดาห์'!AL12</f>
        <v>1</v>
      </c>
      <c r="AM10" s="699">
        <f>'SVB-Coring-รายสัปดาห์'!AM12</f>
        <v>1</v>
      </c>
    </row>
    <row r="44" spans="1:41" ht="22.2" customHeight="1">
      <c r="A44" s="1076" t="s">
        <v>1361</v>
      </c>
      <c r="B44" s="1067"/>
      <c r="C44" s="1067"/>
      <c r="D44" s="1067"/>
      <c r="E44" s="1067"/>
      <c r="F44" s="1067"/>
      <c r="G44" s="1067"/>
      <c r="H44" s="1067"/>
      <c r="I44" s="1067"/>
      <c r="J44" s="1067"/>
      <c r="K44" s="1067"/>
      <c r="L44" s="1067"/>
      <c r="M44" s="1067"/>
      <c r="N44" s="1067"/>
      <c r="O44" s="1067"/>
      <c r="P44" s="1067"/>
      <c r="Q44" s="1067"/>
      <c r="R44" s="1067"/>
      <c r="S44" s="1067"/>
      <c r="T44" s="1067"/>
      <c r="U44" s="1067"/>
      <c r="V44" s="1067"/>
      <c r="W44" s="1067"/>
      <c r="X44" s="1067"/>
      <c r="Y44" s="1067"/>
      <c r="Z44" s="1067"/>
      <c r="AA44" s="1067"/>
      <c r="AB44" s="1067"/>
      <c r="AC44" s="1067"/>
      <c r="AD44" s="1067"/>
      <c r="AE44" s="1067"/>
      <c r="AF44" s="1067"/>
      <c r="AG44" s="1067"/>
      <c r="AH44" s="1067"/>
      <c r="AI44" s="1067"/>
      <c r="AJ44" s="1067"/>
      <c r="AK44" s="1067"/>
      <c r="AL44" s="1067"/>
      <c r="AM44" s="1067"/>
      <c r="AN44" s="1067"/>
      <c r="AO44" s="1068"/>
    </row>
    <row r="45" spans="1:41" ht="24">
      <c r="A45" s="694"/>
      <c r="B45" s="671" t="str">
        <f>'SVB-Coring-รายสัปดาห์'!B4</f>
        <v>W.1
(8/11-14/11)</v>
      </c>
      <c r="C45" s="671" t="str">
        <f>'SVB-Coring-รายสัปดาห์'!C4</f>
        <v>W.2
(15/11-21/11)</v>
      </c>
      <c r="D45" s="671" t="str">
        <f>'SVB-Coring-รายสัปดาห์'!D4</f>
        <v>W.3
(22/11-28/11)</v>
      </c>
      <c r="E45" s="671" t="str">
        <f>'SVB-Coring-รายสัปดาห์'!E4</f>
        <v>W.4
(29/11-5/12)</v>
      </c>
      <c r="F45" s="671" t="str">
        <f>'SVB-Coring-รายสัปดาห์'!F4</f>
        <v>W.5
(6/12-12/12)</v>
      </c>
      <c r="G45" s="671" t="str">
        <f>'SVB-Coring-รายสัปดาห์'!G4</f>
        <v>W.6
(13/12-19/12)</v>
      </c>
      <c r="H45" s="671" t="str">
        <f>'SVB-Coring-รายสัปดาห์'!H4</f>
        <v>W.7
(20/12-26/12)</v>
      </c>
      <c r="I45" s="671" t="str">
        <f>'SVB-Coring-รายสัปดาห์'!I4</f>
        <v>W.8
(27/12-2/1)</v>
      </c>
      <c r="J45" s="671" t="str">
        <f>'SVB-Coring-รายสัปดาห์'!J4</f>
        <v>W.9
(3/1-9/1)</v>
      </c>
      <c r="K45" s="671" t="str">
        <f>'SVB-Coring-รายสัปดาห์'!K4</f>
        <v>W.10
(10/1-16/1)</v>
      </c>
      <c r="L45" s="671" t="str">
        <f>'SVB-Coring-รายสัปดาห์'!L4</f>
        <v>W.11
(17/1-23/1)</v>
      </c>
      <c r="M45" s="671" t="str">
        <f>'SVB-Coring-รายสัปดาห์'!M4</f>
        <v>W.12
(24/1-30/1)</v>
      </c>
      <c r="N45" s="671" t="str">
        <f>'SVB-Coring-รายสัปดาห์'!N4</f>
        <v>W.13
(31/1-6/2)</v>
      </c>
      <c r="O45" s="671" t="str">
        <f>'SVB-Coring-รายสัปดาห์'!O4</f>
        <v>W.14
(7/2-13/2)</v>
      </c>
      <c r="P45" s="671" t="str">
        <f>'SVB-Coring-รายสัปดาห์'!P4</f>
        <v>W.15
(14/2-20/2)</v>
      </c>
      <c r="Q45" s="671" t="str">
        <f>'SVB-Coring-รายสัปดาห์'!Q4</f>
        <v>W.16
(21/2-27/2)</v>
      </c>
      <c r="R45" s="671" t="str">
        <f>'SVB-Coring-รายสัปดาห์'!R4</f>
        <v>W.17
(28/2-6/3)</v>
      </c>
      <c r="S45" s="671" t="str">
        <f>'SVB-Coring-รายสัปดาห์'!S4</f>
        <v>W.18
(7/3-13/3)</v>
      </c>
      <c r="T45" s="671" t="str">
        <f>'SVB-Coring-รายสัปดาห์'!T4</f>
        <v>W.19
(14/3-20/3)</v>
      </c>
      <c r="U45" s="671" t="str">
        <f>'SVB-Coring-รายสัปดาห์'!U4</f>
        <v>W.20
(21/3-27/3)</v>
      </c>
      <c r="V45" s="671" t="str">
        <f>'SVB-Coring-รายสัปดาห์'!V4</f>
        <v>W.21
(28/3-3/4)</v>
      </c>
      <c r="W45" s="671" t="str">
        <f>'SVB-Coring-รายสัปดาห์'!W4</f>
        <v>W.22
(4/4-10/4)</v>
      </c>
      <c r="X45" s="671" t="str">
        <f>'SVB-Coring-รายสัปดาห์'!X4</f>
        <v>W.23
(11/4-17/4)</v>
      </c>
      <c r="Y45" s="671" t="str">
        <f>'SVB-Coring-รายสัปดาห์'!Y4</f>
        <v>W.24
(18/4-24/4)</v>
      </c>
      <c r="Z45" s="671" t="str">
        <f>'SVB-Coring-รายสัปดาห์'!Z4</f>
        <v>W.25
(25/4-1/5)</v>
      </c>
      <c r="AA45" s="671" t="str">
        <f>'SVB-Coring-รายสัปดาห์'!AA4</f>
        <v>W.26
(2/5-8/5)</v>
      </c>
      <c r="AB45" s="671" t="str">
        <f>'SVB-Coring-รายสัปดาห์'!AB4</f>
        <v>W.27
(9/5-15/5)</v>
      </c>
      <c r="AC45" s="671" t="str">
        <f>'SVB-Coring-รายสัปดาห์'!AC4</f>
        <v>W.28
(16/5-22/5)</v>
      </c>
      <c r="AD45" s="671" t="str">
        <f>'SVB-Coring-รายสัปดาห์'!AD4</f>
        <v>W.29
(23/5-29/5)</v>
      </c>
      <c r="AE45" s="671" t="str">
        <f>'SVB-Coring-รายสัปดาห์'!AE4</f>
        <v>W.30
(30/5-5/6)</v>
      </c>
      <c r="AF45" s="671" t="str">
        <f>'SVB-Coring-รายสัปดาห์'!AF4</f>
        <v>W.31
(6/6-12/6)</v>
      </c>
      <c r="AG45" s="671" t="str">
        <f>'SVB-Coring-รายสัปดาห์'!AG4</f>
        <v>W.32
(13/6-19/6)</v>
      </c>
      <c r="AH45" s="671" t="str">
        <f>'SVB-Coring-รายสัปดาห์'!AH4</f>
        <v>W.33
(20/6-26/6)</v>
      </c>
      <c r="AI45" s="671" t="str">
        <f>'SVB-Coring-รายสัปดาห์'!AI4</f>
        <v>W.34
(27/6-3/7)</v>
      </c>
      <c r="AJ45" s="671" t="str">
        <f>'SVB-Coring-รายสัปดาห์'!AJ4</f>
        <v>W.35
(4/7-10/7)</v>
      </c>
      <c r="AK45" s="671" t="str">
        <f>'SVB-Coring-รายสัปดาห์'!AK4</f>
        <v>W.36
(11/7-17/7)</v>
      </c>
      <c r="AL45" s="671" t="str">
        <f>'SVB-Coring-รายสัปดาห์'!AL4</f>
        <v>W.37
(18/7-24/7)</v>
      </c>
      <c r="AM45" s="671" t="str">
        <f>'SVB-Coring-รายสัปดาห์'!AM4</f>
        <v>W.38
(25/7-31/7)</v>
      </c>
    </row>
    <row r="46" spans="1:41" ht="16.2" customHeight="1">
      <c r="A46" s="695" t="s">
        <v>1371</v>
      </c>
      <c r="B46" s="696">
        <f>'SVB-Coring-รายสัปดาห์'!B15</f>
        <v>0</v>
      </c>
      <c r="C46" s="696">
        <f>'SVB-Coring-รายสัปดาห์'!C15</f>
        <v>0</v>
      </c>
      <c r="D46" s="696">
        <f>'SVB-Coring-รายสัปดาห์'!D15</f>
        <v>0</v>
      </c>
      <c r="E46" s="696">
        <f>'SVB-Coring-รายสัปดาห์'!E15</f>
        <v>0</v>
      </c>
      <c r="F46" s="696">
        <f>'SVB-Coring-รายสัปดาห์'!F15</f>
        <v>0</v>
      </c>
      <c r="G46" s="696">
        <f>'SVB-Coring-รายสัปดาห์'!G15</f>
        <v>0</v>
      </c>
      <c r="H46" s="696">
        <f>'SVB-Coring-รายสัปดาห์'!H15</f>
        <v>0</v>
      </c>
      <c r="I46" s="696">
        <f>'SVB-Coring-รายสัปดาห์'!I15</f>
        <v>0</v>
      </c>
      <c r="J46" s="696">
        <f>'SVB-Coring-รายสัปดาห์'!J15</f>
        <v>0</v>
      </c>
      <c r="K46" s="696">
        <f>'SVB-Coring-รายสัปดาห์'!K15</f>
        <v>0</v>
      </c>
      <c r="L46" s="696">
        <f>'SVB-Coring-รายสัปดาห์'!L15</f>
        <v>1</v>
      </c>
      <c r="M46" s="696">
        <f>'SVB-Coring-รายสัปดาห์'!M15</f>
        <v>0</v>
      </c>
      <c r="N46" s="696">
        <f>'SVB-Coring-รายสัปดาห์'!N15</f>
        <v>0</v>
      </c>
      <c r="O46" s="696">
        <f>'SVB-Coring-รายสัปดาห์'!O15</f>
        <v>1</v>
      </c>
      <c r="P46" s="696">
        <f>'SVB-Coring-รายสัปดาห์'!P15</f>
        <v>2</v>
      </c>
      <c r="Q46" s="696">
        <f>'SVB-Coring-รายสัปดาห์'!Q15</f>
        <v>1</v>
      </c>
      <c r="R46" s="696">
        <f>'SVB-Coring-รายสัปดาห์'!R15</f>
        <v>1</v>
      </c>
      <c r="S46" s="696">
        <f>'SVB-Coring-รายสัปดาห์'!S15</f>
        <v>1</v>
      </c>
      <c r="T46" s="696">
        <f>'SVB-Coring-รายสัปดาห์'!T15</f>
        <v>2</v>
      </c>
      <c r="U46" s="696">
        <f>'SVB-Coring-รายสัปดาห์'!U15</f>
        <v>2</v>
      </c>
      <c r="V46" s="696">
        <f>'SVB-Coring-รายสัปดาห์'!V15</f>
        <v>2</v>
      </c>
      <c r="W46" s="696">
        <f>'SVB-Coring-รายสัปดาห์'!W15</f>
        <v>2</v>
      </c>
      <c r="X46" s="696">
        <f>'SVB-Coring-รายสัปดาห์'!X15</f>
        <v>0</v>
      </c>
      <c r="Y46" s="696">
        <f>'SVB-Coring-รายสัปดาห์'!Y15</f>
        <v>2</v>
      </c>
      <c r="Z46" s="696">
        <f>'SVB-Coring-รายสัปดาห์'!Z15</f>
        <v>2</v>
      </c>
      <c r="AA46" s="696">
        <f>'SVB-Coring-รายสัปดาห์'!AA15</f>
        <v>2</v>
      </c>
      <c r="AB46" s="696">
        <f>'SVB-Coring-รายสัปดาห์'!AB15</f>
        <v>2</v>
      </c>
      <c r="AC46" s="696">
        <f>'SVB-Coring-รายสัปดาห์'!AC15</f>
        <v>2</v>
      </c>
      <c r="AD46" s="696">
        <f>'SVB-Coring-รายสัปดาห์'!AD15</f>
        <v>2</v>
      </c>
      <c r="AE46" s="696">
        <f>'SVB-Coring-รายสัปดาห์'!AE15</f>
        <v>2</v>
      </c>
      <c r="AF46" s="696">
        <f>'SVB-Coring-รายสัปดาห์'!AF15</f>
        <v>2</v>
      </c>
      <c r="AG46" s="696">
        <f>'SVB-Coring-รายสัปดาห์'!AG15</f>
        <v>2</v>
      </c>
      <c r="AH46" s="696">
        <f>'SVB-Coring-รายสัปดาห์'!AH15</f>
        <v>2</v>
      </c>
      <c r="AI46" s="696">
        <f>'SVB-Coring-รายสัปดาห์'!AI15</f>
        <v>2</v>
      </c>
      <c r="AJ46" s="696">
        <f>'SVB-Coring-รายสัปดาห์'!AJ15</f>
        <v>2</v>
      </c>
      <c r="AK46" s="696">
        <f>'SVB-Coring-รายสัปดาห์'!AK15</f>
        <v>0</v>
      </c>
      <c r="AL46" s="696">
        <f>'SVB-Coring-รายสัปดาห์'!AL15</f>
        <v>0</v>
      </c>
      <c r="AM46" s="696">
        <f>'SVB-Coring-รายสัปดาห์'!AM15</f>
        <v>0</v>
      </c>
    </row>
    <row r="47" spans="1:41" ht="16.2" customHeight="1">
      <c r="A47" s="675" t="s">
        <v>1372</v>
      </c>
      <c r="B47" s="697">
        <f>'SVB-Coring-รายสัปดาห์'!B16</f>
        <v>0</v>
      </c>
      <c r="C47" s="697">
        <f>'SVB-Coring-รายสัปดาห์'!C16</f>
        <v>0</v>
      </c>
      <c r="D47" s="697">
        <f>'SVB-Coring-รายสัปดาห์'!D16</f>
        <v>0</v>
      </c>
      <c r="E47" s="697">
        <f>'SVB-Coring-รายสัปดาห์'!E16</f>
        <v>0</v>
      </c>
      <c r="F47" s="697">
        <f>'SVB-Coring-รายสัปดาห์'!F16</f>
        <v>0</v>
      </c>
      <c r="G47" s="697">
        <f>'SVB-Coring-รายสัปดาห์'!G16</f>
        <v>0</v>
      </c>
      <c r="H47" s="697">
        <f>'SVB-Coring-รายสัปดาห์'!H16</f>
        <v>0</v>
      </c>
      <c r="I47" s="697">
        <f>'SVB-Coring-รายสัปดาห์'!I16</f>
        <v>0</v>
      </c>
      <c r="J47" s="697">
        <f>'SVB-Coring-รายสัปดาห์'!J16</f>
        <v>0</v>
      </c>
      <c r="K47" s="697">
        <f>'SVB-Coring-รายสัปดาห์'!K16</f>
        <v>0</v>
      </c>
      <c r="L47" s="697">
        <f>'SVB-Coring-รายสัปดาห์'!L16</f>
        <v>1</v>
      </c>
      <c r="M47" s="697">
        <f>'SVB-Coring-รายสัปดาห์'!M16</f>
        <v>0</v>
      </c>
      <c r="N47" s="697">
        <f>'SVB-Coring-รายสัปดาห์'!N16</f>
        <v>0</v>
      </c>
      <c r="O47" s="697">
        <f>'SVB-Coring-รายสัปดาห์'!O16</f>
        <v>1</v>
      </c>
      <c r="P47" s="697">
        <f>'SVB-Coring-รายสัปดาห์'!P16</f>
        <v>2</v>
      </c>
      <c r="Q47" s="697">
        <f>'SVB-Coring-รายสัปดาห์'!Q16</f>
        <v>1</v>
      </c>
      <c r="R47" s="697">
        <f>'SVB-Coring-รายสัปดาห์'!R16</f>
        <v>1</v>
      </c>
      <c r="S47" s="697">
        <f>'SVB-Coring-รายสัปดาห์'!S16</f>
        <v>1</v>
      </c>
      <c r="T47" s="697">
        <f>'SVB-Coring-รายสัปดาห์'!T16</f>
        <v>0</v>
      </c>
      <c r="U47" s="697"/>
      <c r="V47" s="697"/>
      <c r="W47" s="697"/>
      <c r="X47" s="697"/>
      <c r="Y47" s="697"/>
      <c r="Z47" s="697"/>
      <c r="AA47" s="697"/>
      <c r="AB47" s="697"/>
      <c r="AC47" s="697"/>
      <c r="AD47" s="697"/>
      <c r="AE47" s="697"/>
      <c r="AF47" s="697"/>
      <c r="AG47" s="697"/>
      <c r="AH47" s="697"/>
      <c r="AI47" s="697"/>
      <c r="AJ47" s="697"/>
      <c r="AK47" s="697"/>
      <c r="AL47" s="697"/>
      <c r="AM47" s="697"/>
    </row>
    <row r="48" spans="1:41" ht="16.2" customHeight="1">
      <c r="A48" s="675" t="s">
        <v>1359</v>
      </c>
      <c r="B48" s="697">
        <f>'SVB-Coring-รายสัปดาห์'!B19</f>
        <v>0</v>
      </c>
      <c r="C48" s="697">
        <f>'SVB-Coring-รายสัปดาห์'!C19</f>
        <v>0</v>
      </c>
      <c r="D48" s="697">
        <f>'SVB-Coring-รายสัปดาห์'!D19</f>
        <v>0</v>
      </c>
      <c r="E48" s="697">
        <f>'SVB-Coring-รายสัปดาห์'!E19</f>
        <v>0</v>
      </c>
      <c r="F48" s="697">
        <f>'SVB-Coring-รายสัปดาห์'!F19</f>
        <v>0</v>
      </c>
      <c r="G48" s="697">
        <f>'SVB-Coring-รายสัปดาห์'!G19</f>
        <v>0</v>
      </c>
      <c r="H48" s="697">
        <f>'SVB-Coring-รายสัปดาห์'!H19</f>
        <v>0</v>
      </c>
      <c r="I48" s="697">
        <f>'SVB-Coring-รายสัปดาห์'!I19</f>
        <v>0</v>
      </c>
      <c r="J48" s="697">
        <f>'SVB-Coring-รายสัปดาห์'!J19</f>
        <v>0</v>
      </c>
      <c r="K48" s="697">
        <f>'SVB-Coring-รายสัปดาห์'!K19</f>
        <v>0</v>
      </c>
      <c r="L48" s="697">
        <f>'SVB-Coring-รายสัปดาห์'!L19</f>
        <v>1</v>
      </c>
      <c r="M48" s="697">
        <f>'SVB-Coring-รายสัปดาห์'!M19</f>
        <v>1</v>
      </c>
      <c r="N48" s="697">
        <f>'SVB-Coring-รายสัปดาห์'!N19</f>
        <v>1</v>
      </c>
      <c r="O48" s="697">
        <f>'SVB-Coring-รายสัปดาห์'!O19</f>
        <v>2</v>
      </c>
      <c r="P48" s="697">
        <f>'SVB-Coring-รายสัปดาห์'!P19</f>
        <v>4</v>
      </c>
      <c r="Q48" s="697">
        <f>'SVB-Coring-รายสัปดาห์'!Q19</f>
        <v>5</v>
      </c>
      <c r="R48" s="697">
        <f>'SVB-Coring-รายสัปดาห์'!R19</f>
        <v>6</v>
      </c>
      <c r="S48" s="697">
        <f>'SVB-Coring-รายสัปดาห์'!S19</f>
        <v>7</v>
      </c>
      <c r="T48" s="697">
        <f>'SVB-Coring-รายสัปดาห์'!T19</f>
        <v>7</v>
      </c>
      <c r="U48" s="697"/>
      <c r="V48" s="697"/>
      <c r="W48" s="697"/>
      <c r="X48" s="697"/>
      <c r="Y48" s="697"/>
      <c r="Z48" s="697"/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</row>
    <row r="49" spans="1:39" ht="16.2" customHeight="1">
      <c r="A49" s="689" t="s">
        <v>1357</v>
      </c>
      <c r="B49" s="698">
        <f>'SVB-Coring-รายสัปดาห์'!B17</f>
        <v>0</v>
      </c>
      <c r="C49" s="698">
        <f>'SVB-Coring-รายสัปดาห์'!C17</f>
        <v>0</v>
      </c>
      <c r="D49" s="698">
        <f>'SVB-Coring-รายสัปดาห์'!D17</f>
        <v>0</v>
      </c>
      <c r="E49" s="698">
        <f>'SVB-Coring-รายสัปดาห์'!E17</f>
        <v>0</v>
      </c>
      <c r="F49" s="698">
        <f>'SVB-Coring-รายสัปดาห์'!F17</f>
        <v>0</v>
      </c>
      <c r="G49" s="698">
        <f>'SVB-Coring-รายสัปดาห์'!G17</f>
        <v>0</v>
      </c>
      <c r="H49" s="698">
        <f>'SVB-Coring-รายสัปดาห์'!H17</f>
        <v>0</v>
      </c>
      <c r="I49" s="698">
        <f>'SVB-Coring-รายสัปดาห์'!I17</f>
        <v>0</v>
      </c>
      <c r="J49" s="698">
        <f>'SVB-Coring-รายสัปดาห์'!J17</f>
        <v>0</v>
      </c>
      <c r="K49" s="698">
        <f>'SVB-Coring-รายสัปดาห์'!K17</f>
        <v>0</v>
      </c>
      <c r="L49" s="698">
        <f>'SVB-Coring-รายสัปดาห์'!L17</f>
        <v>1</v>
      </c>
      <c r="M49" s="698">
        <f>'SVB-Coring-รายสัปดาห์'!M17</f>
        <v>0</v>
      </c>
      <c r="N49" s="698">
        <f>'SVB-Coring-รายสัปดาห์'!N17</f>
        <v>0</v>
      </c>
      <c r="O49" s="698">
        <f>'SVB-Coring-รายสัปดาห์'!O17</f>
        <v>1</v>
      </c>
      <c r="P49" s="698">
        <f>'SVB-Coring-รายสัปดาห์'!P17</f>
        <v>1</v>
      </c>
      <c r="Q49" s="698">
        <f>'SVB-Coring-รายสัปดาห์'!Q17</f>
        <v>1</v>
      </c>
      <c r="R49" s="698">
        <f>'SVB-Coring-รายสัปดาห์'!R17</f>
        <v>1</v>
      </c>
      <c r="S49" s="698">
        <f>'SVB-Coring-รายสัปดาห์'!S17</f>
        <v>1</v>
      </c>
      <c r="T49" s="698">
        <f>'SVB-Coring-รายสัปดาห์'!T17</f>
        <v>0</v>
      </c>
      <c r="U49" s="698">
        <f>'SVB-Coring-รายสัปดาห์'!U17</f>
        <v>0.5</v>
      </c>
      <c r="V49" s="698">
        <f>'SVB-Coring-รายสัปดาห์'!V17</f>
        <v>0</v>
      </c>
      <c r="W49" s="698">
        <f>'SVB-Coring-รายสัปดาห์'!W17</f>
        <v>0</v>
      </c>
      <c r="X49" s="698">
        <f>'SVB-Coring-รายสัปดาห์'!X17</f>
        <v>0</v>
      </c>
      <c r="Y49" s="698">
        <f>'SVB-Coring-รายสัปดาห์'!Y17</f>
        <v>0</v>
      </c>
      <c r="Z49" s="698">
        <f>'SVB-Coring-รายสัปดาห์'!Z17</f>
        <v>0</v>
      </c>
      <c r="AA49" s="698">
        <f>'SVB-Coring-รายสัปดาห์'!AA17</f>
        <v>0</v>
      </c>
      <c r="AB49" s="698">
        <f>'SVB-Coring-รายสัปดาห์'!AB17</f>
        <v>0</v>
      </c>
      <c r="AC49" s="698">
        <f>'SVB-Coring-รายสัปดาห์'!AC17</f>
        <v>0</v>
      </c>
      <c r="AD49" s="698">
        <f>'SVB-Coring-รายสัปดาห์'!AD17</f>
        <v>0</v>
      </c>
      <c r="AE49" s="698">
        <f>'SVB-Coring-รายสัปดาห์'!AE17</f>
        <v>0</v>
      </c>
      <c r="AF49" s="698">
        <f>'SVB-Coring-รายสัปดาห์'!AF17</f>
        <v>0</v>
      </c>
      <c r="AG49" s="698">
        <f>'SVB-Coring-รายสัปดาห์'!AG17</f>
        <v>0</v>
      </c>
      <c r="AH49" s="698">
        <f>'SVB-Coring-รายสัปดาห์'!AH17</f>
        <v>0</v>
      </c>
      <c r="AI49" s="698">
        <f>'SVB-Coring-รายสัปดาห์'!AI17</f>
        <v>0</v>
      </c>
      <c r="AJ49" s="698">
        <f>'SVB-Coring-รายสัปดาห์'!AJ17</f>
        <v>0</v>
      </c>
      <c r="AK49" s="698">
        <f>'SVB-Coring-รายสัปดาห์'!AK17</f>
        <v>0</v>
      </c>
      <c r="AL49" s="698">
        <f>'SVB-Coring-รายสัปดาห์'!AL17</f>
        <v>0</v>
      </c>
      <c r="AM49" s="698">
        <f>'SVB-Coring-รายสัปดาห์'!AM17</f>
        <v>0</v>
      </c>
    </row>
    <row r="50" spans="1:39" ht="16.2" customHeight="1">
      <c r="A50" s="680" t="s">
        <v>1373</v>
      </c>
      <c r="B50" s="699">
        <f>'SVB-Coring-รายสัปดาห์'!B20</f>
        <v>0</v>
      </c>
      <c r="C50" s="699">
        <f>'SVB-Coring-รายสัปดาห์'!C20</f>
        <v>0</v>
      </c>
      <c r="D50" s="699">
        <f>'SVB-Coring-รายสัปดาห์'!D20</f>
        <v>0</v>
      </c>
      <c r="E50" s="699">
        <f>'SVB-Coring-รายสัปดาห์'!E20</f>
        <v>0</v>
      </c>
      <c r="F50" s="699">
        <f>'SVB-Coring-รายสัปดาห์'!F20</f>
        <v>0</v>
      </c>
      <c r="G50" s="699">
        <f>'SVB-Coring-รายสัปดาห์'!G20</f>
        <v>0</v>
      </c>
      <c r="H50" s="699">
        <f>'SVB-Coring-รายสัปดาห์'!H20</f>
        <v>0</v>
      </c>
      <c r="I50" s="699">
        <f>'SVB-Coring-รายสัปดาห์'!I20</f>
        <v>0</v>
      </c>
      <c r="J50" s="699">
        <f>'SVB-Coring-รายสัปดาห์'!J20</f>
        <v>0</v>
      </c>
      <c r="K50" s="699">
        <f>'SVB-Coring-รายสัปดาห์'!K20</f>
        <v>0</v>
      </c>
      <c r="L50" s="699">
        <f>'SVB-Coring-รายสัปดาห์'!L20</f>
        <v>2.564102564102564E-2</v>
      </c>
      <c r="M50" s="699">
        <f>'SVB-Coring-รายสัปดาห์'!M20</f>
        <v>2.564102564102564E-2</v>
      </c>
      <c r="N50" s="699">
        <f>'SVB-Coring-รายสัปดาห์'!N20</f>
        <v>2.564102564102564E-2</v>
      </c>
      <c r="O50" s="699">
        <f>'SVB-Coring-รายสัปดาห์'!O20</f>
        <v>5.128205128205128E-2</v>
      </c>
      <c r="P50" s="699">
        <f>'SVB-Coring-รายสัปดาห์'!P20</f>
        <v>0.10256410256410256</v>
      </c>
      <c r="Q50" s="699">
        <f>'SVB-Coring-รายสัปดาห์'!Q20</f>
        <v>0.12820512820512819</v>
      </c>
      <c r="R50" s="699">
        <f>'SVB-Coring-รายสัปดาห์'!R20</f>
        <v>0.15384615384615385</v>
      </c>
      <c r="S50" s="699">
        <f>'SVB-Coring-รายสัปดาห์'!S20</f>
        <v>0.17948717948717949</v>
      </c>
      <c r="T50" s="699">
        <f>'SVB-Coring-รายสัปดาห์'!T20</f>
        <v>0.17948717948717949</v>
      </c>
      <c r="U50" s="699">
        <f>'SVB-Coring-รายสัปดาห์'!U20</f>
        <v>0.20512820512820512</v>
      </c>
      <c r="V50" s="699">
        <f>'SVB-Coring-รายสัปดาห์'!V20</f>
        <v>0.20512820512820512</v>
      </c>
      <c r="W50" s="699">
        <f>'SVB-Coring-รายสัปดาห์'!W20</f>
        <v>0.20512820512820512</v>
      </c>
      <c r="X50" s="699">
        <f>'SVB-Coring-รายสัปดาห์'!X20</f>
        <v>0.20512820512820512</v>
      </c>
      <c r="Y50" s="699">
        <f>'SVB-Coring-รายสัปดาห์'!Y20</f>
        <v>0.20512820512820512</v>
      </c>
      <c r="Z50" s="699">
        <f>'SVB-Coring-รายสัปดาห์'!Z20</f>
        <v>0.20512820512820512</v>
      </c>
      <c r="AA50" s="699">
        <f>'SVB-Coring-รายสัปดาห์'!AA20</f>
        <v>0.20512820512820512</v>
      </c>
      <c r="AB50" s="699">
        <f>'SVB-Coring-รายสัปดาห์'!AB20</f>
        <v>0.20512820512820512</v>
      </c>
      <c r="AC50" s="699">
        <f>'SVB-Coring-รายสัปดาห์'!AC20</f>
        <v>0.20512820512820512</v>
      </c>
      <c r="AD50" s="699">
        <f>'SVB-Coring-รายสัปดาห์'!AD20</f>
        <v>0.20512820512820512</v>
      </c>
      <c r="AE50" s="699">
        <f>'SVB-Coring-รายสัปดาห์'!AE20</f>
        <v>0.20512820512820512</v>
      </c>
      <c r="AF50" s="699">
        <f>'SVB-Coring-รายสัปดาห์'!AF20</f>
        <v>0.20512820512820512</v>
      </c>
      <c r="AG50" s="699">
        <f>'SVB-Coring-รายสัปดาห์'!AG20</f>
        <v>0.20512820512820512</v>
      </c>
      <c r="AH50" s="699">
        <f>'SVB-Coring-รายสัปดาห์'!AH20</f>
        <v>0.20512820512820512</v>
      </c>
      <c r="AI50" s="699">
        <f>'SVB-Coring-รายสัปดาห์'!AI20</f>
        <v>0.20512820512820512</v>
      </c>
      <c r="AJ50" s="699">
        <f>'SVB-Coring-รายสัปดาห์'!AJ20</f>
        <v>0.20512820512820512</v>
      </c>
      <c r="AK50" s="699">
        <f>'SVB-Coring-รายสัปดาห์'!AK20</f>
        <v>0.20512820512820512</v>
      </c>
      <c r="AL50" s="699">
        <f>'SVB-Coring-รายสัปดาห์'!AL20</f>
        <v>0.20512820512820512</v>
      </c>
      <c r="AM50" s="699">
        <f>'SVB-Coring-รายสัปดาห์'!AM20</f>
        <v>0.20512820512820512</v>
      </c>
    </row>
    <row r="80" spans="1:41" ht="22.2" customHeight="1">
      <c r="A80" s="1077" t="s">
        <v>1374</v>
      </c>
      <c r="B80" s="1078"/>
      <c r="C80" s="1078"/>
      <c r="D80" s="1078"/>
      <c r="E80" s="1078"/>
      <c r="F80" s="1078"/>
      <c r="G80" s="1078"/>
      <c r="H80" s="1078"/>
      <c r="I80" s="1078"/>
      <c r="J80" s="1078"/>
      <c r="K80" s="1078"/>
      <c r="L80" s="1078"/>
      <c r="M80" s="1078"/>
      <c r="N80" s="1078"/>
      <c r="O80" s="1078"/>
      <c r="P80" s="1078"/>
      <c r="Q80" s="1078"/>
      <c r="R80" s="1078"/>
      <c r="S80" s="1078"/>
      <c r="T80" s="1078"/>
      <c r="U80" s="1078"/>
      <c r="V80" s="1078"/>
      <c r="W80" s="1078"/>
      <c r="X80" s="1078"/>
      <c r="Y80" s="1078"/>
      <c r="Z80" s="1078"/>
      <c r="AA80" s="1078"/>
      <c r="AB80" s="1078"/>
      <c r="AC80" s="1078"/>
      <c r="AD80" s="1078"/>
      <c r="AE80" s="1078"/>
      <c r="AF80" s="1078"/>
      <c r="AG80" s="1078"/>
      <c r="AH80" s="1078"/>
      <c r="AI80" s="1078"/>
      <c r="AJ80" s="1078"/>
      <c r="AK80" s="1078"/>
      <c r="AL80" s="1078"/>
      <c r="AM80" s="1078"/>
      <c r="AN80" s="1078"/>
      <c r="AO80" s="1078"/>
    </row>
    <row r="81" spans="1:39" ht="24">
      <c r="A81" s="694"/>
      <c r="B81" s="671" t="str">
        <f>'SVB-Coring-รายสัปดาห์'!B4</f>
        <v>W.1
(8/11-14/11)</v>
      </c>
      <c r="C81" s="671" t="str">
        <f>'SVB-Coring-รายสัปดาห์'!C4</f>
        <v>W.2
(15/11-21/11)</v>
      </c>
      <c r="D81" s="671" t="str">
        <f>'SVB-Coring-รายสัปดาห์'!D4</f>
        <v>W.3
(22/11-28/11)</v>
      </c>
      <c r="E81" s="671" t="str">
        <f>'SVB-Coring-รายสัปดาห์'!E4</f>
        <v>W.4
(29/11-5/12)</v>
      </c>
      <c r="F81" s="671" t="str">
        <f>'SVB-Coring-รายสัปดาห์'!F4</f>
        <v>W.5
(6/12-12/12)</v>
      </c>
      <c r="G81" s="671" t="str">
        <f>'SVB-Coring-รายสัปดาห์'!G4</f>
        <v>W.6
(13/12-19/12)</v>
      </c>
      <c r="H81" s="671" t="str">
        <f>'SVB-Coring-รายสัปดาห์'!H4</f>
        <v>W.7
(20/12-26/12)</v>
      </c>
      <c r="I81" s="671" t="str">
        <f>'SVB-Coring-รายสัปดาห์'!I4</f>
        <v>W.8
(27/12-2/1)</v>
      </c>
      <c r="J81" s="671" t="str">
        <f>'SVB-Coring-รายสัปดาห์'!J4</f>
        <v>W.9
(3/1-9/1)</v>
      </c>
      <c r="K81" s="671" t="str">
        <f>'SVB-Coring-รายสัปดาห์'!K4</f>
        <v>W.10
(10/1-16/1)</v>
      </c>
      <c r="L81" s="671" t="str">
        <f>'SVB-Coring-รายสัปดาห์'!L4</f>
        <v>W.11
(17/1-23/1)</v>
      </c>
      <c r="M81" s="671" t="str">
        <f>'SVB-Coring-รายสัปดาห์'!M4</f>
        <v>W.12
(24/1-30/1)</v>
      </c>
      <c r="N81" s="671" t="str">
        <f>'SVB-Coring-รายสัปดาห์'!N4</f>
        <v>W.13
(31/1-6/2)</v>
      </c>
      <c r="O81" s="671" t="str">
        <f>'SVB-Coring-รายสัปดาห์'!O4</f>
        <v>W.14
(7/2-13/2)</v>
      </c>
      <c r="P81" s="671" t="str">
        <f>'SVB-Coring-รายสัปดาห์'!P4</f>
        <v>W.15
(14/2-20/2)</v>
      </c>
      <c r="Q81" s="671" t="str">
        <f>'SVB-Coring-รายสัปดาห์'!Q4</f>
        <v>W.16
(21/2-27/2)</v>
      </c>
      <c r="R81" s="671" t="str">
        <f>'SVB-Coring-รายสัปดาห์'!R4</f>
        <v>W.17
(28/2-6/3)</v>
      </c>
      <c r="S81" s="671" t="str">
        <f>'SVB-Coring-รายสัปดาห์'!S4</f>
        <v>W.18
(7/3-13/3)</v>
      </c>
      <c r="T81" s="671" t="str">
        <f>'SVB-Coring-รายสัปดาห์'!T4</f>
        <v>W.19
(14/3-20/3)</v>
      </c>
      <c r="U81" s="671" t="str">
        <f>'SVB-Coring-รายสัปดาห์'!U4</f>
        <v>W.20
(21/3-27/3)</v>
      </c>
      <c r="V81" s="671" t="str">
        <f>'SVB-Coring-รายสัปดาห์'!V4</f>
        <v>W.21
(28/3-3/4)</v>
      </c>
      <c r="W81" s="671" t="str">
        <f>'SVB-Coring-รายสัปดาห์'!W4</f>
        <v>W.22
(4/4-10/4)</v>
      </c>
      <c r="X81" s="671" t="str">
        <f>'SVB-Coring-รายสัปดาห์'!X4</f>
        <v>W.23
(11/4-17/4)</v>
      </c>
      <c r="Y81" s="671" t="str">
        <f>'SVB-Coring-รายสัปดาห์'!Y4</f>
        <v>W.24
(18/4-24/4)</v>
      </c>
      <c r="Z81" s="671" t="str">
        <f>'SVB-Coring-รายสัปดาห์'!Z4</f>
        <v>W.25
(25/4-1/5)</v>
      </c>
      <c r="AA81" s="671" t="str">
        <f>'SVB-Coring-รายสัปดาห์'!AA4</f>
        <v>W.26
(2/5-8/5)</v>
      </c>
      <c r="AB81" s="671" t="str">
        <f>'SVB-Coring-รายสัปดาห์'!AB4</f>
        <v>W.27
(9/5-15/5)</v>
      </c>
      <c r="AC81" s="671" t="str">
        <f>'SVB-Coring-รายสัปดาห์'!AC4</f>
        <v>W.28
(16/5-22/5)</v>
      </c>
      <c r="AD81" s="671" t="str">
        <f>'SVB-Coring-รายสัปดาห์'!AD4</f>
        <v>W.29
(23/5-29/5)</v>
      </c>
      <c r="AE81" s="671" t="str">
        <f>'SVB-Coring-รายสัปดาห์'!AE4</f>
        <v>W.30
(30/5-5/6)</v>
      </c>
      <c r="AF81" s="671" t="str">
        <f>'SVB-Coring-รายสัปดาห์'!AF4</f>
        <v>W.31
(6/6-12/6)</v>
      </c>
      <c r="AG81" s="671" t="str">
        <f>'SVB-Coring-รายสัปดาห์'!AG4</f>
        <v>W.32
(13/6-19/6)</v>
      </c>
      <c r="AH81" s="671" t="str">
        <f>'SVB-Coring-รายสัปดาห์'!AH4</f>
        <v>W.33
(20/6-26/6)</v>
      </c>
      <c r="AI81" s="671" t="str">
        <f>'SVB-Coring-รายสัปดาห์'!AI4</f>
        <v>W.34
(27/6-3/7)</v>
      </c>
      <c r="AJ81" s="671" t="str">
        <f>'SVB-Coring-รายสัปดาห์'!AJ4</f>
        <v>W.35
(4/7-10/7)</v>
      </c>
      <c r="AK81" s="671" t="str">
        <f>'SVB-Coring-รายสัปดาห์'!AK4</f>
        <v>W.36
(11/7-17/7)</v>
      </c>
      <c r="AL81" s="671" t="str">
        <f>'SVB-Coring-รายสัปดาห์'!AL4</f>
        <v>W.37
(18/7-24/7)</v>
      </c>
      <c r="AM81" s="671" t="str">
        <f>'SVB-Coring-รายสัปดาห์'!AM4</f>
        <v>W.38
(25/7-31/7)</v>
      </c>
    </row>
    <row r="82" spans="1:39" ht="16.2" customHeight="1">
      <c r="A82" s="686" t="s">
        <v>1375</v>
      </c>
      <c r="B82" s="700">
        <f>'SVB-Coring-รายสัปดาห์'!B26</f>
        <v>2.564102564102564E-2</v>
      </c>
      <c r="C82" s="700">
        <f>'SVB-Coring-รายสัปดาห์'!C26</f>
        <v>5.128205128205128E-2</v>
      </c>
      <c r="D82" s="700">
        <f>'SVB-Coring-รายสัปดาห์'!D26</f>
        <v>0.14102564102564102</v>
      </c>
      <c r="E82" s="700">
        <f>'SVB-Coring-รายสัปดาห์'!E26</f>
        <v>0.17948717948717949</v>
      </c>
      <c r="F82" s="700">
        <f>'SVB-Coring-รายสัปดาห์'!F26</f>
        <v>0.23076923076923078</v>
      </c>
      <c r="G82" s="700">
        <f>'SVB-Coring-รายสัปดาห์'!G26</f>
        <v>0.30769230769230771</v>
      </c>
      <c r="H82" s="700">
        <f>'SVB-Coring-รายสัปดาห์'!H26</f>
        <v>0.33333333333333331</v>
      </c>
      <c r="I82" s="700">
        <f>'SVB-Coring-รายสัปดาห์'!I26</f>
        <v>0.33333333333333331</v>
      </c>
      <c r="J82" s="700">
        <f>'SVB-Coring-รายสัปดาห์'!J26</f>
        <v>0.35897435897435898</v>
      </c>
      <c r="K82" s="700">
        <f>'SVB-Coring-รายสัปดาห์'!K26</f>
        <v>0.4358974358974359</v>
      </c>
      <c r="L82" s="700">
        <f>'SVB-Coring-รายสัปดาห์'!L26</f>
        <v>0.51282051282051277</v>
      </c>
      <c r="M82" s="700">
        <f>'SVB-Coring-รายสัปดาห์'!M26</f>
        <v>0.51282051282051277</v>
      </c>
      <c r="N82" s="700">
        <f>'SVB-Coring-รายสัปดาห์'!N26</f>
        <v>0.51282051282051277</v>
      </c>
      <c r="O82" s="700">
        <f>'SVB-Coring-รายสัปดาห์'!O26</f>
        <v>0.52564102564102566</v>
      </c>
      <c r="P82" s="700">
        <f>'SVB-Coring-รายสัปดาห์'!P26</f>
        <v>0.55128205128205132</v>
      </c>
      <c r="Q82" s="700">
        <f>'SVB-Coring-รายสัปดาห์'!Q26</f>
        <v>0.5641025641025641</v>
      </c>
      <c r="R82" s="700">
        <f>'SVB-Coring-รายสัปดาห์'!R26</f>
        <v>0.57692307692307687</v>
      </c>
      <c r="S82" s="700">
        <f>'SVB-Coring-รายสัปดาห์'!S26</f>
        <v>0.58974358974358976</v>
      </c>
      <c r="T82" s="700">
        <f>'SVB-Coring-รายสัปดาห์'!T26</f>
        <v>0.61538461538461542</v>
      </c>
      <c r="U82" s="700">
        <f>'SVB-Coring-รายสัปดาห์'!U26</f>
        <v>0.64102564102564108</v>
      </c>
      <c r="V82" s="700">
        <f>'SVB-Coring-รายสัปดาห์'!V26</f>
        <v>0.66666666666666663</v>
      </c>
      <c r="W82" s="700">
        <f>'SVB-Coring-รายสัปดาห์'!W26</f>
        <v>0.69230769230769229</v>
      </c>
      <c r="X82" s="700">
        <f>'SVB-Coring-รายสัปดาห์'!X26</f>
        <v>0.69230769230769229</v>
      </c>
      <c r="Y82" s="700">
        <f>'SVB-Coring-รายสัปดาห์'!Y26</f>
        <v>0.71794871794871795</v>
      </c>
      <c r="Z82" s="700">
        <f>'SVB-Coring-รายสัปดาห์'!Z26</f>
        <v>0.74358974358974361</v>
      </c>
      <c r="AA82" s="700">
        <f>'SVB-Coring-รายสัปดาห์'!AA26</f>
        <v>0.76923076923076927</v>
      </c>
      <c r="AB82" s="700">
        <f>'SVB-Coring-รายสัปดาห์'!AB26</f>
        <v>0.79487179487179482</v>
      </c>
      <c r="AC82" s="700">
        <f>'SVB-Coring-รายสัปดาห์'!AC26</f>
        <v>0.82051282051282048</v>
      </c>
      <c r="AD82" s="700">
        <f>'SVB-Coring-รายสัปดาห์'!AD26</f>
        <v>0.84615384615384615</v>
      </c>
      <c r="AE82" s="700">
        <f>'SVB-Coring-รายสัปดาห์'!AE26</f>
        <v>0.87179487179487181</v>
      </c>
      <c r="AF82" s="700">
        <f>'SVB-Coring-รายสัปดาห์'!AF26</f>
        <v>0.89743589743589747</v>
      </c>
      <c r="AG82" s="700">
        <f>'SVB-Coring-รายสัปดาห์'!AG26</f>
        <v>0.92307692307692313</v>
      </c>
      <c r="AH82" s="700">
        <f>'SVB-Coring-รายสัปดาห์'!AH26</f>
        <v>0.94871794871794868</v>
      </c>
      <c r="AI82" s="700">
        <f>'SVB-Coring-รายสัปดาห์'!AI26</f>
        <v>0.97435897435897434</v>
      </c>
      <c r="AJ82" s="700">
        <f>'SVB-Coring-รายสัปดาห์'!AJ26</f>
        <v>1</v>
      </c>
      <c r="AK82" s="700">
        <f>'SVB-Coring-รายสัปดาห์'!AK26</f>
        <v>1</v>
      </c>
      <c r="AL82" s="700">
        <f>'SVB-Coring-รายสัปดาห์'!AL26</f>
        <v>1</v>
      </c>
      <c r="AM82" s="700">
        <f>'SVB-Coring-รายสัปดาห์'!AM26</f>
        <v>1</v>
      </c>
    </row>
    <row r="83" spans="1:39" ht="16.2" customHeight="1">
      <c r="A83" s="701" t="s">
        <v>343</v>
      </c>
      <c r="B83" s="702">
        <f>'SVB-Coring-รายสัปดาห์'!B27</f>
        <v>2.564102564102564E-2</v>
      </c>
      <c r="C83" s="702">
        <f>'SVB-Coring-รายสัปดาห์'!C27</f>
        <v>5.128205128205128E-2</v>
      </c>
      <c r="D83" s="702">
        <f>'SVB-Coring-รายสัปดาห์'!D27</f>
        <v>0.14102564102564102</v>
      </c>
      <c r="E83" s="702">
        <f>'SVB-Coring-รายสัปดาห์'!E27</f>
        <v>0.17948717948717949</v>
      </c>
      <c r="F83" s="702">
        <f>'SVB-Coring-รายสัปดาห์'!F27</f>
        <v>0.23076923076923078</v>
      </c>
      <c r="G83" s="702">
        <f>'SVB-Coring-รายสัปดาห์'!G27</f>
        <v>0.30769230769230771</v>
      </c>
      <c r="H83" s="702">
        <f>'SVB-Coring-รายสัปดาห์'!H27</f>
        <v>0.33333333333333331</v>
      </c>
      <c r="I83" s="702">
        <f>'SVB-Coring-รายสัปดาห์'!I27</f>
        <v>0.33333333333333331</v>
      </c>
      <c r="J83" s="702">
        <f>'SVB-Coring-รายสัปดาห์'!J27</f>
        <v>0.35897435897435898</v>
      </c>
      <c r="K83" s="702">
        <f>'SVB-Coring-รายสัปดาห์'!K27</f>
        <v>0.4358974358974359</v>
      </c>
      <c r="L83" s="702">
        <f>'SVB-Coring-รายสัปดาห์'!L27</f>
        <v>0.51282051282051277</v>
      </c>
      <c r="M83" s="702">
        <f>'SVB-Coring-รายสัปดาห์'!M27</f>
        <v>0.51282051282051277</v>
      </c>
      <c r="N83" s="702">
        <f>'SVB-Coring-รายสัปดาห์'!N27</f>
        <v>0.51282051282051277</v>
      </c>
      <c r="O83" s="702">
        <f>'SVB-Coring-รายสัปดาห์'!O27</f>
        <v>0.52564102564102566</v>
      </c>
      <c r="P83" s="702">
        <f>'SVB-Coring-รายสัปดาห์'!P27</f>
        <v>0.55128205128205132</v>
      </c>
      <c r="Q83" s="702">
        <f>'SVB-Coring-รายสัปดาห์'!Q27</f>
        <v>0.5641025641025641</v>
      </c>
      <c r="R83" s="702">
        <f>'SVB-Coring-รายสัปดาห์'!R27</f>
        <v>0.57692307692307687</v>
      </c>
      <c r="S83" s="702">
        <f>'SVB-Coring-รายสัปดาห์'!S27</f>
        <v>0.58974358974358976</v>
      </c>
      <c r="T83" s="702">
        <f>'SVB-Coring-รายสัปดาห์'!T27</f>
        <v>0.58974358974358976</v>
      </c>
      <c r="U83" s="702"/>
      <c r="V83" s="702"/>
      <c r="W83" s="702"/>
      <c r="X83" s="702"/>
      <c r="Y83" s="702"/>
      <c r="Z83" s="702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38" activePane="bottomLeft" state="frozen"/>
      <selection pane="bottomLeft" activeCell="G1" sqref="G1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29.66406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1376</v>
      </c>
      <c r="D1" s="157" t="s">
        <v>18</v>
      </c>
      <c r="E1" s="157" t="s">
        <v>19</v>
      </c>
      <c r="F1" s="156" t="s">
        <v>151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1377</v>
      </c>
      <c r="B2" s="406" t="s">
        <v>1378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088" t="s">
        <v>1379</v>
      </c>
      <c r="B3" s="1084" t="s">
        <v>1380</v>
      </c>
      <c r="C3" s="230" t="s">
        <v>347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089"/>
      <c r="B4" s="1085"/>
      <c r="C4" s="232"/>
      <c r="D4" s="234" t="s">
        <v>1381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089"/>
      <c r="B5" s="1085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089"/>
      <c r="B6" s="1085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089"/>
      <c r="B7" s="1085"/>
      <c r="C7" s="232"/>
      <c r="D7" s="234" t="s">
        <v>1382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089"/>
      <c r="B8" s="1085"/>
      <c r="C8" s="232"/>
      <c r="D8" s="234" t="s">
        <v>1383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089"/>
      <c r="B9" s="1085"/>
      <c r="C9" s="232"/>
      <c r="D9" s="234" t="s">
        <v>1384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089"/>
      <c r="B10" s="1085"/>
      <c r="C10" s="232"/>
      <c r="D10" s="234" t="s">
        <v>1385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089"/>
      <c r="B11" s="1085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089"/>
      <c r="B12" s="1085"/>
      <c r="C12" s="232"/>
      <c r="D12" s="234" t="s">
        <v>1386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089"/>
      <c r="B13" s="1085"/>
      <c r="C13" s="232"/>
      <c r="D13" s="234" t="s">
        <v>1387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089"/>
      <c r="B14" s="1086" t="s">
        <v>1388</v>
      </c>
      <c r="C14" s="1079" t="s">
        <v>1389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089"/>
      <c r="B15" s="1087"/>
      <c r="C15" s="1080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089"/>
      <c r="B16" s="1087"/>
      <c r="C16" s="1081"/>
      <c r="D16" s="23" t="s">
        <v>1387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089"/>
      <c r="B17" s="251" t="s">
        <v>1390</v>
      </c>
      <c r="C17" s="1082" t="s">
        <v>1391</v>
      </c>
      <c r="D17" s="231" t="s">
        <v>38</v>
      </c>
      <c r="E17" s="238"/>
      <c r="F17" s="175">
        <v>1</v>
      </c>
      <c r="G17" s="162">
        <v>0</v>
      </c>
      <c r="H17" s="791">
        <v>0</v>
      </c>
      <c r="I17" s="791">
        <v>0</v>
      </c>
      <c r="J17" s="248">
        <f t="shared" si="0"/>
        <v>0</v>
      </c>
      <c r="K17" s="8"/>
    </row>
    <row r="18" spans="1:11" ht="18" customHeight="1">
      <c r="A18" s="1089"/>
      <c r="B18" s="255"/>
      <c r="C18" s="1083"/>
      <c r="D18" s="250" t="s">
        <v>1387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089"/>
      <c r="B19" s="251" t="s">
        <v>1392</v>
      </c>
      <c r="C19" s="263" t="s">
        <v>1393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089"/>
      <c r="B20" s="255" t="s">
        <v>1394</v>
      </c>
      <c r="C20" s="264" t="s">
        <v>1395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089"/>
      <c r="B21" s="255" t="s">
        <v>1396</v>
      </c>
      <c r="C21" s="264" t="s">
        <v>1397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089"/>
      <c r="B22" s="255" t="s">
        <v>1398</v>
      </c>
      <c r="C22" s="264" t="s">
        <v>1399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089"/>
      <c r="B23" s="255" t="s">
        <v>1400</v>
      </c>
      <c r="C23" s="264" t="s">
        <v>1401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089"/>
      <c r="B24" s="255" t="s">
        <v>1402</v>
      </c>
      <c r="C24" s="264" t="s">
        <v>1403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089"/>
      <c r="B25" s="255" t="s">
        <v>1404</v>
      </c>
      <c r="C25" s="264" t="s">
        <v>1405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089"/>
      <c r="B26" s="255" t="s">
        <v>1406</v>
      </c>
      <c r="C26" s="264" t="s">
        <v>1407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089"/>
      <c r="B27" s="255" t="s">
        <v>1408</v>
      </c>
      <c r="C27" s="264" t="s">
        <v>1409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089"/>
      <c r="B28" s="255" t="s">
        <v>1410</v>
      </c>
      <c r="C28" s="264" t="s">
        <v>1411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089"/>
      <c r="B29" s="255" t="s">
        <v>1412</v>
      </c>
      <c r="C29" s="264" t="s">
        <v>1413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089"/>
      <c r="B30" s="255" t="s">
        <v>1414</v>
      </c>
      <c r="C30" s="264" t="s">
        <v>1415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089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089"/>
      <c r="B32" s="255" t="s">
        <v>1416</v>
      </c>
      <c r="C32" s="264" t="s">
        <v>347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089"/>
      <c r="B33" s="255" t="s">
        <v>1417</v>
      </c>
      <c r="C33" s="264" t="s">
        <v>347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089"/>
      <c r="B34" s="255" t="s">
        <v>1418</v>
      </c>
      <c r="C34" s="264" t="s">
        <v>347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089"/>
      <c r="B35" s="255" t="s">
        <v>1419</v>
      </c>
      <c r="C35" s="264" t="s">
        <v>347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089"/>
      <c r="B36" s="255" t="s">
        <v>1420</v>
      </c>
      <c r="C36" s="264" t="s">
        <v>347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089"/>
      <c r="B37" s="407" t="s">
        <v>1421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090"/>
      <c r="B38" s="407" t="s">
        <v>1422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08" t="s">
        <v>1423</v>
      </c>
      <c r="B39" s="251" t="s">
        <v>1424</v>
      </c>
      <c r="C39" s="264" t="s">
        <v>347</v>
      </c>
      <c r="D39" s="238" t="s">
        <v>1386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094" t="s">
        <v>1425</v>
      </c>
      <c r="B40" s="251" t="s">
        <v>1426</v>
      </c>
      <c r="C40" s="263" t="s">
        <v>347</v>
      </c>
      <c r="D40" s="238" t="s">
        <v>1386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095"/>
      <c r="B41" s="262" t="s">
        <v>1427</v>
      </c>
      <c r="C41" s="263" t="s">
        <v>347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094" t="s">
        <v>1428</v>
      </c>
      <c r="B42" s="261" t="s">
        <v>1429</v>
      </c>
      <c r="C42" s="253" t="s">
        <v>347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095"/>
      <c r="B43" s="266" t="s">
        <v>1430</v>
      </c>
      <c r="C43" s="264" t="s">
        <v>347</v>
      </c>
      <c r="D43" s="23" t="s">
        <v>1386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095"/>
      <c r="B44" s="267" t="s">
        <v>1431</v>
      </c>
      <c r="C44" s="264" t="s">
        <v>347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095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095"/>
      <c r="B46" s="255" t="s">
        <v>1432</v>
      </c>
      <c r="C46" s="264" t="s">
        <v>347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095"/>
      <c r="B47" s="267" t="s">
        <v>1433</v>
      </c>
      <c r="C47" s="264" t="s">
        <v>347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095"/>
      <c r="B48" s="266" t="s">
        <v>1434</v>
      </c>
      <c r="C48" s="264" t="s">
        <v>347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1435</v>
      </c>
      <c r="B49" s="333" t="s">
        <v>1436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130</v>
      </c>
      <c r="B50" s="252" t="s">
        <v>1437</v>
      </c>
      <c r="C50" s="334" t="s">
        <v>347</v>
      </c>
      <c r="D50" s="250" t="s">
        <v>1386</v>
      </c>
      <c r="E50" s="24"/>
      <c r="F50" s="791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92" t="s">
        <v>1438</v>
      </c>
      <c r="B51" s="269" t="s">
        <v>1439</v>
      </c>
      <c r="C51" s="232" t="s">
        <v>347</v>
      </c>
      <c r="D51" s="163" t="s">
        <v>76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92"/>
      <c r="B52" s="255" t="s">
        <v>1440</v>
      </c>
      <c r="C52" s="232" t="s">
        <v>347</v>
      </c>
      <c r="D52" s="163" t="s">
        <v>38</v>
      </c>
      <c r="E52" s="23"/>
      <c r="F52" s="790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92"/>
      <c r="B53" s="255" t="s">
        <v>1441</v>
      </c>
      <c r="C53" s="232" t="s">
        <v>1442</v>
      </c>
      <c r="D53" s="163" t="s">
        <v>38</v>
      </c>
      <c r="E53" s="23"/>
      <c r="F53" s="790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92"/>
      <c r="B54" s="255" t="s">
        <v>1443</v>
      </c>
      <c r="C54" s="232" t="s">
        <v>1444</v>
      </c>
      <c r="D54" s="163" t="s">
        <v>38</v>
      </c>
      <c r="E54" s="23"/>
      <c r="F54" s="790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92"/>
      <c r="B55" s="255"/>
      <c r="C55" s="232"/>
      <c r="D55" s="163" t="s">
        <v>42</v>
      </c>
      <c r="E55" s="23"/>
      <c r="F55" s="790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92"/>
      <c r="B56" s="255" t="s">
        <v>1445</v>
      </c>
      <c r="C56" s="232" t="s">
        <v>1446</v>
      </c>
      <c r="D56" s="163" t="s">
        <v>38</v>
      </c>
      <c r="E56" s="23"/>
      <c r="F56" s="790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92"/>
      <c r="B57" s="255" t="s">
        <v>1447</v>
      </c>
      <c r="C57" s="232" t="s">
        <v>1448</v>
      </c>
      <c r="D57" s="163" t="s">
        <v>38</v>
      </c>
      <c r="E57" s="23"/>
      <c r="F57" s="790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92"/>
      <c r="B58" s="255"/>
      <c r="C58" s="232"/>
      <c r="D58" s="163" t="s">
        <v>42</v>
      </c>
      <c r="E58" s="23"/>
      <c r="F58" s="790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92"/>
      <c r="B59" s="255" t="s">
        <v>1449</v>
      </c>
      <c r="C59" s="232" t="s">
        <v>1450</v>
      </c>
      <c r="D59" s="163" t="s">
        <v>38</v>
      </c>
      <c r="E59" s="23"/>
      <c r="F59" s="790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92"/>
      <c r="B60" s="255" t="s">
        <v>1451</v>
      </c>
      <c r="C60" s="232" t="s">
        <v>1452</v>
      </c>
      <c r="D60" s="163" t="s">
        <v>38</v>
      </c>
      <c r="E60" s="23"/>
      <c r="F60" s="790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92"/>
      <c r="B61" s="255" t="s">
        <v>1453</v>
      </c>
      <c r="C61" s="232" t="s">
        <v>1454</v>
      </c>
      <c r="D61" s="163" t="s">
        <v>38</v>
      </c>
      <c r="E61" s="23"/>
      <c r="F61" s="790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93"/>
      <c r="B62" s="255" t="s">
        <v>1455</v>
      </c>
      <c r="C62" s="232" t="s">
        <v>1456</v>
      </c>
      <c r="D62" s="163" t="s">
        <v>38</v>
      </c>
      <c r="E62" s="24"/>
      <c r="F62" s="791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091" t="s">
        <v>1457</v>
      </c>
      <c r="B63" s="251" t="s">
        <v>1458</v>
      </c>
      <c r="C63" s="230" t="s">
        <v>347</v>
      </c>
      <c r="D63" s="159" t="s">
        <v>38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92"/>
      <c r="B64" s="255"/>
      <c r="C64" s="232"/>
      <c r="D64" s="163" t="s">
        <v>42</v>
      </c>
      <c r="E64" s="23"/>
      <c r="F64" s="790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92"/>
      <c r="B65" s="255" t="s">
        <v>1459</v>
      </c>
      <c r="C65" s="232" t="s">
        <v>347</v>
      </c>
      <c r="D65" s="163" t="s">
        <v>38</v>
      </c>
      <c r="E65" s="23"/>
      <c r="F65" s="790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93"/>
      <c r="B66" s="252"/>
      <c r="C66" s="232"/>
      <c r="D66" s="163" t="s">
        <v>42</v>
      </c>
      <c r="E66" s="23"/>
      <c r="F66" s="791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1460</v>
      </c>
      <c r="B67" s="30" t="s">
        <v>1461</v>
      </c>
      <c r="C67" s="270" t="s">
        <v>347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091" t="s">
        <v>1462</v>
      </c>
      <c r="B68" s="28" t="s">
        <v>1424</v>
      </c>
      <c r="C68" s="271" t="s">
        <v>347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93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096" t="s">
        <v>1463</v>
      </c>
      <c r="B70" s="28" t="s">
        <v>1426</v>
      </c>
      <c r="C70" s="271" t="s">
        <v>347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097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096" t="s">
        <v>1464</v>
      </c>
      <c r="B72" s="28" t="s">
        <v>1426</v>
      </c>
      <c r="C72" s="271" t="s">
        <v>347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097"/>
      <c r="B73" s="30"/>
      <c r="C73" s="272"/>
      <c r="D73" s="24" t="s">
        <v>1465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1466</v>
      </c>
      <c r="B74" s="31" t="s">
        <v>1424</v>
      </c>
      <c r="C74" s="273" t="s">
        <v>347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1467</v>
      </c>
      <c r="B75" s="31" t="s">
        <v>114</v>
      </c>
      <c r="C75" s="273" t="s">
        <v>347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05" t="s">
        <v>1468</v>
      </c>
      <c r="B76" s="288" t="s">
        <v>1469</v>
      </c>
      <c r="C76" s="271" t="s">
        <v>347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07" t="s">
        <v>1470</v>
      </c>
      <c r="B77" s="289" t="s">
        <v>69</v>
      </c>
      <c r="C77" s="263" t="s">
        <v>347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1471</v>
      </c>
      <c r="B78" s="158" t="s">
        <v>1472</v>
      </c>
      <c r="C78" s="263" t="s">
        <v>347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1473</v>
      </c>
      <c r="B80" s="30" t="s">
        <v>1474</v>
      </c>
      <c r="C80" s="272" t="s">
        <v>347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096" t="s">
        <v>1475</v>
      </c>
      <c r="B81" s="28" t="s">
        <v>1426</v>
      </c>
      <c r="C81" s="271" t="s">
        <v>347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097"/>
      <c r="B82" s="30"/>
      <c r="C82" s="272"/>
      <c r="D82" s="24" t="s">
        <v>1465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091" t="s">
        <v>1476</v>
      </c>
      <c r="B83" s="28" t="s">
        <v>1477</v>
      </c>
      <c r="C83" s="271" t="s">
        <v>347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92"/>
      <c r="B84" s="29" t="s">
        <v>1478</v>
      </c>
      <c r="C84" s="264" t="s">
        <v>347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92"/>
      <c r="B85" s="29" t="s">
        <v>1479</v>
      </c>
      <c r="C85" s="264" t="s">
        <v>347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92"/>
      <c r="B86" s="29" t="s">
        <v>1480</v>
      </c>
      <c r="C86" s="264" t="s">
        <v>347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92"/>
      <c r="B87" s="29" t="s">
        <v>1481</v>
      </c>
      <c r="C87" s="264" t="s">
        <v>347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92"/>
      <c r="B88" s="29" t="s">
        <v>1482</v>
      </c>
      <c r="C88" s="264" t="s">
        <v>347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92"/>
      <c r="B89" s="29" t="s">
        <v>1483</v>
      </c>
      <c r="C89" s="264" t="s">
        <v>347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92"/>
      <c r="B90" s="29" t="s">
        <v>1484</v>
      </c>
      <c r="C90" s="264" t="s">
        <v>347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93"/>
      <c r="B91" s="30" t="s">
        <v>1485</v>
      </c>
      <c r="C91" s="272" t="s">
        <v>347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091" t="s">
        <v>1486</v>
      </c>
      <c r="B92" s="28" t="s">
        <v>1487</v>
      </c>
      <c r="C92" s="271" t="s">
        <v>347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92"/>
      <c r="B93" s="29" t="s">
        <v>1488</v>
      </c>
      <c r="C93" s="264" t="s">
        <v>347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93"/>
      <c r="B94" s="30" t="s">
        <v>1489</v>
      </c>
      <c r="C94" s="272" t="s">
        <v>347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1490</v>
      </c>
      <c r="B95" s="27" t="s">
        <v>347</v>
      </c>
      <c r="C95" s="274" t="s">
        <v>347</v>
      </c>
      <c r="D95" s="331" t="s">
        <v>1491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1492</v>
      </c>
      <c r="E96" s="12"/>
      <c r="F96" s="13" t="s">
        <v>1493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1494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  <mergeCell ref="C14:C16"/>
    <mergeCell ref="C17:C18"/>
    <mergeCell ref="B3:B13"/>
    <mergeCell ref="B14:B16"/>
    <mergeCell ref="A3:A38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T99"/>
  <sheetViews>
    <sheetView zoomScale="80" zoomScaleNormal="80" workbookViewId="0">
      <pane ySplit="1" topLeftCell="A46" activePane="bottomLeft" state="frozen"/>
      <selection pane="bottomLeft" activeCell="I29" sqref="I29"/>
    </sheetView>
  </sheetViews>
  <sheetFormatPr defaultColWidth="8.88671875" defaultRowHeight="24" customHeight="1"/>
  <cols>
    <col min="1" max="1" width="44.44140625" style="26" customWidth="1"/>
    <col min="2" max="2" width="54.6640625" style="737" customWidth="1"/>
    <col min="3" max="3" width="73.88671875" style="1" customWidth="1"/>
    <col min="4" max="4" width="28.109375" style="736" customWidth="1"/>
    <col min="5" max="5" width="13.5546875" style="736" customWidth="1"/>
    <col min="6" max="6" width="11.6640625" style="1" customWidth="1"/>
    <col min="7" max="7" width="21.109375" style="6" customWidth="1"/>
    <col min="8" max="8" width="20.6640625" style="6" customWidth="1"/>
    <col min="9" max="9" width="20" style="738" customWidth="1"/>
    <col min="10" max="10" width="24.5546875" style="6" customWidth="1"/>
    <col min="11" max="11" width="34.109375" style="6" customWidth="1"/>
    <col min="12" max="12" width="49.33203125" style="1" customWidth="1"/>
    <col min="13" max="13" width="20.109375" style="2" customWidth="1"/>
    <col min="14" max="14" width="15.109375" style="2" customWidth="1"/>
    <col min="15" max="15" width="15.5546875" style="2" customWidth="1"/>
    <col min="16" max="16" width="19.109375" style="2" customWidth="1"/>
    <col min="17" max="17" width="19" style="2" customWidth="1"/>
    <col min="18" max="18" width="27.33203125" style="2" customWidth="1"/>
    <col min="19" max="19" width="18" style="2" customWidth="1"/>
    <col min="20" max="20" width="22.109375" style="2" customWidth="1"/>
    <col min="21" max="16384" width="8.88671875" style="2"/>
  </cols>
  <sheetData>
    <row r="1" spans="1:20" s="746" customFormat="1" ht="70.5" customHeight="1">
      <c r="A1" s="748" t="s">
        <v>15</v>
      </c>
      <c r="B1" s="748" t="s">
        <v>16</v>
      </c>
      <c r="C1" s="748" t="s">
        <v>18</v>
      </c>
      <c r="D1" s="748" t="s">
        <v>19</v>
      </c>
      <c r="E1" s="748" t="s">
        <v>1495</v>
      </c>
      <c r="F1" s="748" t="s">
        <v>1496</v>
      </c>
      <c r="G1" s="1108" t="s">
        <v>22</v>
      </c>
      <c r="H1" s="1108"/>
      <c r="I1" s="1101" t="s">
        <v>23</v>
      </c>
      <c r="J1" s="1101" t="s">
        <v>24</v>
      </c>
      <c r="K1" s="963" t="s">
        <v>3</v>
      </c>
      <c r="L1" s="1114" t="s">
        <v>25</v>
      </c>
      <c r="M1" s="1115" t="s">
        <v>26</v>
      </c>
      <c r="N1" s="1115" t="s">
        <v>27</v>
      </c>
      <c r="O1" s="1115" t="s">
        <v>28</v>
      </c>
      <c r="P1" s="1116" t="s">
        <v>29</v>
      </c>
      <c r="Q1" s="1112" t="s">
        <v>30</v>
      </c>
      <c r="R1" s="749" t="s">
        <v>31</v>
      </c>
      <c r="S1" s="750" t="s">
        <v>32</v>
      </c>
      <c r="T1" s="751" t="s">
        <v>33</v>
      </c>
    </row>
    <row r="2" spans="1:20" s="16" customFormat="1" ht="23.4" customHeight="1">
      <c r="A2" s="748"/>
      <c r="B2" s="752"/>
      <c r="C2" s="753"/>
      <c r="D2" s="754"/>
      <c r="E2" s="754"/>
      <c r="F2" s="753"/>
      <c r="G2" s="811" t="s">
        <v>34</v>
      </c>
      <c r="H2" s="811" t="s">
        <v>35</v>
      </c>
      <c r="I2" s="1102"/>
      <c r="J2" s="1102"/>
      <c r="K2" s="1103"/>
      <c r="L2" s="1114"/>
      <c r="M2" s="1115"/>
      <c r="N2" s="1115"/>
      <c r="O2" s="1115"/>
      <c r="P2" s="1117"/>
      <c r="Q2" s="1113"/>
      <c r="R2" s="755"/>
      <c r="S2" s="756"/>
      <c r="T2" s="756"/>
    </row>
    <row r="3" spans="1:20" s="16" customFormat="1" ht="21">
      <c r="A3" s="810" t="s">
        <v>1377</v>
      </c>
      <c r="B3" s="813" t="s">
        <v>1378</v>
      </c>
      <c r="C3" s="757" t="s">
        <v>42</v>
      </c>
      <c r="D3" s="758" t="s">
        <v>1497</v>
      </c>
      <c r="E3" s="757">
        <v>1</v>
      </c>
      <c r="F3" s="757">
        <v>1</v>
      </c>
      <c r="G3" s="779">
        <v>244499</v>
      </c>
      <c r="H3" s="779">
        <v>244499</v>
      </c>
      <c r="I3" s="739"/>
      <c r="J3" s="825"/>
      <c r="K3" s="739"/>
      <c r="L3" s="744" t="s">
        <v>1498</v>
      </c>
      <c r="M3" s="534">
        <v>0</v>
      </c>
      <c r="N3" s="534">
        <v>0</v>
      </c>
      <c r="O3" s="833">
        <v>0</v>
      </c>
      <c r="P3" s="832">
        <f>IF($G3=0,1,(M3+N3+O3)/($G3*3))</f>
        <v>0</v>
      </c>
      <c r="Q3" s="835"/>
      <c r="R3" s="739"/>
      <c r="S3" s="739"/>
      <c r="T3" s="739"/>
    </row>
    <row r="4" spans="1:20" s="16" customFormat="1" ht="19.5" customHeight="1">
      <c r="A4" s="1107" t="s">
        <v>1379</v>
      </c>
      <c r="B4" s="1111" t="s">
        <v>1499</v>
      </c>
      <c r="C4" s="757" t="s">
        <v>38</v>
      </c>
      <c r="D4" s="758" t="s">
        <v>1500</v>
      </c>
      <c r="E4" s="757">
        <v>5</v>
      </c>
      <c r="F4" s="757">
        <v>5</v>
      </c>
      <c r="G4" s="779">
        <v>244389</v>
      </c>
      <c r="H4" s="779">
        <v>244519</v>
      </c>
      <c r="I4" s="739"/>
      <c r="J4" s="825"/>
      <c r="K4" s="739"/>
      <c r="L4" s="1098" t="s">
        <v>1498</v>
      </c>
      <c r="M4" s="534">
        <v>0</v>
      </c>
      <c r="N4" s="534">
        <v>0</v>
      </c>
      <c r="O4" s="833">
        <v>0</v>
      </c>
      <c r="P4" s="832">
        <f t="shared" ref="P4:P67" si="0">IF($G4=0,1,(M4+N4+O4)/($G4*3))</f>
        <v>0</v>
      </c>
      <c r="Q4" s="835"/>
      <c r="R4" s="739"/>
      <c r="S4" s="739"/>
      <c r="T4" s="739"/>
    </row>
    <row r="5" spans="1:20" s="16" customFormat="1" ht="21">
      <c r="A5" s="1107"/>
      <c r="B5" s="1111"/>
      <c r="C5" s="757" t="s">
        <v>1381</v>
      </c>
      <c r="D5" s="758" t="s">
        <v>1501</v>
      </c>
      <c r="E5" s="757">
        <v>2</v>
      </c>
      <c r="F5" s="757">
        <v>2</v>
      </c>
      <c r="G5" s="779">
        <v>244389</v>
      </c>
      <c r="H5" s="779">
        <v>244519</v>
      </c>
      <c r="I5" s="739"/>
      <c r="J5" s="825"/>
      <c r="K5" s="739"/>
      <c r="L5" s="1098"/>
      <c r="M5" s="534">
        <v>0</v>
      </c>
      <c r="N5" s="534">
        <v>0</v>
      </c>
      <c r="O5" s="833">
        <v>0</v>
      </c>
      <c r="P5" s="832">
        <f t="shared" si="0"/>
        <v>0</v>
      </c>
      <c r="Q5" s="835"/>
      <c r="R5" s="739"/>
      <c r="S5" s="739"/>
      <c r="T5" s="739"/>
    </row>
    <row r="6" spans="1:20" s="16" customFormat="1" ht="21">
      <c r="A6" s="1107"/>
      <c r="B6" s="1111"/>
      <c r="C6" s="757" t="s">
        <v>52</v>
      </c>
      <c r="D6" s="758" t="s">
        <v>1502</v>
      </c>
      <c r="E6" s="757">
        <v>2</v>
      </c>
      <c r="F6" s="757">
        <v>2</v>
      </c>
      <c r="G6" s="779">
        <v>244389</v>
      </c>
      <c r="H6" s="779">
        <v>244519</v>
      </c>
      <c r="I6" s="739"/>
      <c r="J6" s="825"/>
      <c r="K6" s="739"/>
      <c r="L6" s="1098"/>
      <c r="M6" s="534">
        <v>0</v>
      </c>
      <c r="N6" s="534">
        <v>0</v>
      </c>
      <c r="O6" s="833">
        <v>0</v>
      </c>
      <c r="P6" s="832">
        <f t="shared" si="0"/>
        <v>0</v>
      </c>
      <c r="Q6" s="835"/>
      <c r="R6" s="739"/>
      <c r="S6" s="739"/>
      <c r="T6" s="739"/>
    </row>
    <row r="7" spans="1:20" s="16" customFormat="1" ht="21">
      <c r="A7" s="1107"/>
      <c r="B7" s="1111"/>
      <c r="C7" s="757" t="s">
        <v>58</v>
      </c>
      <c r="D7" s="758" t="s">
        <v>59</v>
      </c>
      <c r="E7" s="757">
        <v>2</v>
      </c>
      <c r="F7" s="757">
        <v>2</v>
      </c>
      <c r="G7" s="779">
        <v>244389</v>
      </c>
      <c r="H7" s="779">
        <v>244519</v>
      </c>
      <c r="I7" s="739"/>
      <c r="J7" s="825"/>
      <c r="K7" s="739"/>
      <c r="L7" s="1098"/>
      <c r="M7" s="534">
        <v>0</v>
      </c>
      <c r="N7" s="534">
        <v>0</v>
      </c>
      <c r="O7" s="833">
        <v>0</v>
      </c>
      <c r="P7" s="832">
        <f t="shared" si="0"/>
        <v>0</v>
      </c>
      <c r="Q7" s="835"/>
      <c r="R7" s="739"/>
      <c r="S7" s="739"/>
      <c r="T7" s="739"/>
    </row>
    <row r="8" spans="1:20" s="16" customFormat="1" ht="21">
      <c r="A8" s="1107"/>
      <c r="B8" s="1111"/>
      <c r="C8" s="757" t="s">
        <v>1382</v>
      </c>
      <c r="D8" s="758" t="s">
        <v>1503</v>
      </c>
      <c r="E8" s="757">
        <v>2</v>
      </c>
      <c r="F8" s="757">
        <v>2</v>
      </c>
      <c r="G8" s="779">
        <v>244389</v>
      </c>
      <c r="H8" s="779">
        <v>244519</v>
      </c>
      <c r="I8" s="739"/>
      <c r="J8" s="825"/>
      <c r="K8" s="739"/>
      <c r="L8" s="1098"/>
      <c r="M8" s="534">
        <v>0</v>
      </c>
      <c r="N8" s="534">
        <v>0</v>
      </c>
      <c r="O8" s="833">
        <v>0</v>
      </c>
      <c r="P8" s="832">
        <f t="shared" si="0"/>
        <v>0</v>
      </c>
      <c r="Q8" s="835"/>
      <c r="R8" s="739"/>
      <c r="S8" s="739"/>
      <c r="T8" s="739"/>
    </row>
    <row r="9" spans="1:20" s="16" customFormat="1" ht="21">
      <c r="A9" s="1107"/>
      <c r="B9" s="1111"/>
      <c r="C9" s="757" t="s">
        <v>1383</v>
      </c>
      <c r="D9" s="758" t="s">
        <v>1504</v>
      </c>
      <c r="E9" s="757">
        <v>2</v>
      </c>
      <c r="F9" s="757">
        <v>2</v>
      </c>
      <c r="G9" s="779">
        <v>244389</v>
      </c>
      <c r="H9" s="779">
        <v>244519</v>
      </c>
      <c r="I9" s="739"/>
      <c r="J9" s="825"/>
      <c r="K9" s="739"/>
      <c r="L9" s="1098"/>
      <c r="M9" s="534">
        <v>0</v>
      </c>
      <c r="N9" s="534">
        <v>0</v>
      </c>
      <c r="O9" s="833">
        <v>0</v>
      </c>
      <c r="P9" s="832">
        <f t="shared" si="0"/>
        <v>0</v>
      </c>
      <c r="Q9" s="835"/>
      <c r="R9" s="739"/>
      <c r="S9" s="739"/>
      <c r="T9" s="739"/>
    </row>
    <row r="10" spans="1:20" s="16" customFormat="1" ht="21">
      <c r="A10" s="1107"/>
      <c r="B10" s="1111"/>
      <c r="C10" s="757" t="s">
        <v>1384</v>
      </c>
      <c r="D10" s="758" t="s">
        <v>1504</v>
      </c>
      <c r="E10" s="757">
        <v>2</v>
      </c>
      <c r="F10" s="757">
        <v>2</v>
      </c>
      <c r="G10" s="779">
        <v>244389</v>
      </c>
      <c r="H10" s="779">
        <v>244519</v>
      </c>
      <c r="I10" s="739"/>
      <c r="J10" s="825"/>
      <c r="K10" s="739"/>
      <c r="L10" s="1098"/>
      <c r="M10" s="534">
        <v>0</v>
      </c>
      <c r="N10" s="534">
        <v>0</v>
      </c>
      <c r="O10" s="833">
        <v>0</v>
      </c>
      <c r="P10" s="832">
        <f t="shared" si="0"/>
        <v>0</v>
      </c>
      <c r="Q10" s="835"/>
      <c r="R10" s="739"/>
      <c r="S10" s="739"/>
      <c r="T10" s="739"/>
    </row>
    <row r="11" spans="1:20" s="16" customFormat="1" ht="21">
      <c r="A11" s="1107"/>
      <c r="B11" s="1111"/>
      <c r="C11" s="757" t="s">
        <v>1385</v>
      </c>
      <c r="D11" s="758" t="s">
        <v>1505</v>
      </c>
      <c r="E11" s="757">
        <v>2</v>
      </c>
      <c r="F11" s="757">
        <v>2</v>
      </c>
      <c r="G11" s="779">
        <v>244389</v>
      </c>
      <c r="H11" s="779">
        <v>244519</v>
      </c>
      <c r="I11" s="739"/>
      <c r="J11" s="825"/>
      <c r="K11" s="739"/>
      <c r="L11" s="1098"/>
      <c r="M11" s="534">
        <v>0</v>
      </c>
      <c r="N11" s="534">
        <v>0</v>
      </c>
      <c r="O11" s="833">
        <v>0</v>
      </c>
      <c r="P11" s="832">
        <f t="shared" si="0"/>
        <v>0</v>
      </c>
      <c r="Q11" s="835"/>
      <c r="R11" s="739"/>
      <c r="S11" s="739"/>
      <c r="T11" s="739"/>
    </row>
    <row r="12" spans="1:20" s="16" customFormat="1" ht="21">
      <c r="A12" s="1107"/>
      <c r="B12" s="1111"/>
      <c r="C12" s="757" t="s">
        <v>1506</v>
      </c>
      <c r="D12" s="758" t="s">
        <v>1501</v>
      </c>
      <c r="E12" s="757">
        <v>2</v>
      </c>
      <c r="F12" s="757">
        <v>2</v>
      </c>
      <c r="G12" s="779">
        <v>244389</v>
      </c>
      <c r="H12" s="779">
        <v>244519</v>
      </c>
      <c r="I12" s="739"/>
      <c r="J12" s="825"/>
      <c r="K12" s="739"/>
      <c r="L12" s="1098"/>
      <c r="M12" s="534">
        <v>0</v>
      </c>
      <c r="N12" s="534">
        <v>0</v>
      </c>
      <c r="O12" s="833">
        <v>0</v>
      </c>
      <c r="P12" s="832">
        <f t="shared" si="0"/>
        <v>0</v>
      </c>
      <c r="Q12" s="835"/>
      <c r="R12" s="739"/>
      <c r="S12" s="739"/>
      <c r="T12" s="739"/>
    </row>
    <row r="13" spans="1:20" ht="21">
      <c r="A13" s="1107"/>
      <c r="B13" s="1111"/>
      <c r="C13" s="757" t="s">
        <v>1386</v>
      </c>
      <c r="D13" s="758" t="s">
        <v>1504</v>
      </c>
      <c r="E13" s="757">
        <v>1</v>
      </c>
      <c r="F13" s="757">
        <v>1</v>
      </c>
      <c r="G13" s="779">
        <v>244389</v>
      </c>
      <c r="H13" s="779">
        <v>244519</v>
      </c>
      <c r="I13" s="743"/>
      <c r="J13" s="826"/>
      <c r="K13" s="740"/>
      <c r="L13" s="1098"/>
      <c r="M13" s="534">
        <v>0</v>
      </c>
      <c r="N13" s="534">
        <v>0</v>
      </c>
      <c r="O13" s="833">
        <v>0</v>
      </c>
      <c r="P13" s="832">
        <f t="shared" si="0"/>
        <v>0</v>
      </c>
      <c r="Q13" s="742"/>
      <c r="R13" s="741"/>
      <c r="S13" s="741"/>
      <c r="T13" s="741"/>
    </row>
    <row r="14" spans="1:20" ht="21">
      <c r="A14" s="1107"/>
      <c r="B14" s="1111"/>
      <c r="C14" s="757" t="s">
        <v>1387</v>
      </c>
      <c r="D14" s="758" t="s">
        <v>1507</v>
      </c>
      <c r="E14" s="757">
        <v>1</v>
      </c>
      <c r="F14" s="757">
        <v>1</v>
      </c>
      <c r="G14" s="779">
        <v>244389</v>
      </c>
      <c r="H14" s="779">
        <v>244519</v>
      </c>
      <c r="I14" s="743"/>
      <c r="J14" s="826"/>
      <c r="K14" s="740"/>
      <c r="L14" s="1098"/>
      <c r="M14" s="534">
        <v>0</v>
      </c>
      <c r="N14" s="534">
        <v>0</v>
      </c>
      <c r="O14" s="833">
        <v>0</v>
      </c>
      <c r="P14" s="832">
        <f t="shared" si="0"/>
        <v>0</v>
      </c>
      <c r="Q14" s="742"/>
      <c r="R14" s="741"/>
      <c r="S14" s="741"/>
      <c r="T14" s="741"/>
    </row>
    <row r="15" spans="1:20" ht="24" customHeight="1">
      <c r="A15" s="1107"/>
      <c r="B15" s="1099" t="s">
        <v>1388</v>
      </c>
      <c r="C15" s="757" t="s">
        <v>38</v>
      </c>
      <c r="D15" s="758" t="s">
        <v>1500</v>
      </c>
      <c r="E15" s="757">
        <v>4</v>
      </c>
      <c r="F15" s="757">
        <v>4</v>
      </c>
      <c r="G15" s="779">
        <v>244503</v>
      </c>
      <c r="H15" s="779">
        <v>244504</v>
      </c>
      <c r="I15" s="743"/>
      <c r="J15" s="821"/>
      <c r="K15" s="740"/>
      <c r="L15" s="1109" t="s">
        <v>1498</v>
      </c>
      <c r="M15" s="534">
        <v>0</v>
      </c>
      <c r="N15" s="534">
        <v>0</v>
      </c>
      <c r="O15" s="833">
        <v>0</v>
      </c>
      <c r="P15" s="832">
        <f t="shared" si="0"/>
        <v>0</v>
      </c>
      <c r="Q15" s="742"/>
      <c r="R15" s="741"/>
      <c r="S15" s="741"/>
      <c r="T15" s="741"/>
    </row>
    <row r="16" spans="1:20" ht="24" customHeight="1">
      <c r="A16" s="1107"/>
      <c r="B16" s="1099"/>
      <c r="C16" s="757" t="s">
        <v>42</v>
      </c>
      <c r="D16" s="758" t="s">
        <v>1497</v>
      </c>
      <c r="E16" s="757">
        <v>1</v>
      </c>
      <c r="F16" s="757">
        <v>1</v>
      </c>
      <c r="G16" s="779">
        <v>46106</v>
      </c>
      <c r="H16" s="779">
        <v>46106</v>
      </c>
      <c r="I16" s="779">
        <v>46106</v>
      </c>
      <c r="J16" s="819">
        <v>46106</v>
      </c>
      <c r="K16" s="740"/>
      <c r="L16" s="1110"/>
      <c r="M16" s="534">
        <v>0</v>
      </c>
      <c r="N16" s="534">
        <v>0</v>
      </c>
      <c r="O16" s="833">
        <v>0</v>
      </c>
      <c r="P16" s="832">
        <f t="shared" si="0"/>
        <v>0</v>
      </c>
      <c r="Q16" s="742"/>
      <c r="R16" s="741"/>
      <c r="S16" s="741"/>
      <c r="T16" s="741"/>
    </row>
    <row r="17" spans="1:20" ht="24" customHeight="1">
      <c r="A17" s="1107"/>
      <c r="B17" s="1099"/>
      <c r="C17" s="757" t="s">
        <v>1387</v>
      </c>
      <c r="D17" s="758" t="s">
        <v>1507</v>
      </c>
      <c r="E17" s="757">
        <v>1</v>
      </c>
      <c r="F17" s="757">
        <v>1</v>
      </c>
      <c r="G17" s="779">
        <v>46106</v>
      </c>
      <c r="H17" s="779">
        <v>46106</v>
      </c>
      <c r="I17" s="779">
        <v>46106</v>
      </c>
      <c r="J17" s="819">
        <v>46106</v>
      </c>
      <c r="K17" s="740"/>
      <c r="L17" s="1110"/>
      <c r="M17" s="534">
        <v>0</v>
      </c>
      <c r="N17" s="534">
        <v>0</v>
      </c>
      <c r="O17" s="833">
        <v>0</v>
      </c>
      <c r="P17" s="832">
        <f t="shared" si="0"/>
        <v>0</v>
      </c>
      <c r="Q17" s="742"/>
      <c r="R17" s="741"/>
      <c r="S17" s="741"/>
      <c r="T17" s="741"/>
    </row>
    <row r="18" spans="1:20" ht="24" customHeight="1">
      <c r="A18" s="1107"/>
      <c r="B18" s="1099" t="s">
        <v>1390</v>
      </c>
      <c r="C18" s="757" t="s">
        <v>38</v>
      </c>
      <c r="D18" s="758" t="s">
        <v>1500</v>
      </c>
      <c r="E18" s="757">
        <v>1</v>
      </c>
      <c r="F18" s="757">
        <v>1</v>
      </c>
      <c r="G18" s="779">
        <v>46106</v>
      </c>
      <c r="H18" s="779">
        <v>46106</v>
      </c>
      <c r="I18" s="779">
        <v>46106</v>
      </c>
      <c r="J18" s="819">
        <v>46106</v>
      </c>
      <c r="K18" s="740"/>
      <c r="L18" s="1110" t="s">
        <v>1498</v>
      </c>
      <c r="M18" s="534">
        <v>0</v>
      </c>
      <c r="N18" s="534">
        <v>0</v>
      </c>
      <c r="O18" s="833">
        <v>0</v>
      </c>
      <c r="P18" s="832">
        <f t="shared" si="0"/>
        <v>0</v>
      </c>
      <c r="Q18" s="742"/>
      <c r="R18" s="741"/>
      <c r="S18" s="741"/>
      <c r="T18" s="741"/>
    </row>
    <row r="19" spans="1:20" ht="24" customHeight="1">
      <c r="A19" s="1107"/>
      <c r="B19" s="1099"/>
      <c r="C19" s="757" t="s">
        <v>1387</v>
      </c>
      <c r="D19" s="758" t="s">
        <v>1507</v>
      </c>
      <c r="E19" s="757">
        <v>1</v>
      </c>
      <c r="F19" s="757">
        <v>1</v>
      </c>
      <c r="G19" s="779">
        <v>46106</v>
      </c>
      <c r="H19" s="779">
        <v>46106</v>
      </c>
      <c r="I19" s="779">
        <v>46106</v>
      </c>
      <c r="J19" s="819">
        <v>46106</v>
      </c>
      <c r="K19" s="740"/>
      <c r="L19" s="1110"/>
      <c r="M19" s="534">
        <v>0</v>
      </c>
      <c r="N19" s="534">
        <v>0</v>
      </c>
      <c r="O19" s="833">
        <v>0</v>
      </c>
      <c r="P19" s="832">
        <f t="shared" si="0"/>
        <v>0</v>
      </c>
      <c r="Q19" s="742"/>
      <c r="R19" s="741"/>
      <c r="S19" s="741"/>
      <c r="T19" s="741"/>
    </row>
    <row r="20" spans="1:20" ht="24" customHeight="1">
      <c r="A20" s="1107"/>
      <c r="B20" s="809" t="s">
        <v>1392</v>
      </c>
      <c r="C20" s="757" t="s">
        <v>38</v>
      </c>
      <c r="D20" s="758" t="s">
        <v>1500</v>
      </c>
      <c r="E20" s="757">
        <v>5</v>
      </c>
      <c r="F20" s="757">
        <v>5</v>
      </c>
      <c r="G20" s="779">
        <v>244505</v>
      </c>
      <c r="H20" s="779">
        <v>244506</v>
      </c>
      <c r="I20" s="743"/>
      <c r="J20" s="821"/>
      <c r="K20" s="740"/>
      <c r="L20" s="827" t="s">
        <v>1498</v>
      </c>
      <c r="M20" s="534">
        <v>0</v>
      </c>
      <c r="N20" s="534">
        <v>0</v>
      </c>
      <c r="O20" s="833">
        <v>0</v>
      </c>
      <c r="P20" s="832">
        <f t="shared" si="0"/>
        <v>0</v>
      </c>
      <c r="Q20" s="742"/>
      <c r="R20" s="741"/>
      <c r="S20" s="741"/>
      <c r="T20" s="741"/>
    </row>
    <row r="21" spans="1:20" ht="24" customHeight="1">
      <c r="A21" s="1107"/>
      <c r="B21" s="809" t="s">
        <v>1394</v>
      </c>
      <c r="C21" s="757" t="s">
        <v>38</v>
      </c>
      <c r="D21" s="758" t="s">
        <v>1500</v>
      </c>
      <c r="E21" s="757">
        <v>5</v>
      </c>
      <c r="F21" s="757">
        <v>5</v>
      </c>
      <c r="G21" s="779">
        <v>244508</v>
      </c>
      <c r="H21" s="779">
        <v>244509</v>
      </c>
      <c r="I21" s="743"/>
      <c r="J21" s="821"/>
      <c r="K21" s="740"/>
      <c r="L21" s="744" t="s">
        <v>1498</v>
      </c>
      <c r="M21" s="534">
        <v>0</v>
      </c>
      <c r="N21" s="534">
        <v>0</v>
      </c>
      <c r="O21" s="833">
        <v>0</v>
      </c>
      <c r="P21" s="832">
        <f t="shared" si="0"/>
        <v>0</v>
      </c>
      <c r="Q21" s="742"/>
      <c r="R21" s="741"/>
      <c r="S21" s="741"/>
      <c r="T21" s="741"/>
    </row>
    <row r="22" spans="1:20" ht="24" customHeight="1">
      <c r="A22" s="1107"/>
      <c r="B22" s="809" t="s">
        <v>1396</v>
      </c>
      <c r="C22" s="757" t="s">
        <v>38</v>
      </c>
      <c r="D22" s="758" t="s">
        <v>1500</v>
      </c>
      <c r="E22" s="757">
        <v>5</v>
      </c>
      <c r="F22" s="757">
        <v>5</v>
      </c>
      <c r="G22" s="779">
        <v>244510</v>
      </c>
      <c r="H22" s="779">
        <v>244512</v>
      </c>
      <c r="I22" s="743"/>
      <c r="J22" s="821"/>
      <c r="K22" s="740"/>
      <c r="L22" s="744" t="s">
        <v>1498</v>
      </c>
      <c r="M22" s="534">
        <v>0</v>
      </c>
      <c r="N22" s="534">
        <v>0</v>
      </c>
      <c r="O22" s="833">
        <v>0</v>
      </c>
      <c r="P22" s="832">
        <f t="shared" si="0"/>
        <v>0</v>
      </c>
      <c r="Q22" s="742"/>
      <c r="R22" s="741"/>
      <c r="S22" s="741"/>
      <c r="T22" s="741"/>
    </row>
    <row r="23" spans="1:20" ht="24" customHeight="1">
      <c r="A23" s="1107"/>
      <c r="B23" s="809" t="s">
        <v>1398</v>
      </c>
      <c r="C23" s="757" t="s">
        <v>38</v>
      </c>
      <c r="D23" s="758" t="s">
        <v>1500</v>
      </c>
      <c r="E23" s="757">
        <v>4</v>
      </c>
      <c r="F23" s="757">
        <v>4</v>
      </c>
      <c r="G23" s="779">
        <v>244510</v>
      </c>
      <c r="H23" s="779">
        <v>244512</v>
      </c>
      <c r="I23" s="743"/>
      <c r="J23" s="821"/>
      <c r="K23" s="740"/>
      <c r="L23" s="744" t="s">
        <v>1498</v>
      </c>
      <c r="M23" s="534">
        <v>0</v>
      </c>
      <c r="N23" s="534">
        <v>0</v>
      </c>
      <c r="O23" s="833">
        <v>0</v>
      </c>
      <c r="P23" s="832">
        <f t="shared" si="0"/>
        <v>0</v>
      </c>
      <c r="Q23" s="742"/>
      <c r="R23" s="741"/>
      <c r="S23" s="741"/>
      <c r="T23" s="741"/>
    </row>
    <row r="24" spans="1:20" ht="24" customHeight="1">
      <c r="A24" s="1107"/>
      <c r="B24" s="809" t="s">
        <v>1400</v>
      </c>
      <c r="C24" s="757" t="s">
        <v>38</v>
      </c>
      <c r="D24" s="758" t="s">
        <v>1500</v>
      </c>
      <c r="E24" s="757">
        <v>3</v>
      </c>
      <c r="F24" s="757">
        <v>3</v>
      </c>
      <c r="G24" s="779">
        <v>244513</v>
      </c>
      <c r="H24" s="779">
        <v>244515</v>
      </c>
      <c r="I24" s="743"/>
      <c r="J24" s="821"/>
      <c r="K24" s="740"/>
      <c r="L24" s="744" t="s">
        <v>1498</v>
      </c>
      <c r="M24" s="534">
        <v>0</v>
      </c>
      <c r="N24" s="534">
        <v>0</v>
      </c>
      <c r="O24" s="833">
        <v>0</v>
      </c>
      <c r="P24" s="832">
        <f t="shared" si="0"/>
        <v>0</v>
      </c>
      <c r="Q24" s="742"/>
      <c r="R24" s="741"/>
      <c r="S24" s="741"/>
      <c r="T24" s="741"/>
    </row>
    <row r="25" spans="1:20" ht="24" customHeight="1">
      <c r="A25" s="1107"/>
      <c r="B25" s="809" t="s">
        <v>1402</v>
      </c>
      <c r="C25" s="757" t="s">
        <v>38</v>
      </c>
      <c r="D25" s="758" t="s">
        <v>1500</v>
      </c>
      <c r="E25" s="757">
        <v>4</v>
      </c>
      <c r="F25" s="757">
        <v>4</v>
      </c>
      <c r="G25" s="779">
        <v>244513</v>
      </c>
      <c r="H25" s="779">
        <v>244515</v>
      </c>
      <c r="I25" s="743"/>
      <c r="J25" s="821"/>
      <c r="K25" s="740"/>
      <c r="L25" s="744" t="s">
        <v>1498</v>
      </c>
      <c r="M25" s="534">
        <v>0</v>
      </c>
      <c r="N25" s="534">
        <v>0</v>
      </c>
      <c r="O25" s="833">
        <v>0</v>
      </c>
      <c r="P25" s="832">
        <f t="shared" si="0"/>
        <v>0</v>
      </c>
      <c r="Q25" s="742"/>
      <c r="R25" s="741"/>
      <c r="S25" s="741"/>
      <c r="T25" s="741"/>
    </row>
    <row r="26" spans="1:20" ht="24" customHeight="1">
      <c r="A26" s="1107"/>
      <c r="B26" s="809" t="s">
        <v>1404</v>
      </c>
      <c r="C26" s="757" t="s">
        <v>38</v>
      </c>
      <c r="D26" s="758" t="s">
        <v>1500</v>
      </c>
      <c r="E26" s="757">
        <v>2</v>
      </c>
      <c r="F26" s="757">
        <v>2</v>
      </c>
      <c r="G26" s="779">
        <v>244505</v>
      </c>
      <c r="H26" s="779">
        <v>244506</v>
      </c>
      <c r="I26" s="743"/>
      <c r="J26" s="821"/>
      <c r="K26" s="740"/>
      <c r="L26" s="744" t="s">
        <v>1498</v>
      </c>
      <c r="M26" s="534">
        <v>0</v>
      </c>
      <c r="N26" s="534">
        <v>0</v>
      </c>
      <c r="O26" s="833">
        <v>0</v>
      </c>
      <c r="P26" s="832">
        <f t="shared" si="0"/>
        <v>0</v>
      </c>
      <c r="Q26" s="742"/>
      <c r="R26" s="741"/>
      <c r="S26" s="741"/>
      <c r="T26" s="741"/>
    </row>
    <row r="27" spans="1:20" ht="24" customHeight="1">
      <c r="A27" s="1107"/>
      <c r="B27" s="809" t="s">
        <v>1406</v>
      </c>
      <c r="C27" s="757" t="s">
        <v>38</v>
      </c>
      <c r="D27" s="758" t="s">
        <v>1500</v>
      </c>
      <c r="E27" s="757">
        <v>4</v>
      </c>
      <c r="F27" s="757">
        <v>4</v>
      </c>
      <c r="G27" s="779">
        <v>244508</v>
      </c>
      <c r="H27" s="779">
        <v>244509</v>
      </c>
      <c r="I27" s="743"/>
      <c r="J27" s="821"/>
      <c r="K27" s="740"/>
      <c r="L27" s="744" t="s">
        <v>1498</v>
      </c>
      <c r="M27" s="534">
        <v>0</v>
      </c>
      <c r="N27" s="534">
        <v>0</v>
      </c>
      <c r="O27" s="833">
        <v>0</v>
      </c>
      <c r="P27" s="832">
        <f t="shared" si="0"/>
        <v>0</v>
      </c>
      <c r="Q27" s="742"/>
      <c r="R27" s="741"/>
      <c r="S27" s="741"/>
      <c r="T27" s="741"/>
    </row>
    <row r="28" spans="1:20" ht="24" customHeight="1">
      <c r="A28" s="1107"/>
      <c r="B28" s="809" t="s">
        <v>1408</v>
      </c>
      <c r="C28" s="757" t="s">
        <v>38</v>
      </c>
      <c r="D28" s="758" t="s">
        <v>1500</v>
      </c>
      <c r="E28" s="757">
        <v>3</v>
      </c>
      <c r="F28" s="757">
        <v>3</v>
      </c>
      <c r="G28" s="779">
        <v>244510</v>
      </c>
      <c r="H28" s="779">
        <v>244512</v>
      </c>
      <c r="I28" s="743"/>
      <c r="J28" s="821"/>
      <c r="K28" s="740"/>
      <c r="L28" s="744" t="s">
        <v>1498</v>
      </c>
      <c r="M28" s="534">
        <v>0</v>
      </c>
      <c r="N28" s="534">
        <v>0</v>
      </c>
      <c r="O28" s="833">
        <v>0</v>
      </c>
      <c r="P28" s="832">
        <f t="shared" si="0"/>
        <v>0</v>
      </c>
      <c r="Q28" s="742"/>
      <c r="R28" s="741"/>
      <c r="S28" s="741"/>
      <c r="T28" s="741"/>
    </row>
    <row r="29" spans="1:20" ht="24" customHeight="1">
      <c r="A29" s="1107"/>
      <c r="B29" s="809" t="s">
        <v>1410</v>
      </c>
      <c r="C29" s="757" t="s">
        <v>38</v>
      </c>
      <c r="D29" s="758" t="s">
        <v>1500</v>
      </c>
      <c r="E29" s="757">
        <v>4</v>
      </c>
      <c r="F29" s="757">
        <v>4</v>
      </c>
      <c r="G29" s="779">
        <v>244513</v>
      </c>
      <c r="H29" s="779">
        <v>244515</v>
      </c>
      <c r="I29" s="743"/>
      <c r="J29" s="821"/>
      <c r="K29" s="740"/>
      <c r="L29" s="744" t="s">
        <v>1498</v>
      </c>
      <c r="M29" s="534">
        <v>0</v>
      </c>
      <c r="N29" s="534">
        <v>0</v>
      </c>
      <c r="O29" s="833">
        <v>0</v>
      </c>
      <c r="P29" s="832">
        <f t="shared" si="0"/>
        <v>0</v>
      </c>
      <c r="Q29" s="742"/>
      <c r="R29" s="741"/>
      <c r="S29" s="741"/>
      <c r="T29" s="741"/>
    </row>
    <row r="30" spans="1:20" ht="24" customHeight="1">
      <c r="A30" s="1107"/>
      <c r="B30" s="809" t="s">
        <v>1412</v>
      </c>
      <c r="C30" s="757" t="s">
        <v>38</v>
      </c>
      <c r="D30" s="758" t="s">
        <v>1500</v>
      </c>
      <c r="E30" s="757">
        <v>1</v>
      </c>
      <c r="F30" s="757">
        <v>1</v>
      </c>
      <c r="G30" s="779">
        <v>244519</v>
      </c>
      <c r="H30" s="779">
        <v>244519</v>
      </c>
      <c r="I30" s="743"/>
      <c r="J30" s="821"/>
      <c r="K30" s="740"/>
      <c r="L30" s="744" t="s">
        <v>1498</v>
      </c>
      <c r="M30" s="534">
        <v>0</v>
      </c>
      <c r="N30" s="534">
        <v>0</v>
      </c>
      <c r="O30" s="833">
        <v>0</v>
      </c>
      <c r="P30" s="832">
        <f t="shared" si="0"/>
        <v>0</v>
      </c>
      <c r="Q30" s="742"/>
      <c r="R30" s="741"/>
      <c r="S30" s="741"/>
      <c r="T30" s="741"/>
    </row>
    <row r="31" spans="1:20" ht="24" customHeight="1">
      <c r="A31" s="1107"/>
      <c r="B31" s="1099" t="s">
        <v>1414</v>
      </c>
      <c r="C31" s="757" t="s">
        <v>38</v>
      </c>
      <c r="D31" s="758" t="s">
        <v>1500</v>
      </c>
      <c r="E31" s="757">
        <v>1</v>
      </c>
      <c r="F31" s="757">
        <v>1</v>
      </c>
      <c r="G31" s="779">
        <v>244519</v>
      </c>
      <c r="H31" s="779">
        <v>244519</v>
      </c>
      <c r="I31" s="743"/>
      <c r="J31" s="821"/>
      <c r="K31" s="740"/>
      <c r="L31" s="1098" t="s">
        <v>1498</v>
      </c>
      <c r="M31" s="534">
        <v>0</v>
      </c>
      <c r="N31" s="534">
        <v>0</v>
      </c>
      <c r="O31" s="833">
        <v>0</v>
      </c>
      <c r="P31" s="832">
        <f t="shared" si="0"/>
        <v>0</v>
      </c>
      <c r="Q31" s="742"/>
      <c r="R31" s="741"/>
      <c r="S31" s="741"/>
      <c r="T31" s="741"/>
    </row>
    <row r="32" spans="1:20" ht="24" customHeight="1">
      <c r="A32" s="1107"/>
      <c r="B32" s="1099"/>
      <c r="C32" s="757" t="s">
        <v>42</v>
      </c>
      <c r="D32" s="758" t="s">
        <v>1497</v>
      </c>
      <c r="E32" s="757">
        <v>1</v>
      </c>
      <c r="F32" s="757">
        <v>1</v>
      </c>
      <c r="G32" s="779">
        <v>244519</v>
      </c>
      <c r="H32" s="779">
        <v>244519</v>
      </c>
      <c r="I32" s="743"/>
      <c r="J32" s="821"/>
      <c r="K32" s="740"/>
      <c r="L32" s="1098"/>
      <c r="M32" s="534">
        <v>0</v>
      </c>
      <c r="N32" s="534">
        <v>0</v>
      </c>
      <c r="O32" s="833">
        <v>0</v>
      </c>
      <c r="P32" s="832">
        <f t="shared" si="0"/>
        <v>0</v>
      </c>
      <c r="Q32" s="742"/>
      <c r="R32" s="741"/>
      <c r="S32" s="741"/>
      <c r="T32" s="741"/>
    </row>
    <row r="33" spans="1:20" ht="24" customHeight="1">
      <c r="A33" s="1107"/>
      <c r="B33" s="813" t="s">
        <v>1508</v>
      </c>
      <c r="C33" s="757" t="s">
        <v>38</v>
      </c>
      <c r="D33" s="758" t="s">
        <v>1500</v>
      </c>
      <c r="E33" s="757">
        <v>4</v>
      </c>
      <c r="F33" s="759" t="s">
        <v>40</v>
      </c>
      <c r="G33" s="829" t="s">
        <v>40</v>
      </c>
      <c r="H33" s="829" t="s">
        <v>40</v>
      </c>
      <c r="I33" s="779"/>
      <c r="J33" s="779"/>
      <c r="K33" s="740"/>
      <c r="L33" s="744" t="s">
        <v>1509</v>
      </c>
      <c r="M33" s="534"/>
      <c r="N33" s="534"/>
      <c r="O33" s="833"/>
      <c r="P33" s="832"/>
      <c r="Q33" s="742"/>
      <c r="R33" s="741"/>
      <c r="S33" s="741"/>
      <c r="T33" s="741"/>
    </row>
    <row r="34" spans="1:20" ht="24" customHeight="1">
      <c r="A34" s="1107"/>
      <c r="B34" s="809" t="s">
        <v>1510</v>
      </c>
      <c r="C34" s="757" t="s">
        <v>38</v>
      </c>
      <c r="D34" s="758" t="s">
        <v>1500</v>
      </c>
      <c r="E34" s="757">
        <v>1</v>
      </c>
      <c r="F34" s="757">
        <v>2</v>
      </c>
      <c r="G34" s="779">
        <v>244517</v>
      </c>
      <c r="H34" s="779">
        <v>244518</v>
      </c>
      <c r="I34" s="743"/>
      <c r="J34" s="821"/>
      <c r="K34" s="740"/>
      <c r="L34" s="744" t="s">
        <v>1498</v>
      </c>
      <c r="M34" s="534">
        <v>0</v>
      </c>
      <c r="N34" s="534">
        <v>0</v>
      </c>
      <c r="O34" s="833">
        <v>0</v>
      </c>
      <c r="P34" s="832">
        <f t="shared" si="0"/>
        <v>0</v>
      </c>
      <c r="Q34" s="742"/>
      <c r="R34" s="741"/>
      <c r="S34" s="741"/>
      <c r="T34" s="741"/>
    </row>
    <row r="35" spans="1:20" ht="24" customHeight="1">
      <c r="A35" s="1107"/>
      <c r="B35" s="809" t="s">
        <v>1511</v>
      </c>
      <c r="C35" s="757" t="s">
        <v>38</v>
      </c>
      <c r="D35" s="758" t="s">
        <v>1500</v>
      </c>
      <c r="E35" s="757">
        <v>1</v>
      </c>
      <c r="F35" s="757">
        <v>2</v>
      </c>
      <c r="G35" s="779">
        <v>244517</v>
      </c>
      <c r="H35" s="779">
        <v>244518</v>
      </c>
      <c r="I35" s="743"/>
      <c r="J35" s="821"/>
      <c r="K35" s="740"/>
      <c r="L35" s="744" t="s">
        <v>1498</v>
      </c>
      <c r="M35" s="534">
        <v>0</v>
      </c>
      <c r="N35" s="534">
        <v>0</v>
      </c>
      <c r="O35" s="833">
        <v>0</v>
      </c>
      <c r="P35" s="832">
        <f t="shared" si="0"/>
        <v>0</v>
      </c>
      <c r="Q35" s="742"/>
      <c r="R35" s="741"/>
      <c r="S35" s="741"/>
      <c r="T35" s="741"/>
    </row>
    <row r="36" spans="1:20" ht="24" customHeight="1">
      <c r="A36" s="1107" t="s">
        <v>1498</v>
      </c>
      <c r="B36" s="809" t="s">
        <v>1512</v>
      </c>
      <c r="C36" s="757" t="s">
        <v>38</v>
      </c>
      <c r="D36" s="758" t="s">
        <v>1500</v>
      </c>
      <c r="E36" s="757">
        <v>1</v>
      </c>
      <c r="F36" s="757">
        <v>2</v>
      </c>
      <c r="G36" s="779">
        <v>244516</v>
      </c>
      <c r="H36" s="779">
        <v>244517</v>
      </c>
      <c r="I36" s="743"/>
      <c r="J36" s="821"/>
      <c r="K36" s="740"/>
      <c r="L36" s="744" t="s">
        <v>1498</v>
      </c>
      <c r="M36" s="534">
        <v>0</v>
      </c>
      <c r="N36" s="534">
        <v>0</v>
      </c>
      <c r="O36" s="833">
        <v>0</v>
      </c>
      <c r="P36" s="832">
        <f t="shared" si="0"/>
        <v>0</v>
      </c>
      <c r="Q36" s="742"/>
      <c r="R36" s="741"/>
      <c r="S36" s="741"/>
      <c r="T36" s="741"/>
    </row>
    <row r="37" spans="1:20" ht="24" customHeight="1">
      <c r="A37" s="1107"/>
      <c r="B37" s="809" t="s">
        <v>1513</v>
      </c>
      <c r="C37" s="757" t="s">
        <v>38</v>
      </c>
      <c r="D37" s="758" t="s">
        <v>1500</v>
      </c>
      <c r="E37" s="757">
        <v>1</v>
      </c>
      <c r="F37" s="757">
        <v>2</v>
      </c>
      <c r="G37" s="779">
        <v>244516</v>
      </c>
      <c r="H37" s="779">
        <v>244517</v>
      </c>
      <c r="I37" s="743"/>
      <c r="J37" s="821"/>
      <c r="K37" s="740"/>
      <c r="L37" s="744" t="s">
        <v>1498</v>
      </c>
      <c r="M37" s="534">
        <v>0</v>
      </c>
      <c r="N37" s="534">
        <v>0</v>
      </c>
      <c r="O37" s="833">
        <v>0</v>
      </c>
      <c r="P37" s="832">
        <f t="shared" si="0"/>
        <v>0</v>
      </c>
      <c r="Q37" s="742"/>
      <c r="R37" s="741"/>
      <c r="S37" s="741"/>
      <c r="T37" s="741"/>
    </row>
    <row r="38" spans="1:20" ht="24" customHeight="1">
      <c r="A38" s="1100" t="s">
        <v>1423</v>
      </c>
      <c r="B38" s="1099" t="s">
        <v>1424</v>
      </c>
      <c r="C38" s="757" t="s">
        <v>1386</v>
      </c>
      <c r="D38" s="758" t="s">
        <v>1504</v>
      </c>
      <c r="E38" s="757">
        <v>1</v>
      </c>
      <c r="F38" s="757">
        <v>1</v>
      </c>
      <c r="G38" s="779">
        <v>244499</v>
      </c>
      <c r="H38" s="779">
        <v>244499</v>
      </c>
      <c r="I38" s="743"/>
      <c r="J38" s="821"/>
      <c r="K38" s="740"/>
      <c r="L38" s="1098" t="s">
        <v>1498</v>
      </c>
      <c r="M38" s="534">
        <v>0</v>
      </c>
      <c r="N38" s="534">
        <v>0</v>
      </c>
      <c r="O38" s="833">
        <v>0</v>
      </c>
      <c r="P38" s="832">
        <f t="shared" si="0"/>
        <v>0</v>
      </c>
      <c r="Q38" s="742"/>
      <c r="R38" s="741"/>
      <c r="S38" s="741"/>
      <c r="T38" s="741"/>
    </row>
    <row r="39" spans="1:20" ht="24" customHeight="1">
      <c r="A39" s="1100"/>
      <c r="B39" s="1099"/>
      <c r="C39" s="757" t="s">
        <v>42</v>
      </c>
      <c r="D39" s="758" t="s">
        <v>1497</v>
      </c>
      <c r="E39" s="759" t="s">
        <v>40</v>
      </c>
      <c r="F39" s="757">
        <v>1</v>
      </c>
      <c r="G39" s="779">
        <v>244499</v>
      </c>
      <c r="H39" s="779">
        <v>244499</v>
      </c>
      <c r="I39" s="743"/>
      <c r="J39" s="821"/>
      <c r="K39" s="740"/>
      <c r="L39" s="1098"/>
      <c r="M39" s="534">
        <v>0</v>
      </c>
      <c r="N39" s="534">
        <v>0</v>
      </c>
      <c r="O39" s="833">
        <v>0</v>
      </c>
      <c r="P39" s="832">
        <f t="shared" si="0"/>
        <v>0</v>
      </c>
      <c r="Q39" s="742"/>
      <c r="R39" s="741"/>
      <c r="S39" s="741"/>
      <c r="T39" s="741"/>
    </row>
    <row r="40" spans="1:20" ht="24" customHeight="1">
      <c r="A40" s="1100" t="s">
        <v>1425</v>
      </c>
      <c r="B40" s="809" t="s">
        <v>1426</v>
      </c>
      <c r="C40" s="757" t="s">
        <v>1386</v>
      </c>
      <c r="D40" s="758" t="s">
        <v>1504</v>
      </c>
      <c r="E40" s="757">
        <v>2</v>
      </c>
      <c r="F40" s="757">
        <v>2</v>
      </c>
      <c r="G40" s="779">
        <v>46106</v>
      </c>
      <c r="H40" s="779">
        <v>46106</v>
      </c>
      <c r="I40" s="779">
        <v>46106</v>
      </c>
      <c r="J40" s="779">
        <v>46106</v>
      </c>
      <c r="K40" s="740"/>
      <c r="L40" s="744" t="s">
        <v>1498</v>
      </c>
      <c r="M40" s="534">
        <v>0</v>
      </c>
      <c r="N40" s="534">
        <v>0</v>
      </c>
      <c r="O40" s="833">
        <v>0</v>
      </c>
      <c r="P40" s="832">
        <f>IF($G40=0,1,(M40+N40+O40)/($G40*3))</f>
        <v>0</v>
      </c>
      <c r="Q40" s="742"/>
      <c r="R40" s="741"/>
      <c r="S40" s="741"/>
      <c r="T40" s="741"/>
    </row>
    <row r="41" spans="1:20" ht="24" customHeight="1">
      <c r="A41" s="1100"/>
      <c r="B41" s="809" t="s">
        <v>1514</v>
      </c>
      <c r="C41" s="757" t="s">
        <v>42</v>
      </c>
      <c r="D41" s="758" t="s">
        <v>1497</v>
      </c>
      <c r="E41" s="757">
        <v>1</v>
      </c>
      <c r="F41" s="757">
        <v>1</v>
      </c>
      <c r="G41" s="779">
        <v>46106</v>
      </c>
      <c r="H41" s="779">
        <v>46106</v>
      </c>
      <c r="I41" s="779">
        <v>46106</v>
      </c>
      <c r="J41" s="779">
        <v>46106</v>
      </c>
      <c r="K41" s="740"/>
      <c r="L41" s="744" t="s">
        <v>1515</v>
      </c>
      <c r="M41" s="534">
        <v>0</v>
      </c>
      <c r="N41" s="534">
        <v>0</v>
      </c>
      <c r="O41" s="833">
        <v>0</v>
      </c>
      <c r="P41" s="832">
        <f t="shared" si="0"/>
        <v>0</v>
      </c>
      <c r="Q41" s="742"/>
      <c r="R41" s="741"/>
      <c r="S41" s="741"/>
      <c r="T41" s="741"/>
    </row>
    <row r="42" spans="1:20" ht="24" customHeight="1">
      <c r="A42" s="1100" t="s">
        <v>1428</v>
      </c>
      <c r="B42" s="809" t="s">
        <v>1516</v>
      </c>
      <c r="C42" s="757" t="s">
        <v>42</v>
      </c>
      <c r="D42" s="758" t="s">
        <v>1497</v>
      </c>
      <c r="E42" s="757">
        <v>1</v>
      </c>
      <c r="F42" s="757">
        <v>6</v>
      </c>
      <c r="G42" s="779">
        <v>244466</v>
      </c>
      <c r="H42" s="779">
        <v>244467</v>
      </c>
      <c r="I42" s="743"/>
      <c r="J42" s="821"/>
      <c r="K42" s="740"/>
      <c r="L42" s="744" t="s">
        <v>1517</v>
      </c>
      <c r="M42" s="534">
        <v>0</v>
      </c>
      <c r="N42" s="534">
        <v>0</v>
      </c>
      <c r="O42" s="833">
        <v>0</v>
      </c>
      <c r="P42" s="832">
        <f t="shared" si="0"/>
        <v>0</v>
      </c>
      <c r="Q42" s="742"/>
      <c r="R42" s="741"/>
      <c r="S42" s="741"/>
      <c r="T42" s="741"/>
    </row>
    <row r="43" spans="1:20" ht="24" customHeight="1">
      <c r="A43" s="1100"/>
      <c r="B43" s="1099" t="s">
        <v>1518</v>
      </c>
      <c r="C43" s="757" t="s">
        <v>1386</v>
      </c>
      <c r="D43" s="758" t="s">
        <v>1504</v>
      </c>
      <c r="E43" s="757">
        <v>2</v>
      </c>
      <c r="F43" s="757">
        <v>2</v>
      </c>
      <c r="G43" s="779">
        <v>244462</v>
      </c>
      <c r="H43" s="779">
        <v>244463</v>
      </c>
      <c r="I43" s="743"/>
      <c r="J43" s="821"/>
      <c r="K43" s="740"/>
      <c r="L43" s="1098" t="s">
        <v>1519</v>
      </c>
      <c r="M43" s="534">
        <v>0</v>
      </c>
      <c r="N43" s="534">
        <v>0</v>
      </c>
      <c r="O43" s="833">
        <v>0</v>
      </c>
      <c r="P43" s="832">
        <f t="shared" si="0"/>
        <v>0</v>
      </c>
      <c r="Q43" s="742"/>
      <c r="R43" s="741"/>
      <c r="S43" s="741"/>
      <c r="T43" s="741"/>
    </row>
    <row r="44" spans="1:20" ht="24" customHeight="1">
      <c r="A44" s="1100"/>
      <c r="B44" s="1099"/>
      <c r="C44" s="757" t="s">
        <v>42</v>
      </c>
      <c r="D44" s="758" t="s">
        <v>1497</v>
      </c>
      <c r="E44" s="759" t="s">
        <v>40</v>
      </c>
      <c r="F44" s="757">
        <v>6</v>
      </c>
      <c r="G44" s="779">
        <v>244462</v>
      </c>
      <c r="H44" s="779">
        <v>244463</v>
      </c>
      <c r="I44" s="743"/>
      <c r="J44" s="821"/>
      <c r="K44" s="740"/>
      <c r="L44" s="1098"/>
      <c r="M44" s="534">
        <v>0</v>
      </c>
      <c r="N44" s="534">
        <v>0</v>
      </c>
      <c r="O44" s="833">
        <v>0</v>
      </c>
      <c r="P44" s="832">
        <f t="shared" si="0"/>
        <v>0</v>
      </c>
      <c r="Q44" s="742"/>
      <c r="R44" s="741"/>
      <c r="S44" s="741"/>
      <c r="T44" s="741"/>
    </row>
    <row r="45" spans="1:20" ht="24" customHeight="1">
      <c r="A45" s="1100"/>
      <c r="B45" s="1099" t="s">
        <v>1520</v>
      </c>
      <c r="C45" s="757" t="s">
        <v>38</v>
      </c>
      <c r="D45" s="758" t="s">
        <v>1500</v>
      </c>
      <c r="E45" s="757">
        <v>2</v>
      </c>
      <c r="F45" s="757">
        <v>2</v>
      </c>
      <c r="G45" s="779">
        <v>244480</v>
      </c>
      <c r="H45" s="779">
        <v>244483</v>
      </c>
      <c r="I45" s="743"/>
      <c r="J45" s="821"/>
      <c r="K45" s="740"/>
      <c r="L45" s="1098" t="s">
        <v>1521</v>
      </c>
      <c r="M45" s="534">
        <v>0</v>
      </c>
      <c r="N45" s="534">
        <v>0</v>
      </c>
      <c r="O45" s="833">
        <v>0</v>
      </c>
      <c r="P45" s="832">
        <f t="shared" si="0"/>
        <v>0</v>
      </c>
      <c r="Q45" s="742"/>
      <c r="R45" s="741"/>
      <c r="S45" s="741"/>
      <c r="T45" s="741"/>
    </row>
    <row r="46" spans="1:20" ht="24" customHeight="1">
      <c r="A46" s="1100"/>
      <c r="B46" s="1099"/>
      <c r="C46" s="757" t="s">
        <v>42</v>
      </c>
      <c r="D46" s="758" t="s">
        <v>1497</v>
      </c>
      <c r="E46" s="757">
        <v>7</v>
      </c>
      <c r="F46" s="757">
        <v>6</v>
      </c>
      <c r="G46" s="779">
        <v>244480</v>
      </c>
      <c r="H46" s="779">
        <v>244483</v>
      </c>
      <c r="I46" s="743"/>
      <c r="J46" s="821"/>
      <c r="K46" s="740"/>
      <c r="L46" s="1098"/>
      <c r="M46" s="534">
        <v>0</v>
      </c>
      <c r="N46" s="534">
        <v>0</v>
      </c>
      <c r="O46" s="833">
        <v>0</v>
      </c>
      <c r="P46" s="832">
        <f t="shared" si="0"/>
        <v>0</v>
      </c>
      <c r="Q46" s="742"/>
      <c r="R46" s="741"/>
      <c r="S46" s="741"/>
      <c r="T46" s="741"/>
    </row>
    <row r="47" spans="1:20" ht="24" customHeight="1">
      <c r="A47" s="1100"/>
      <c r="B47" s="809" t="s">
        <v>1522</v>
      </c>
      <c r="C47" s="757" t="s">
        <v>38</v>
      </c>
      <c r="D47" s="758" t="s">
        <v>1500</v>
      </c>
      <c r="E47" s="757">
        <v>1</v>
      </c>
      <c r="F47" s="757">
        <v>1</v>
      </c>
      <c r="G47" s="779">
        <v>244480</v>
      </c>
      <c r="H47" s="779">
        <v>244483</v>
      </c>
      <c r="I47" s="743"/>
      <c r="J47" s="821"/>
      <c r="K47" s="740"/>
      <c r="L47" s="744" t="s">
        <v>1523</v>
      </c>
      <c r="M47" s="534">
        <v>0</v>
      </c>
      <c r="N47" s="534">
        <v>0</v>
      </c>
      <c r="O47" s="833">
        <v>0</v>
      </c>
      <c r="P47" s="832">
        <f t="shared" si="0"/>
        <v>0</v>
      </c>
      <c r="Q47" s="742"/>
      <c r="R47" s="741"/>
      <c r="S47" s="741"/>
      <c r="T47" s="741"/>
    </row>
    <row r="48" spans="1:20" ht="24" customHeight="1">
      <c r="A48" s="1100"/>
      <c r="B48" s="809" t="s">
        <v>1524</v>
      </c>
      <c r="C48" s="757" t="s">
        <v>42</v>
      </c>
      <c r="D48" s="758" t="s">
        <v>1497</v>
      </c>
      <c r="E48" s="757">
        <v>13</v>
      </c>
      <c r="F48" s="757">
        <v>11</v>
      </c>
      <c r="G48" s="779">
        <v>244474</v>
      </c>
      <c r="H48" s="779">
        <v>244477</v>
      </c>
      <c r="I48" s="743"/>
      <c r="J48" s="821"/>
      <c r="K48" s="740"/>
      <c r="L48" s="744" t="s">
        <v>1525</v>
      </c>
      <c r="M48" s="534">
        <v>0</v>
      </c>
      <c r="N48" s="534">
        <v>0</v>
      </c>
      <c r="O48" s="833">
        <v>0</v>
      </c>
      <c r="P48" s="832">
        <f t="shared" si="0"/>
        <v>0</v>
      </c>
      <c r="Q48" s="742"/>
      <c r="R48" s="741"/>
      <c r="S48" s="741"/>
      <c r="T48" s="741"/>
    </row>
    <row r="49" spans="1:20" ht="24" customHeight="1">
      <c r="A49" s="1100"/>
      <c r="B49" s="809" t="s">
        <v>1526</v>
      </c>
      <c r="C49" s="757" t="s">
        <v>42</v>
      </c>
      <c r="D49" s="758" t="s">
        <v>1497</v>
      </c>
      <c r="E49" s="757">
        <v>1</v>
      </c>
      <c r="F49" s="757">
        <v>6</v>
      </c>
      <c r="G49" s="779">
        <v>244468</v>
      </c>
      <c r="H49" s="779">
        <v>244469</v>
      </c>
      <c r="I49" s="743"/>
      <c r="J49" s="821"/>
      <c r="K49" s="740"/>
      <c r="L49" s="744" t="s">
        <v>1527</v>
      </c>
      <c r="M49" s="534">
        <v>0</v>
      </c>
      <c r="N49" s="534">
        <v>0</v>
      </c>
      <c r="O49" s="833">
        <v>0</v>
      </c>
      <c r="P49" s="832">
        <f t="shared" si="0"/>
        <v>0</v>
      </c>
      <c r="Q49" s="742"/>
      <c r="R49" s="741"/>
      <c r="S49" s="741"/>
      <c r="T49" s="741"/>
    </row>
    <row r="50" spans="1:20" ht="24" customHeight="1">
      <c r="A50" s="810" t="s">
        <v>130</v>
      </c>
      <c r="B50" s="809" t="s">
        <v>1437</v>
      </c>
      <c r="C50" s="757" t="s">
        <v>1386</v>
      </c>
      <c r="D50" s="758" t="s">
        <v>1504</v>
      </c>
      <c r="E50" s="757">
        <v>1</v>
      </c>
      <c r="F50" s="757">
        <v>1</v>
      </c>
      <c r="G50" s="779">
        <v>244485</v>
      </c>
      <c r="H50" s="779">
        <v>244485</v>
      </c>
      <c r="I50" s="743"/>
      <c r="J50" s="821"/>
      <c r="K50" s="740"/>
      <c r="L50" s="744" t="s">
        <v>1498</v>
      </c>
      <c r="M50" s="534">
        <v>0</v>
      </c>
      <c r="N50" s="534">
        <v>0</v>
      </c>
      <c r="O50" s="833">
        <v>0</v>
      </c>
      <c r="P50" s="832">
        <f t="shared" si="0"/>
        <v>0</v>
      </c>
      <c r="Q50" s="742"/>
      <c r="R50" s="741"/>
      <c r="S50" s="741"/>
      <c r="T50" s="741"/>
    </row>
    <row r="51" spans="1:20" ht="24" customHeight="1">
      <c r="A51" s="1100" t="s">
        <v>1438</v>
      </c>
      <c r="B51" s="813" t="s">
        <v>1528</v>
      </c>
      <c r="C51" s="757" t="s">
        <v>1506</v>
      </c>
      <c r="D51" s="758" t="s">
        <v>1501</v>
      </c>
      <c r="E51" s="757">
        <v>2</v>
      </c>
      <c r="F51" s="757">
        <v>2</v>
      </c>
      <c r="G51" s="779">
        <v>244496</v>
      </c>
      <c r="H51" s="779">
        <v>244497</v>
      </c>
      <c r="I51" s="743"/>
      <c r="J51" s="821"/>
      <c r="K51" s="740"/>
      <c r="L51" s="744" t="s">
        <v>1529</v>
      </c>
      <c r="M51" s="534">
        <v>0</v>
      </c>
      <c r="N51" s="534">
        <v>0</v>
      </c>
      <c r="O51" s="833">
        <v>0</v>
      </c>
      <c r="P51" s="832">
        <f t="shared" si="0"/>
        <v>0</v>
      </c>
      <c r="Q51" s="742"/>
      <c r="R51" s="741"/>
      <c r="S51" s="741"/>
      <c r="T51" s="741"/>
    </row>
    <row r="52" spans="1:20" ht="24" customHeight="1">
      <c r="A52" s="1100"/>
      <c r="B52" s="809" t="s">
        <v>1440</v>
      </c>
      <c r="C52" s="757" t="s">
        <v>38</v>
      </c>
      <c r="D52" s="758" t="s">
        <v>1500</v>
      </c>
      <c r="E52" s="757">
        <v>1</v>
      </c>
      <c r="F52" s="757">
        <v>1</v>
      </c>
      <c r="G52" s="779">
        <v>244498</v>
      </c>
      <c r="H52" s="779">
        <v>244498</v>
      </c>
      <c r="I52" s="743"/>
      <c r="J52" s="821"/>
      <c r="K52" s="740"/>
      <c r="L52" s="744" t="s">
        <v>1498</v>
      </c>
      <c r="M52" s="534">
        <v>0</v>
      </c>
      <c r="N52" s="534">
        <v>0</v>
      </c>
      <c r="O52" s="833">
        <v>0</v>
      </c>
      <c r="P52" s="832">
        <f t="shared" si="0"/>
        <v>0</v>
      </c>
      <c r="Q52" s="742"/>
      <c r="R52" s="741"/>
      <c r="S52" s="741"/>
      <c r="T52" s="741"/>
    </row>
    <row r="53" spans="1:20" ht="24" customHeight="1">
      <c r="A53" s="1100"/>
      <c r="B53" s="809" t="s">
        <v>1441</v>
      </c>
      <c r="C53" s="757" t="s">
        <v>38</v>
      </c>
      <c r="D53" s="758" t="s">
        <v>1500</v>
      </c>
      <c r="E53" s="757">
        <v>3</v>
      </c>
      <c r="F53" s="757">
        <v>3</v>
      </c>
      <c r="G53" s="779">
        <v>244496</v>
      </c>
      <c r="H53" s="779">
        <v>244497</v>
      </c>
      <c r="I53" s="743"/>
      <c r="J53" s="821"/>
      <c r="K53" s="740"/>
      <c r="L53" s="744" t="s">
        <v>1498</v>
      </c>
      <c r="M53" s="534">
        <v>0</v>
      </c>
      <c r="N53" s="534">
        <v>0</v>
      </c>
      <c r="O53" s="833">
        <v>0</v>
      </c>
      <c r="P53" s="832">
        <f t="shared" si="0"/>
        <v>0</v>
      </c>
      <c r="Q53" s="742"/>
      <c r="R53" s="741"/>
      <c r="S53" s="741"/>
      <c r="T53" s="741"/>
    </row>
    <row r="54" spans="1:20" ht="24" customHeight="1">
      <c r="A54" s="1100"/>
      <c r="B54" s="1099" t="s">
        <v>1443</v>
      </c>
      <c r="C54" s="757" t="s">
        <v>38</v>
      </c>
      <c r="D54" s="758" t="s">
        <v>1500</v>
      </c>
      <c r="E54" s="757">
        <v>1</v>
      </c>
      <c r="F54" s="757">
        <v>1</v>
      </c>
      <c r="G54" s="779">
        <v>244496</v>
      </c>
      <c r="H54" s="779">
        <v>244497</v>
      </c>
      <c r="I54" s="743"/>
      <c r="J54" s="821"/>
      <c r="K54" s="740"/>
      <c r="L54" s="1098" t="s">
        <v>1498</v>
      </c>
      <c r="M54" s="534">
        <v>0</v>
      </c>
      <c r="N54" s="534">
        <v>0</v>
      </c>
      <c r="O54" s="833">
        <v>0</v>
      </c>
      <c r="P54" s="832">
        <f t="shared" si="0"/>
        <v>0</v>
      </c>
      <c r="Q54" s="742"/>
      <c r="R54" s="741"/>
      <c r="S54" s="741"/>
      <c r="T54" s="741"/>
    </row>
    <row r="55" spans="1:20" ht="24" customHeight="1">
      <c r="A55" s="1100"/>
      <c r="B55" s="1099"/>
      <c r="C55" s="757" t="s">
        <v>42</v>
      </c>
      <c r="D55" s="758" t="s">
        <v>1497</v>
      </c>
      <c r="E55" s="757">
        <v>1</v>
      </c>
      <c r="F55" s="757">
        <v>1</v>
      </c>
      <c r="G55" s="779">
        <v>244496</v>
      </c>
      <c r="H55" s="779">
        <v>244497</v>
      </c>
      <c r="I55" s="743"/>
      <c r="J55" s="821"/>
      <c r="K55" s="740"/>
      <c r="L55" s="1098"/>
      <c r="M55" s="534">
        <v>0</v>
      </c>
      <c r="N55" s="534">
        <v>0</v>
      </c>
      <c r="O55" s="833">
        <v>0</v>
      </c>
      <c r="P55" s="832">
        <f t="shared" si="0"/>
        <v>0</v>
      </c>
      <c r="Q55" s="742"/>
      <c r="R55" s="741"/>
      <c r="S55" s="741"/>
      <c r="T55" s="741"/>
    </row>
    <row r="56" spans="1:20" ht="24" customHeight="1">
      <c r="A56" s="1100"/>
      <c r="B56" s="809" t="s">
        <v>1445</v>
      </c>
      <c r="C56" s="757" t="s">
        <v>38</v>
      </c>
      <c r="D56" s="758" t="s">
        <v>1500</v>
      </c>
      <c r="E56" s="757">
        <v>1</v>
      </c>
      <c r="F56" s="757">
        <v>1</v>
      </c>
      <c r="G56" s="779">
        <v>244496</v>
      </c>
      <c r="H56" s="779">
        <v>244497</v>
      </c>
      <c r="I56" s="743"/>
      <c r="J56" s="821"/>
      <c r="K56" s="740"/>
      <c r="L56" s="744" t="s">
        <v>1498</v>
      </c>
      <c r="M56" s="534">
        <v>0</v>
      </c>
      <c r="N56" s="534">
        <v>0</v>
      </c>
      <c r="O56" s="833">
        <v>0</v>
      </c>
      <c r="P56" s="832">
        <f t="shared" si="0"/>
        <v>0</v>
      </c>
      <c r="Q56" s="742"/>
      <c r="R56" s="741"/>
      <c r="S56" s="741"/>
      <c r="T56" s="741"/>
    </row>
    <row r="57" spans="1:20" ht="24" customHeight="1">
      <c r="A57" s="1100"/>
      <c r="B57" s="1099" t="s">
        <v>1447</v>
      </c>
      <c r="C57" s="757" t="s">
        <v>38</v>
      </c>
      <c r="D57" s="758" t="s">
        <v>1500</v>
      </c>
      <c r="E57" s="757">
        <v>1</v>
      </c>
      <c r="F57" s="757">
        <v>1</v>
      </c>
      <c r="G57" s="779">
        <v>244501</v>
      </c>
      <c r="H57" s="779">
        <v>244502</v>
      </c>
      <c r="I57" s="743"/>
      <c r="J57" s="821"/>
      <c r="K57" s="740"/>
      <c r="L57" s="1098" t="s">
        <v>1498</v>
      </c>
      <c r="M57" s="534">
        <v>0</v>
      </c>
      <c r="N57" s="534">
        <v>0</v>
      </c>
      <c r="O57" s="833">
        <v>0</v>
      </c>
      <c r="P57" s="832">
        <f t="shared" si="0"/>
        <v>0</v>
      </c>
      <c r="Q57" s="836"/>
      <c r="R57" s="747"/>
      <c r="S57" s="747"/>
      <c r="T57" s="747"/>
    </row>
    <row r="58" spans="1:20" ht="24" customHeight="1">
      <c r="A58" s="1100"/>
      <c r="B58" s="1099"/>
      <c r="C58" s="757" t="s">
        <v>42</v>
      </c>
      <c r="D58" s="758" t="s">
        <v>1497</v>
      </c>
      <c r="E58" s="757">
        <v>1</v>
      </c>
      <c r="F58" s="757">
        <v>1</v>
      </c>
      <c r="G58" s="779">
        <v>244501</v>
      </c>
      <c r="H58" s="779">
        <v>244502</v>
      </c>
      <c r="I58" s="743"/>
      <c r="J58" s="821"/>
      <c r="K58" s="740"/>
      <c r="L58" s="1098"/>
      <c r="M58" s="534">
        <v>0</v>
      </c>
      <c r="N58" s="534">
        <v>0</v>
      </c>
      <c r="O58" s="833">
        <v>0</v>
      </c>
      <c r="P58" s="832">
        <f t="shared" si="0"/>
        <v>0</v>
      </c>
      <c r="Q58" s="742"/>
      <c r="R58" s="741"/>
      <c r="S58" s="741"/>
      <c r="T58" s="741"/>
    </row>
    <row r="59" spans="1:20" ht="24" customHeight="1">
      <c r="A59" s="1100"/>
      <c r="B59" s="809" t="s">
        <v>1449</v>
      </c>
      <c r="C59" s="757" t="s">
        <v>38</v>
      </c>
      <c r="D59" s="758" t="s">
        <v>1500</v>
      </c>
      <c r="E59" s="757">
        <v>1</v>
      </c>
      <c r="F59" s="757">
        <v>1</v>
      </c>
      <c r="G59" s="779">
        <v>244501</v>
      </c>
      <c r="H59" s="779">
        <v>244502</v>
      </c>
      <c r="I59" s="743"/>
      <c r="J59" s="821"/>
      <c r="K59" s="740"/>
      <c r="L59" s="744" t="s">
        <v>1498</v>
      </c>
      <c r="M59" s="534">
        <v>0</v>
      </c>
      <c r="N59" s="534">
        <v>0</v>
      </c>
      <c r="O59" s="833">
        <v>0</v>
      </c>
      <c r="P59" s="832">
        <f t="shared" si="0"/>
        <v>0</v>
      </c>
      <c r="Q59" s="742"/>
      <c r="R59" s="741"/>
      <c r="S59" s="741"/>
      <c r="T59" s="741"/>
    </row>
    <row r="60" spans="1:20" ht="24" customHeight="1">
      <c r="A60" s="1100"/>
      <c r="B60" s="809" t="s">
        <v>1451</v>
      </c>
      <c r="C60" s="757" t="s">
        <v>38</v>
      </c>
      <c r="D60" s="758" t="s">
        <v>1500</v>
      </c>
      <c r="E60" s="757">
        <v>2</v>
      </c>
      <c r="F60" s="757">
        <v>2</v>
      </c>
      <c r="G60" s="779">
        <v>244501</v>
      </c>
      <c r="H60" s="779">
        <v>244502</v>
      </c>
      <c r="I60" s="743"/>
      <c r="J60" s="821"/>
      <c r="K60" s="740"/>
      <c r="L60" s="744" t="s">
        <v>1498</v>
      </c>
      <c r="M60" s="534">
        <v>0</v>
      </c>
      <c r="N60" s="534">
        <v>0</v>
      </c>
      <c r="O60" s="833">
        <v>0</v>
      </c>
      <c r="P60" s="832">
        <f t="shared" si="0"/>
        <v>0</v>
      </c>
      <c r="Q60" s="742"/>
      <c r="R60" s="741"/>
      <c r="S60" s="741"/>
      <c r="T60" s="741"/>
    </row>
    <row r="61" spans="1:20" ht="24" customHeight="1">
      <c r="A61" s="1100"/>
      <c r="B61" s="809" t="s">
        <v>1453</v>
      </c>
      <c r="C61" s="757" t="s">
        <v>38</v>
      </c>
      <c r="D61" s="758" t="s">
        <v>1500</v>
      </c>
      <c r="E61" s="757">
        <v>1</v>
      </c>
      <c r="F61" s="757">
        <v>1</v>
      </c>
      <c r="G61" s="779">
        <v>244498</v>
      </c>
      <c r="H61" s="779">
        <v>244498</v>
      </c>
      <c r="I61" s="743"/>
      <c r="J61" s="821"/>
      <c r="K61" s="740"/>
      <c r="L61" s="744" t="s">
        <v>1498</v>
      </c>
      <c r="M61" s="534">
        <v>0</v>
      </c>
      <c r="N61" s="534">
        <v>0</v>
      </c>
      <c r="O61" s="833">
        <v>0</v>
      </c>
      <c r="P61" s="832">
        <f t="shared" si="0"/>
        <v>0</v>
      </c>
      <c r="Q61" s="742"/>
      <c r="R61" s="741"/>
      <c r="S61" s="741"/>
      <c r="T61" s="741"/>
    </row>
    <row r="62" spans="1:20" ht="24" customHeight="1">
      <c r="A62" s="1100"/>
      <c r="B62" s="809" t="s">
        <v>1455</v>
      </c>
      <c r="C62" s="757" t="s">
        <v>38</v>
      </c>
      <c r="D62" s="758" t="s">
        <v>1500</v>
      </c>
      <c r="E62" s="757">
        <v>1</v>
      </c>
      <c r="F62" s="757">
        <v>1</v>
      </c>
      <c r="G62" s="779">
        <v>244498</v>
      </c>
      <c r="H62" s="779">
        <v>244498</v>
      </c>
      <c r="I62" s="743"/>
      <c r="J62" s="821"/>
      <c r="K62" s="740"/>
      <c r="L62" s="744" t="s">
        <v>1498</v>
      </c>
      <c r="M62" s="534">
        <v>0</v>
      </c>
      <c r="N62" s="534">
        <v>0</v>
      </c>
      <c r="O62" s="833">
        <v>0</v>
      </c>
      <c r="P62" s="832">
        <f t="shared" si="0"/>
        <v>0</v>
      </c>
      <c r="Q62" s="742"/>
      <c r="R62" s="741"/>
      <c r="S62" s="741"/>
      <c r="T62" s="741"/>
    </row>
    <row r="63" spans="1:20" ht="24" customHeight="1">
      <c r="A63" s="1100" t="s">
        <v>1457</v>
      </c>
      <c r="B63" s="1099" t="s">
        <v>1458</v>
      </c>
      <c r="C63" s="757" t="s">
        <v>38</v>
      </c>
      <c r="D63" s="758" t="s">
        <v>1500</v>
      </c>
      <c r="E63" s="757">
        <v>3</v>
      </c>
      <c r="F63" s="757">
        <v>3</v>
      </c>
      <c r="G63" s="779">
        <v>244487</v>
      </c>
      <c r="H63" s="779">
        <v>244489</v>
      </c>
      <c r="I63" s="743"/>
      <c r="J63" s="821"/>
      <c r="K63" s="740"/>
      <c r="L63" s="1098" t="s">
        <v>1498</v>
      </c>
      <c r="M63" s="534">
        <v>0</v>
      </c>
      <c r="N63" s="534">
        <v>0</v>
      </c>
      <c r="O63" s="833">
        <v>0</v>
      </c>
      <c r="P63" s="832">
        <f t="shared" si="0"/>
        <v>0</v>
      </c>
      <c r="Q63" s="742"/>
      <c r="R63" s="741"/>
      <c r="S63" s="741"/>
      <c r="T63" s="741"/>
    </row>
    <row r="64" spans="1:20" ht="24" customHeight="1">
      <c r="A64" s="1100"/>
      <c r="B64" s="1099"/>
      <c r="C64" s="757" t="s">
        <v>42</v>
      </c>
      <c r="D64" s="758" t="s">
        <v>1497</v>
      </c>
      <c r="E64" s="757">
        <v>3</v>
      </c>
      <c r="F64" s="757">
        <v>3</v>
      </c>
      <c r="G64" s="779">
        <v>244487</v>
      </c>
      <c r="H64" s="779">
        <v>244489</v>
      </c>
      <c r="I64" s="743"/>
      <c r="J64" s="821"/>
      <c r="K64" s="740"/>
      <c r="L64" s="1098"/>
      <c r="M64" s="534">
        <v>0</v>
      </c>
      <c r="N64" s="534">
        <v>0</v>
      </c>
      <c r="O64" s="833">
        <v>0</v>
      </c>
      <c r="P64" s="832">
        <f t="shared" si="0"/>
        <v>0</v>
      </c>
      <c r="Q64" s="742"/>
      <c r="R64" s="741"/>
      <c r="S64" s="741"/>
      <c r="T64" s="741"/>
    </row>
    <row r="65" spans="1:20" ht="24" customHeight="1">
      <c r="A65" s="1100"/>
      <c r="B65" s="1099" t="s">
        <v>1459</v>
      </c>
      <c r="C65" s="757" t="s">
        <v>38</v>
      </c>
      <c r="D65" s="758" t="s">
        <v>1500</v>
      </c>
      <c r="E65" s="757">
        <v>5</v>
      </c>
      <c r="F65" s="757">
        <v>5</v>
      </c>
      <c r="G65" s="779">
        <v>244487</v>
      </c>
      <c r="H65" s="779">
        <v>244489</v>
      </c>
      <c r="I65" s="743"/>
      <c r="J65" s="821"/>
      <c r="K65" s="740"/>
      <c r="L65" s="1098" t="s">
        <v>1498</v>
      </c>
      <c r="M65" s="534">
        <v>0</v>
      </c>
      <c r="N65" s="534">
        <v>0</v>
      </c>
      <c r="O65" s="833">
        <v>0</v>
      </c>
      <c r="P65" s="832">
        <f t="shared" si="0"/>
        <v>0</v>
      </c>
      <c r="Q65" s="742"/>
      <c r="R65" s="741"/>
      <c r="S65" s="741"/>
      <c r="T65" s="741"/>
    </row>
    <row r="66" spans="1:20" ht="24" customHeight="1">
      <c r="A66" s="1100"/>
      <c r="B66" s="1099"/>
      <c r="C66" s="757" t="s">
        <v>42</v>
      </c>
      <c r="D66" s="758" t="s">
        <v>1497</v>
      </c>
      <c r="E66" s="757">
        <v>2</v>
      </c>
      <c r="F66" s="757">
        <v>2</v>
      </c>
      <c r="G66" s="779">
        <v>244487</v>
      </c>
      <c r="H66" s="779">
        <v>244489</v>
      </c>
      <c r="I66" s="743"/>
      <c r="J66" s="821"/>
      <c r="K66" s="740"/>
      <c r="L66" s="1098"/>
      <c r="M66" s="534">
        <v>0</v>
      </c>
      <c r="N66" s="534">
        <v>0</v>
      </c>
      <c r="O66" s="833">
        <v>0</v>
      </c>
      <c r="P66" s="832">
        <f t="shared" si="0"/>
        <v>0</v>
      </c>
      <c r="Q66" s="742"/>
      <c r="R66" s="741"/>
      <c r="S66" s="741"/>
      <c r="T66" s="741"/>
    </row>
    <row r="67" spans="1:20" ht="24" customHeight="1">
      <c r="A67" s="810" t="s">
        <v>1460</v>
      </c>
      <c r="B67" s="809" t="s">
        <v>1461</v>
      </c>
      <c r="C67" s="757" t="s">
        <v>38</v>
      </c>
      <c r="D67" s="758" t="s">
        <v>1500</v>
      </c>
      <c r="E67" s="757">
        <v>1</v>
      </c>
      <c r="F67" s="757">
        <v>1</v>
      </c>
      <c r="G67" s="779">
        <v>244489</v>
      </c>
      <c r="H67" s="779">
        <v>244489</v>
      </c>
      <c r="I67" s="743"/>
      <c r="J67" s="821"/>
      <c r="K67" s="740"/>
      <c r="L67" s="744" t="s">
        <v>1498</v>
      </c>
      <c r="M67" s="534">
        <v>0</v>
      </c>
      <c r="N67" s="534">
        <v>0</v>
      </c>
      <c r="O67" s="833">
        <v>0</v>
      </c>
      <c r="P67" s="832">
        <f t="shared" si="0"/>
        <v>0</v>
      </c>
      <c r="Q67" s="742"/>
      <c r="R67" s="741"/>
      <c r="S67" s="741"/>
      <c r="T67" s="741"/>
    </row>
    <row r="68" spans="1:20" ht="21">
      <c r="A68" s="1100" t="s">
        <v>1530</v>
      </c>
      <c r="B68" s="1099" t="s">
        <v>1424</v>
      </c>
      <c r="C68" s="757" t="s">
        <v>38</v>
      </c>
      <c r="D68" s="758" t="s">
        <v>1500</v>
      </c>
      <c r="E68" s="757">
        <v>2</v>
      </c>
      <c r="F68" s="757">
        <v>2</v>
      </c>
      <c r="G68" s="779">
        <v>244490</v>
      </c>
      <c r="H68" s="779">
        <v>244491</v>
      </c>
      <c r="I68" s="743"/>
      <c r="J68" s="821"/>
      <c r="K68" s="740"/>
      <c r="L68" s="1098" t="s">
        <v>1498</v>
      </c>
      <c r="M68" s="534">
        <v>0</v>
      </c>
      <c r="N68" s="534">
        <v>0</v>
      </c>
      <c r="O68" s="833">
        <v>0</v>
      </c>
      <c r="P68" s="832">
        <f t="shared" ref="P68:P99" si="1">IF($G68=0,1,(M68+N68+O68)/($G68*3))</f>
        <v>0</v>
      </c>
      <c r="Q68" s="742"/>
      <c r="R68" s="741"/>
      <c r="S68" s="741"/>
      <c r="T68" s="741"/>
    </row>
    <row r="69" spans="1:20" ht="21">
      <c r="A69" s="1100"/>
      <c r="B69" s="1099"/>
      <c r="C69" s="757" t="s">
        <v>42</v>
      </c>
      <c r="D69" s="758" t="s">
        <v>1497</v>
      </c>
      <c r="E69" s="757">
        <v>5</v>
      </c>
      <c r="F69" s="757">
        <v>5</v>
      </c>
      <c r="G69" s="779">
        <v>244490</v>
      </c>
      <c r="H69" s="779">
        <v>244491</v>
      </c>
      <c r="I69" s="743"/>
      <c r="J69" s="821"/>
      <c r="K69" s="740"/>
      <c r="L69" s="1098"/>
      <c r="M69" s="534">
        <v>0</v>
      </c>
      <c r="N69" s="534">
        <v>0</v>
      </c>
      <c r="O69" s="833">
        <v>0</v>
      </c>
      <c r="P69" s="832">
        <f t="shared" si="1"/>
        <v>0</v>
      </c>
      <c r="Q69" s="742"/>
      <c r="R69" s="741"/>
      <c r="S69" s="741"/>
      <c r="T69" s="741"/>
    </row>
    <row r="70" spans="1:20" ht="21">
      <c r="A70" s="1100" t="s">
        <v>1531</v>
      </c>
      <c r="B70" s="1099" t="s">
        <v>1426</v>
      </c>
      <c r="C70" s="757" t="s">
        <v>38</v>
      </c>
      <c r="D70" s="758" t="s">
        <v>1500</v>
      </c>
      <c r="E70" s="757">
        <v>2</v>
      </c>
      <c r="F70" s="757">
        <v>2</v>
      </c>
      <c r="G70" s="779">
        <v>244492</v>
      </c>
      <c r="H70" s="779">
        <v>244493</v>
      </c>
      <c r="I70" s="743"/>
      <c r="J70" s="821"/>
      <c r="K70" s="740"/>
      <c r="L70" s="1098" t="s">
        <v>1532</v>
      </c>
      <c r="M70" s="534">
        <v>0</v>
      </c>
      <c r="N70" s="534">
        <v>0</v>
      </c>
      <c r="O70" s="833">
        <v>0</v>
      </c>
      <c r="P70" s="832">
        <f t="shared" si="1"/>
        <v>0</v>
      </c>
      <c r="Q70" s="742"/>
      <c r="R70" s="741"/>
      <c r="S70" s="741"/>
      <c r="T70" s="741"/>
    </row>
    <row r="71" spans="1:20" ht="21">
      <c r="A71" s="1100"/>
      <c r="B71" s="1099"/>
      <c r="C71" s="757" t="s">
        <v>42</v>
      </c>
      <c r="D71" s="758" t="s">
        <v>1497</v>
      </c>
      <c r="E71" s="757">
        <v>4</v>
      </c>
      <c r="F71" s="757">
        <v>4</v>
      </c>
      <c r="G71" s="779">
        <v>244492</v>
      </c>
      <c r="H71" s="779">
        <v>244493</v>
      </c>
      <c r="I71" s="743"/>
      <c r="J71" s="821"/>
      <c r="K71" s="740"/>
      <c r="L71" s="1098"/>
      <c r="M71" s="534">
        <v>0</v>
      </c>
      <c r="N71" s="534">
        <v>0</v>
      </c>
      <c r="O71" s="833">
        <v>0</v>
      </c>
      <c r="P71" s="832">
        <f t="shared" si="1"/>
        <v>0</v>
      </c>
      <c r="Q71" s="742"/>
      <c r="R71" s="741"/>
      <c r="S71" s="741"/>
      <c r="T71" s="741"/>
    </row>
    <row r="72" spans="1:20" ht="21">
      <c r="A72" s="810" t="s">
        <v>1533</v>
      </c>
      <c r="B72" s="809" t="s">
        <v>1426</v>
      </c>
      <c r="C72" s="757" t="s">
        <v>42</v>
      </c>
      <c r="D72" s="758" t="s">
        <v>1497</v>
      </c>
      <c r="E72" s="757">
        <v>4</v>
      </c>
      <c r="F72" s="757">
        <v>4</v>
      </c>
      <c r="G72" s="779">
        <v>244494</v>
      </c>
      <c r="H72" s="779">
        <v>244495</v>
      </c>
      <c r="I72" s="743"/>
      <c r="J72" s="821"/>
      <c r="K72" s="740"/>
      <c r="L72" s="744" t="s">
        <v>1534</v>
      </c>
      <c r="M72" s="534">
        <v>0</v>
      </c>
      <c r="N72" s="534">
        <v>0</v>
      </c>
      <c r="O72" s="833">
        <v>0</v>
      </c>
      <c r="P72" s="832">
        <f t="shared" si="1"/>
        <v>0</v>
      </c>
      <c r="Q72" s="742"/>
      <c r="R72" s="741"/>
      <c r="S72" s="741"/>
      <c r="T72" s="741"/>
    </row>
    <row r="73" spans="1:20" ht="21">
      <c r="A73" s="810" t="s">
        <v>1498</v>
      </c>
      <c r="B73" s="809" t="s">
        <v>1498</v>
      </c>
      <c r="C73" s="757" t="s">
        <v>1465</v>
      </c>
      <c r="D73" s="758" t="s">
        <v>1535</v>
      </c>
      <c r="E73" s="757">
        <v>1</v>
      </c>
      <c r="F73" s="757">
        <v>1</v>
      </c>
      <c r="G73" s="779">
        <v>244494</v>
      </c>
      <c r="H73" s="779">
        <v>244495</v>
      </c>
      <c r="I73" s="743"/>
      <c r="J73" s="821"/>
      <c r="K73" s="740"/>
      <c r="L73" s="744" t="s">
        <v>1498</v>
      </c>
      <c r="M73" s="534">
        <v>0</v>
      </c>
      <c r="N73" s="534">
        <v>0</v>
      </c>
      <c r="O73" s="833">
        <v>0</v>
      </c>
      <c r="P73" s="832">
        <f t="shared" si="1"/>
        <v>0</v>
      </c>
      <c r="Q73" s="742"/>
      <c r="R73" s="741"/>
      <c r="S73" s="741"/>
      <c r="T73" s="741"/>
    </row>
    <row r="74" spans="1:20" ht="21">
      <c r="A74" s="810" t="s">
        <v>1466</v>
      </c>
      <c r="B74" s="809" t="s">
        <v>1424</v>
      </c>
      <c r="C74" s="757" t="s">
        <v>42</v>
      </c>
      <c r="D74" s="758" t="s">
        <v>1497</v>
      </c>
      <c r="E74" s="757">
        <v>1</v>
      </c>
      <c r="F74" s="759" t="s">
        <v>40</v>
      </c>
      <c r="G74" s="779" t="s">
        <v>1536</v>
      </c>
      <c r="H74" s="829" t="s">
        <v>40</v>
      </c>
      <c r="I74" s="743"/>
      <c r="J74" s="821"/>
      <c r="K74" s="828"/>
      <c r="L74" s="744" t="s">
        <v>1498</v>
      </c>
      <c r="M74" s="534"/>
      <c r="N74" s="534"/>
      <c r="O74" s="833"/>
      <c r="P74" s="832"/>
      <c r="Q74" s="742"/>
      <c r="R74" s="741"/>
      <c r="S74" s="741"/>
      <c r="T74" s="741"/>
    </row>
    <row r="75" spans="1:20" ht="21">
      <c r="A75" s="810" t="s">
        <v>1537</v>
      </c>
      <c r="B75" s="809" t="s">
        <v>114</v>
      </c>
      <c r="C75" s="757" t="s">
        <v>42</v>
      </c>
      <c r="D75" s="758" t="s">
        <v>1497</v>
      </c>
      <c r="E75" s="757">
        <v>1</v>
      </c>
      <c r="F75" s="757">
        <v>1</v>
      </c>
      <c r="G75" s="779">
        <v>244485</v>
      </c>
      <c r="H75" s="779">
        <v>244485</v>
      </c>
      <c r="I75" s="743"/>
      <c r="J75" s="821"/>
      <c r="K75" s="740"/>
      <c r="L75" s="744" t="s">
        <v>1538</v>
      </c>
      <c r="M75" s="534">
        <v>0</v>
      </c>
      <c r="N75" s="534">
        <v>0</v>
      </c>
      <c r="O75" s="833">
        <v>0</v>
      </c>
      <c r="P75" s="832">
        <f t="shared" si="1"/>
        <v>0</v>
      </c>
      <c r="Q75" s="742"/>
      <c r="R75" s="741"/>
      <c r="S75" s="741"/>
      <c r="T75" s="741"/>
    </row>
    <row r="76" spans="1:20" ht="21">
      <c r="A76" s="810" t="s">
        <v>1468</v>
      </c>
      <c r="B76" s="809" t="s">
        <v>1469</v>
      </c>
      <c r="C76" s="757" t="s">
        <v>42</v>
      </c>
      <c r="D76" s="758" t="s">
        <v>1497</v>
      </c>
      <c r="E76" s="757">
        <v>1</v>
      </c>
      <c r="F76" s="757">
        <v>1</v>
      </c>
      <c r="G76" s="779">
        <v>244499</v>
      </c>
      <c r="H76" s="779">
        <v>244499</v>
      </c>
      <c r="I76" s="743"/>
      <c r="J76" s="821"/>
      <c r="K76" s="740"/>
      <c r="L76" s="744" t="s">
        <v>1498</v>
      </c>
      <c r="M76" s="534">
        <v>0</v>
      </c>
      <c r="N76" s="534">
        <v>0</v>
      </c>
      <c r="O76" s="833">
        <v>0</v>
      </c>
      <c r="P76" s="832">
        <f t="shared" si="1"/>
        <v>0</v>
      </c>
      <c r="Q76" s="742"/>
      <c r="R76" s="741"/>
      <c r="S76" s="741"/>
      <c r="T76" s="741"/>
    </row>
    <row r="77" spans="1:20" ht="21">
      <c r="A77" s="810" t="s">
        <v>1470</v>
      </c>
      <c r="B77" s="809" t="s">
        <v>69</v>
      </c>
      <c r="C77" s="757" t="s">
        <v>42</v>
      </c>
      <c r="D77" s="758" t="s">
        <v>1497</v>
      </c>
      <c r="E77" s="757">
        <v>1</v>
      </c>
      <c r="F77" s="757">
        <v>1</v>
      </c>
      <c r="G77" s="779">
        <v>244499</v>
      </c>
      <c r="H77" s="779">
        <v>244499</v>
      </c>
      <c r="I77" s="743"/>
      <c r="J77" s="821"/>
      <c r="K77" s="740"/>
      <c r="L77" s="744" t="s">
        <v>1498</v>
      </c>
      <c r="M77" s="534">
        <v>0</v>
      </c>
      <c r="N77" s="534">
        <v>0</v>
      </c>
      <c r="O77" s="833">
        <v>0</v>
      </c>
      <c r="P77" s="832">
        <f t="shared" si="1"/>
        <v>0</v>
      </c>
      <c r="Q77" s="742"/>
      <c r="R77" s="741"/>
      <c r="S77" s="741"/>
      <c r="T77" s="741"/>
    </row>
    <row r="78" spans="1:20" ht="21">
      <c r="A78" s="810" t="s">
        <v>1539</v>
      </c>
      <c r="B78" s="1099" t="s">
        <v>1472</v>
      </c>
      <c r="C78" s="757" t="s">
        <v>38</v>
      </c>
      <c r="D78" s="758" t="s">
        <v>1500</v>
      </c>
      <c r="E78" s="757">
        <v>1</v>
      </c>
      <c r="F78" s="757">
        <v>1</v>
      </c>
      <c r="G78" s="779">
        <v>244478</v>
      </c>
      <c r="H78" s="779">
        <v>244478</v>
      </c>
      <c r="I78" s="743"/>
      <c r="J78" s="821"/>
      <c r="K78" s="740"/>
      <c r="L78" s="1098" t="s">
        <v>1540</v>
      </c>
      <c r="M78" s="534">
        <v>0</v>
      </c>
      <c r="N78" s="534">
        <v>0</v>
      </c>
      <c r="O78" s="833">
        <v>0</v>
      </c>
      <c r="P78" s="832">
        <f t="shared" si="1"/>
        <v>0</v>
      </c>
      <c r="Q78" s="742"/>
      <c r="R78" s="741"/>
      <c r="S78" s="741"/>
      <c r="T78" s="741"/>
    </row>
    <row r="79" spans="1:20" ht="21">
      <c r="A79" s="810" t="s">
        <v>1498</v>
      </c>
      <c r="B79" s="1099"/>
      <c r="C79" s="757" t="s">
        <v>42</v>
      </c>
      <c r="D79" s="758" t="s">
        <v>1497</v>
      </c>
      <c r="E79" s="757">
        <v>1</v>
      </c>
      <c r="F79" s="757">
        <v>1</v>
      </c>
      <c r="G79" s="779">
        <v>244478</v>
      </c>
      <c r="H79" s="779">
        <v>244478</v>
      </c>
      <c r="I79" s="743"/>
      <c r="J79" s="821"/>
      <c r="K79" s="740"/>
      <c r="L79" s="1098"/>
      <c r="M79" s="534">
        <v>0</v>
      </c>
      <c r="N79" s="534">
        <v>0</v>
      </c>
      <c r="O79" s="833">
        <v>0</v>
      </c>
      <c r="P79" s="832">
        <f t="shared" si="1"/>
        <v>0</v>
      </c>
      <c r="Q79" s="742"/>
      <c r="R79" s="741"/>
      <c r="S79" s="741"/>
      <c r="T79" s="741"/>
    </row>
    <row r="80" spans="1:20" ht="21">
      <c r="A80" s="810" t="s">
        <v>1541</v>
      </c>
      <c r="B80" s="809" t="s">
        <v>1474</v>
      </c>
      <c r="C80" s="757" t="s">
        <v>42</v>
      </c>
      <c r="D80" s="758" t="s">
        <v>1497</v>
      </c>
      <c r="E80" s="757">
        <v>1</v>
      </c>
      <c r="F80" s="757">
        <v>1</v>
      </c>
      <c r="G80" s="779">
        <v>244478</v>
      </c>
      <c r="H80" s="779">
        <v>244478</v>
      </c>
      <c r="I80" s="743"/>
      <c r="J80" s="821"/>
      <c r="K80" s="740"/>
      <c r="L80" s="744" t="s">
        <v>1540</v>
      </c>
      <c r="M80" s="534">
        <v>0</v>
      </c>
      <c r="N80" s="534">
        <v>0</v>
      </c>
      <c r="O80" s="833">
        <v>0</v>
      </c>
      <c r="P80" s="832">
        <f t="shared" si="1"/>
        <v>0</v>
      </c>
      <c r="Q80" s="742"/>
      <c r="R80" s="741"/>
      <c r="S80" s="741"/>
      <c r="T80" s="741"/>
    </row>
    <row r="81" spans="1:20" ht="21">
      <c r="A81" s="1100" t="s">
        <v>1542</v>
      </c>
      <c r="B81" s="809" t="s">
        <v>1426</v>
      </c>
      <c r="C81" s="757" t="s">
        <v>42</v>
      </c>
      <c r="D81" s="758" t="s">
        <v>1497</v>
      </c>
      <c r="E81" s="757">
        <v>7</v>
      </c>
      <c r="F81" s="757">
        <v>7</v>
      </c>
      <c r="G81" s="779">
        <v>244484</v>
      </c>
      <c r="H81" s="779">
        <v>244484</v>
      </c>
      <c r="I81" s="743"/>
      <c r="J81" s="821"/>
      <c r="K81" s="740"/>
      <c r="L81" s="1098" t="s">
        <v>1543</v>
      </c>
      <c r="M81" s="534">
        <v>0</v>
      </c>
      <c r="N81" s="534">
        <v>0</v>
      </c>
      <c r="O81" s="833">
        <v>0</v>
      </c>
      <c r="P81" s="832">
        <f t="shared" si="1"/>
        <v>0</v>
      </c>
      <c r="Q81" s="742"/>
      <c r="R81" s="741"/>
      <c r="S81" s="741"/>
      <c r="T81" s="741"/>
    </row>
    <row r="82" spans="1:20" ht="21">
      <c r="A82" s="1100"/>
      <c r="B82" s="809" t="s">
        <v>1498</v>
      </c>
      <c r="C82" s="757" t="s">
        <v>1465</v>
      </c>
      <c r="D82" s="758" t="s">
        <v>1535</v>
      </c>
      <c r="E82" s="757">
        <v>1</v>
      </c>
      <c r="F82" s="757">
        <v>1</v>
      </c>
      <c r="G82" s="779">
        <v>244484</v>
      </c>
      <c r="H82" s="779">
        <v>244484</v>
      </c>
      <c r="I82" s="743"/>
      <c r="J82" s="821"/>
      <c r="K82" s="740"/>
      <c r="L82" s="1098"/>
      <c r="M82" s="534">
        <v>0</v>
      </c>
      <c r="N82" s="534">
        <v>0</v>
      </c>
      <c r="O82" s="833">
        <v>0</v>
      </c>
      <c r="P82" s="832">
        <f t="shared" si="1"/>
        <v>0</v>
      </c>
      <c r="Q82" s="742"/>
      <c r="R82" s="741"/>
      <c r="S82" s="741"/>
      <c r="T82" s="741"/>
    </row>
    <row r="83" spans="1:20" ht="21">
      <c r="A83" s="1104" t="s">
        <v>1476</v>
      </c>
      <c r="B83" s="760" t="s">
        <v>1477</v>
      </c>
      <c r="C83" s="761" t="s">
        <v>42</v>
      </c>
      <c r="D83" s="762" t="s">
        <v>1497</v>
      </c>
      <c r="E83" s="761">
        <v>1</v>
      </c>
      <c r="F83" s="761">
        <v>1</v>
      </c>
      <c r="G83" s="779">
        <v>244459</v>
      </c>
      <c r="H83" s="779">
        <v>244460</v>
      </c>
      <c r="I83" s="743"/>
      <c r="J83" s="821"/>
      <c r="K83" s="740"/>
      <c r="L83" s="823" t="s">
        <v>1498</v>
      </c>
      <c r="M83" s="534">
        <v>0</v>
      </c>
      <c r="N83" s="534">
        <v>0</v>
      </c>
      <c r="O83" s="833">
        <v>0</v>
      </c>
      <c r="P83" s="832">
        <f t="shared" si="1"/>
        <v>0</v>
      </c>
      <c r="Q83" s="742"/>
      <c r="R83" s="741"/>
      <c r="S83" s="741"/>
      <c r="T83" s="741"/>
    </row>
    <row r="84" spans="1:20" ht="21">
      <c r="A84" s="1104"/>
      <c r="B84" s="760" t="s">
        <v>1478</v>
      </c>
      <c r="C84" s="761" t="s">
        <v>42</v>
      </c>
      <c r="D84" s="762" t="s">
        <v>1497</v>
      </c>
      <c r="E84" s="761">
        <v>1</v>
      </c>
      <c r="F84" s="761">
        <v>1</v>
      </c>
      <c r="G84" s="779">
        <v>244459</v>
      </c>
      <c r="H84" s="779">
        <v>244460</v>
      </c>
      <c r="I84" s="743"/>
      <c r="J84" s="821"/>
      <c r="K84" s="740"/>
      <c r="L84" s="823" t="s">
        <v>1498</v>
      </c>
      <c r="M84" s="534">
        <v>0</v>
      </c>
      <c r="N84" s="534">
        <v>0</v>
      </c>
      <c r="O84" s="833">
        <v>0</v>
      </c>
      <c r="P84" s="832">
        <f t="shared" si="1"/>
        <v>0</v>
      </c>
      <c r="Q84" s="742"/>
      <c r="R84" s="741"/>
      <c r="S84" s="741"/>
      <c r="T84" s="741"/>
    </row>
    <row r="85" spans="1:20" ht="21">
      <c r="A85" s="1104"/>
      <c r="B85" s="760" t="s">
        <v>1479</v>
      </c>
      <c r="C85" s="761" t="s">
        <v>42</v>
      </c>
      <c r="D85" s="762" t="s">
        <v>1497</v>
      </c>
      <c r="E85" s="761">
        <v>1</v>
      </c>
      <c r="F85" s="761">
        <v>1</v>
      </c>
      <c r="G85" s="779">
        <v>244459</v>
      </c>
      <c r="H85" s="779">
        <v>244460</v>
      </c>
      <c r="I85" s="743"/>
      <c r="J85" s="821"/>
      <c r="K85" s="740"/>
      <c r="L85" s="823" t="s">
        <v>1498</v>
      </c>
      <c r="M85" s="534">
        <v>0</v>
      </c>
      <c r="N85" s="534">
        <v>0</v>
      </c>
      <c r="O85" s="833">
        <v>0</v>
      </c>
      <c r="P85" s="832">
        <f t="shared" si="1"/>
        <v>0</v>
      </c>
      <c r="Q85" s="742"/>
      <c r="R85" s="741"/>
      <c r="S85" s="741"/>
      <c r="T85" s="741"/>
    </row>
    <row r="86" spans="1:20" ht="21">
      <c r="A86" s="1104"/>
      <c r="B86" s="760" t="s">
        <v>1480</v>
      </c>
      <c r="C86" s="761" t="s">
        <v>42</v>
      </c>
      <c r="D86" s="762" t="s">
        <v>1497</v>
      </c>
      <c r="E86" s="761">
        <v>1</v>
      </c>
      <c r="F86" s="761">
        <v>1</v>
      </c>
      <c r="G86" s="779">
        <v>244459</v>
      </c>
      <c r="H86" s="779">
        <v>244460</v>
      </c>
      <c r="I86" s="743"/>
      <c r="J86" s="821"/>
      <c r="K86" s="740"/>
      <c r="L86" s="823" t="s">
        <v>1498</v>
      </c>
      <c r="M86" s="534">
        <v>0</v>
      </c>
      <c r="N86" s="534">
        <v>0</v>
      </c>
      <c r="O86" s="833">
        <v>0</v>
      </c>
      <c r="P86" s="832">
        <f t="shared" si="1"/>
        <v>0</v>
      </c>
      <c r="Q86" s="742"/>
      <c r="R86" s="741"/>
      <c r="S86" s="741"/>
      <c r="T86" s="741"/>
    </row>
    <row r="87" spans="1:20" ht="21">
      <c r="A87" s="1104"/>
      <c r="B87" s="760" t="s">
        <v>1481</v>
      </c>
      <c r="C87" s="761" t="s">
        <v>42</v>
      </c>
      <c r="D87" s="762" t="s">
        <v>1497</v>
      </c>
      <c r="E87" s="761">
        <v>1</v>
      </c>
      <c r="F87" s="761">
        <v>1</v>
      </c>
      <c r="G87" s="779">
        <v>244459</v>
      </c>
      <c r="H87" s="779">
        <v>244460</v>
      </c>
      <c r="I87" s="743"/>
      <c r="J87" s="821"/>
      <c r="K87" s="740"/>
      <c r="L87" s="823" t="s">
        <v>1498</v>
      </c>
      <c r="M87" s="534">
        <v>0</v>
      </c>
      <c r="N87" s="534">
        <v>0</v>
      </c>
      <c r="O87" s="833">
        <v>0</v>
      </c>
      <c r="P87" s="832">
        <f t="shared" si="1"/>
        <v>0</v>
      </c>
      <c r="Q87" s="742"/>
      <c r="R87" s="741"/>
      <c r="S87" s="741"/>
      <c r="T87" s="741"/>
    </row>
    <row r="88" spans="1:20" ht="21">
      <c r="A88" s="1104"/>
      <c r="B88" s="760" t="s">
        <v>1482</v>
      </c>
      <c r="C88" s="761" t="s">
        <v>42</v>
      </c>
      <c r="D88" s="762" t="s">
        <v>1497</v>
      </c>
      <c r="E88" s="761">
        <v>1</v>
      </c>
      <c r="F88" s="761">
        <v>1</v>
      </c>
      <c r="G88" s="779">
        <v>244459</v>
      </c>
      <c r="H88" s="779">
        <v>244460</v>
      </c>
      <c r="I88" s="743"/>
      <c r="J88" s="821"/>
      <c r="K88" s="740"/>
      <c r="L88" s="823" t="s">
        <v>1498</v>
      </c>
      <c r="M88" s="534">
        <v>0</v>
      </c>
      <c r="N88" s="534">
        <v>0</v>
      </c>
      <c r="O88" s="833">
        <v>0</v>
      </c>
      <c r="P88" s="832">
        <f t="shared" si="1"/>
        <v>0</v>
      </c>
      <c r="Q88" s="742"/>
      <c r="R88" s="741"/>
      <c r="S88" s="741"/>
      <c r="T88" s="741"/>
    </row>
    <row r="89" spans="1:20" ht="21">
      <c r="A89" s="1104"/>
      <c r="B89" s="760" t="s">
        <v>1483</v>
      </c>
      <c r="C89" s="761" t="s">
        <v>42</v>
      </c>
      <c r="D89" s="762" t="s">
        <v>1497</v>
      </c>
      <c r="E89" s="761">
        <v>1</v>
      </c>
      <c r="F89" s="761">
        <v>1</v>
      </c>
      <c r="G89" s="779">
        <v>244459</v>
      </c>
      <c r="H89" s="779">
        <v>244460</v>
      </c>
      <c r="I89" s="743"/>
      <c r="J89" s="821"/>
      <c r="K89" s="740"/>
      <c r="L89" s="823" t="s">
        <v>1498</v>
      </c>
      <c r="M89" s="534">
        <v>0</v>
      </c>
      <c r="N89" s="534">
        <v>0</v>
      </c>
      <c r="O89" s="833">
        <v>0</v>
      </c>
      <c r="P89" s="832">
        <f t="shared" si="1"/>
        <v>0</v>
      </c>
      <c r="Q89" s="742"/>
      <c r="R89" s="741"/>
      <c r="S89" s="741"/>
      <c r="T89" s="741"/>
    </row>
    <row r="90" spans="1:20" ht="21">
      <c r="A90" s="1104"/>
      <c r="B90" s="760" t="s">
        <v>1484</v>
      </c>
      <c r="C90" s="761" t="s">
        <v>42</v>
      </c>
      <c r="D90" s="762" t="s">
        <v>1497</v>
      </c>
      <c r="E90" s="761">
        <v>1</v>
      </c>
      <c r="F90" s="761">
        <v>1</v>
      </c>
      <c r="G90" s="779">
        <v>244459</v>
      </c>
      <c r="H90" s="779">
        <v>244460</v>
      </c>
      <c r="I90" s="743"/>
      <c r="J90" s="821"/>
      <c r="K90" s="740"/>
      <c r="L90" s="823" t="s">
        <v>1498</v>
      </c>
      <c r="M90" s="534">
        <v>0</v>
      </c>
      <c r="N90" s="534">
        <v>0</v>
      </c>
      <c r="O90" s="833">
        <v>0</v>
      </c>
      <c r="P90" s="832">
        <f t="shared" si="1"/>
        <v>0</v>
      </c>
      <c r="Q90" s="742"/>
      <c r="R90" s="741"/>
      <c r="S90" s="741"/>
      <c r="T90" s="741"/>
    </row>
    <row r="91" spans="1:20" ht="21">
      <c r="A91" s="1104"/>
      <c r="B91" s="760" t="s">
        <v>1485</v>
      </c>
      <c r="C91" s="761" t="s">
        <v>42</v>
      </c>
      <c r="D91" s="762" t="s">
        <v>1497</v>
      </c>
      <c r="E91" s="761">
        <v>1</v>
      </c>
      <c r="F91" s="761">
        <v>1</v>
      </c>
      <c r="G91" s="779">
        <v>244459</v>
      </c>
      <c r="H91" s="779">
        <v>244460</v>
      </c>
      <c r="I91" s="743"/>
      <c r="J91" s="821"/>
      <c r="K91" s="740"/>
      <c r="L91" s="823" t="s">
        <v>1498</v>
      </c>
      <c r="M91" s="534">
        <v>0</v>
      </c>
      <c r="N91" s="534">
        <v>0</v>
      </c>
      <c r="O91" s="833">
        <v>0</v>
      </c>
      <c r="P91" s="832">
        <f t="shared" si="1"/>
        <v>0</v>
      </c>
      <c r="Q91" s="742"/>
      <c r="R91" s="741"/>
      <c r="S91" s="741"/>
      <c r="T91" s="741"/>
    </row>
    <row r="92" spans="1:20" ht="21">
      <c r="A92" s="1105" t="s">
        <v>1544</v>
      </c>
      <c r="B92" s="809" t="s">
        <v>1545</v>
      </c>
      <c r="C92" s="761" t="s">
        <v>42</v>
      </c>
      <c r="D92" s="762" t="s">
        <v>1497</v>
      </c>
      <c r="E92" s="761">
        <v>5</v>
      </c>
      <c r="F92" s="763" t="s">
        <v>40</v>
      </c>
      <c r="G92" s="779" t="s">
        <v>40</v>
      </c>
      <c r="H92" s="829" t="s">
        <v>40</v>
      </c>
      <c r="I92" s="743"/>
      <c r="J92" s="821"/>
      <c r="K92" s="740"/>
      <c r="L92" s="744" t="s">
        <v>1546</v>
      </c>
      <c r="M92" s="534"/>
      <c r="N92" s="534"/>
      <c r="O92" s="833"/>
      <c r="P92" s="832"/>
      <c r="Q92" s="742"/>
      <c r="R92" s="741"/>
      <c r="S92" s="741"/>
      <c r="T92" s="741"/>
    </row>
    <row r="93" spans="1:20" ht="21">
      <c r="A93" s="1105"/>
      <c r="B93" s="809" t="s">
        <v>1547</v>
      </c>
      <c r="C93" s="761" t="s">
        <v>42</v>
      </c>
      <c r="D93" s="762" t="s">
        <v>1497</v>
      </c>
      <c r="E93" s="761">
        <v>6</v>
      </c>
      <c r="F93" s="763" t="s">
        <v>40</v>
      </c>
      <c r="G93" s="779" t="s">
        <v>40</v>
      </c>
      <c r="H93" s="829" t="s">
        <v>40</v>
      </c>
      <c r="I93" s="743"/>
      <c r="J93" s="821"/>
      <c r="K93" s="740"/>
      <c r="L93" s="744" t="s">
        <v>1548</v>
      </c>
      <c r="M93" s="534"/>
      <c r="N93" s="534"/>
      <c r="O93" s="833"/>
      <c r="P93" s="832"/>
      <c r="Q93" s="742"/>
      <c r="R93" s="741"/>
      <c r="S93" s="741"/>
      <c r="T93" s="741"/>
    </row>
    <row r="94" spans="1:20" ht="21">
      <c r="A94" s="1105"/>
      <c r="B94" s="809" t="s">
        <v>1549</v>
      </c>
      <c r="C94" s="761" t="s">
        <v>42</v>
      </c>
      <c r="D94" s="762" t="s">
        <v>1497</v>
      </c>
      <c r="E94" s="761">
        <v>5</v>
      </c>
      <c r="F94" s="763" t="s">
        <v>40</v>
      </c>
      <c r="G94" s="779" t="s">
        <v>40</v>
      </c>
      <c r="H94" s="829" t="s">
        <v>40</v>
      </c>
      <c r="I94" s="743"/>
      <c r="J94" s="821"/>
      <c r="K94" s="740"/>
      <c r="L94" s="744" t="s">
        <v>1550</v>
      </c>
      <c r="M94" s="534"/>
      <c r="N94" s="534"/>
      <c r="O94" s="833"/>
      <c r="P94" s="832"/>
      <c r="Q94" s="742"/>
      <c r="R94" s="741"/>
      <c r="S94" s="741"/>
      <c r="T94" s="741"/>
    </row>
    <row r="95" spans="1:20" ht="42">
      <c r="A95" s="812" t="s">
        <v>1490</v>
      </c>
      <c r="B95" s="764" t="s">
        <v>40</v>
      </c>
      <c r="C95" s="765" t="s">
        <v>1491</v>
      </c>
      <c r="D95" s="765" t="s">
        <v>1551</v>
      </c>
      <c r="E95" s="766">
        <v>50</v>
      </c>
      <c r="F95" s="766">
        <v>50</v>
      </c>
      <c r="G95" s="779">
        <v>244459</v>
      </c>
      <c r="H95" s="779">
        <v>244519</v>
      </c>
      <c r="I95" s="743"/>
      <c r="J95" s="821"/>
      <c r="K95" s="740"/>
      <c r="L95" s="744" t="s">
        <v>1552</v>
      </c>
      <c r="M95" s="745">
        <v>0</v>
      </c>
      <c r="N95" s="745">
        <v>0</v>
      </c>
      <c r="O95" s="834">
        <v>0</v>
      </c>
      <c r="P95" s="832">
        <f t="shared" si="1"/>
        <v>0</v>
      </c>
      <c r="Q95" s="742"/>
      <c r="R95" s="741"/>
      <c r="S95" s="741"/>
      <c r="T95" s="741"/>
    </row>
    <row r="96" spans="1:20" ht="21">
      <c r="A96" s="1100" t="s">
        <v>145</v>
      </c>
      <c r="B96" s="1100"/>
      <c r="C96" s="1100"/>
      <c r="D96" s="1100"/>
      <c r="E96" s="1100"/>
      <c r="F96" s="1100"/>
      <c r="G96" s="1100"/>
      <c r="H96" s="1100"/>
      <c r="I96" s="1106"/>
      <c r="J96" s="821"/>
      <c r="K96" s="740"/>
      <c r="M96" s="745"/>
      <c r="N96" s="745"/>
      <c r="O96" s="834"/>
      <c r="P96" s="832">
        <f t="shared" si="1"/>
        <v>1</v>
      </c>
      <c r="Q96" s="742"/>
      <c r="R96" s="741"/>
      <c r="S96" s="741"/>
      <c r="T96" s="741"/>
    </row>
    <row r="97" spans="1:20" ht="42">
      <c r="A97" s="1100" t="s">
        <v>1379</v>
      </c>
      <c r="B97" s="813" t="s">
        <v>1553</v>
      </c>
      <c r="C97" s="757" t="s">
        <v>42</v>
      </c>
      <c r="D97" s="758" t="s">
        <v>1497</v>
      </c>
      <c r="E97" s="830" t="s">
        <v>40</v>
      </c>
      <c r="F97" s="831">
        <v>1</v>
      </c>
      <c r="G97" s="779">
        <v>244516</v>
      </c>
      <c r="H97" s="819">
        <v>244516</v>
      </c>
      <c r="I97" s="743"/>
      <c r="J97" s="822"/>
      <c r="K97" s="740"/>
      <c r="L97" s="824" t="s">
        <v>1554</v>
      </c>
      <c r="M97" s="820">
        <v>0</v>
      </c>
      <c r="N97" s="745">
        <v>0</v>
      </c>
      <c r="O97" s="834">
        <v>0</v>
      </c>
      <c r="P97" s="832">
        <f t="shared" si="1"/>
        <v>0</v>
      </c>
      <c r="Q97" s="742"/>
      <c r="R97" s="741"/>
      <c r="S97" s="741"/>
      <c r="T97" s="741"/>
    </row>
    <row r="98" spans="1:20" ht="42">
      <c r="A98" s="1100"/>
      <c r="B98" s="813" t="s">
        <v>1555</v>
      </c>
      <c r="C98" s="757" t="s">
        <v>42</v>
      </c>
      <c r="D98" s="758" t="s">
        <v>1497</v>
      </c>
      <c r="E98" s="830" t="s">
        <v>40</v>
      </c>
      <c r="F98" s="831">
        <v>1</v>
      </c>
      <c r="G98" s="779">
        <v>244517</v>
      </c>
      <c r="H98" s="819">
        <v>244517</v>
      </c>
      <c r="I98" s="743"/>
      <c r="J98" s="822"/>
      <c r="K98" s="740"/>
      <c r="L98" s="824" t="s">
        <v>1556</v>
      </c>
      <c r="M98" s="820">
        <v>0</v>
      </c>
      <c r="N98" s="745">
        <v>0</v>
      </c>
      <c r="O98" s="834">
        <v>0</v>
      </c>
      <c r="P98" s="832">
        <f t="shared" si="1"/>
        <v>0</v>
      </c>
      <c r="Q98" s="742"/>
      <c r="R98" s="741"/>
      <c r="S98" s="741"/>
      <c r="T98" s="741"/>
    </row>
    <row r="99" spans="1:20" ht="42">
      <c r="A99" s="810" t="s">
        <v>1557</v>
      </c>
      <c r="B99" s="809" t="s">
        <v>1558</v>
      </c>
      <c r="C99" s="757" t="s">
        <v>42</v>
      </c>
      <c r="D99" s="758" t="s">
        <v>1497</v>
      </c>
      <c r="E99" s="830" t="s">
        <v>40</v>
      </c>
      <c r="F99" s="831">
        <v>1</v>
      </c>
      <c r="G99" s="779">
        <v>244489</v>
      </c>
      <c r="H99" s="819">
        <v>244489</v>
      </c>
      <c r="I99" s="743"/>
      <c r="J99" s="822"/>
      <c r="K99" s="740"/>
      <c r="L99" s="824" t="s">
        <v>1559</v>
      </c>
      <c r="M99" s="820">
        <v>0</v>
      </c>
      <c r="N99" s="745">
        <v>0</v>
      </c>
      <c r="O99" s="834">
        <v>0</v>
      </c>
      <c r="P99" s="832">
        <f t="shared" si="1"/>
        <v>0</v>
      </c>
      <c r="Q99" s="742"/>
      <c r="R99" s="741"/>
      <c r="S99" s="741"/>
      <c r="T99" s="741"/>
    </row>
  </sheetData>
  <autoFilter ref="G2:H99" xr:uid="{7FCACB15-F5D0-44CF-88C8-DA100F101FB3}"/>
  <mergeCells count="53">
    <mergeCell ref="Q1:Q2"/>
    <mergeCell ref="L1:L2"/>
    <mergeCell ref="M1:M2"/>
    <mergeCell ref="N1:N2"/>
    <mergeCell ref="O1:O2"/>
    <mergeCell ref="P1:P2"/>
    <mergeCell ref="L38:L39"/>
    <mergeCell ref="A40:A41"/>
    <mergeCell ref="A4:A35"/>
    <mergeCell ref="L4:L14"/>
    <mergeCell ref="L15:L17"/>
    <mergeCell ref="B18:B19"/>
    <mergeCell ref="L18:L19"/>
    <mergeCell ref="L31:L32"/>
    <mergeCell ref="B4:B14"/>
    <mergeCell ref="B15:B17"/>
    <mergeCell ref="B31:B32"/>
    <mergeCell ref="A38:A39"/>
    <mergeCell ref="B38:B39"/>
    <mergeCell ref="A97:A98"/>
    <mergeCell ref="G1:H1"/>
    <mergeCell ref="I1:I2"/>
    <mergeCell ref="B70:B71"/>
    <mergeCell ref="L70:L71"/>
    <mergeCell ref="B78:B79"/>
    <mergeCell ref="L78:L79"/>
    <mergeCell ref="A81:A82"/>
    <mergeCell ref="L81:L82"/>
    <mergeCell ref="B63:B64"/>
    <mergeCell ref="L63:L64"/>
    <mergeCell ref="B65:B66"/>
    <mergeCell ref="L65:L66"/>
    <mergeCell ref="A68:A69"/>
    <mergeCell ref="B68:B69"/>
    <mergeCell ref="L68:L69"/>
    <mergeCell ref="J1:J2"/>
    <mergeCell ref="K1:K2"/>
    <mergeCell ref="A83:A91"/>
    <mergeCell ref="A92:A94"/>
    <mergeCell ref="A96:I96"/>
    <mergeCell ref="B43:B44"/>
    <mergeCell ref="A36:A37"/>
    <mergeCell ref="A42:A49"/>
    <mergeCell ref="A63:A66"/>
    <mergeCell ref="A70:A71"/>
    <mergeCell ref="L43:L44"/>
    <mergeCell ref="B45:B46"/>
    <mergeCell ref="L45:L46"/>
    <mergeCell ref="A51:A62"/>
    <mergeCell ref="B54:B55"/>
    <mergeCell ref="L54:L55"/>
    <mergeCell ref="B57:B58"/>
    <mergeCell ref="L57:L58"/>
  </mergeCells>
  <pageMargins left="0.7" right="0.7" top="0.75" bottom="0.75" header="0.3" footer="0.3"/>
  <pageSetup paperSize="9" orientation="portrait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80" zoomScaleNormal="80" workbookViewId="0">
      <pane ySplit="1" topLeftCell="A2" activePane="bottomLeft" state="frozen"/>
      <selection pane="bottomLeft" activeCell="C8" sqref="C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70" t="s">
        <v>17</v>
      </c>
      <c r="C1" s="797" t="s">
        <v>16</v>
      </c>
      <c r="D1" s="783" t="s">
        <v>151</v>
      </c>
      <c r="E1" s="783" t="s">
        <v>152</v>
      </c>
      <c r="F1" s="783" t="s">
        <v>153</v>
      </c>
      <c r="G1" s="783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20" t="s">
        <v>1428</v>
      </c>
      <c r="B2" s="1118">
        <v>1</v>
      </c>
      <c r="C2" s="79" t="s">
        <v>189</v>
      </c>
      <c r="D2" s="8">
        <v>1</v>
      </c>
      <c r="E2" s="8">
        <v>1</v>
      </c>
      <c r="F2" s="815">
        <v>0</v>
      </c>
      <c r="G2" s="815" t="s">
        <v>157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1120"/>
      <c r="B3" s="1118"/>
      <c r="C3" s="79" t="s">
        <v>244</v>
      </c>
      <c r="D3" s="8">
        <v>1</v>
      </c>
      <c r="E3" s="8">
        <v>1</v>
      </c>
      <c r="F3" s="815">
        <v>0</v>
      </c>
      <c r="G3" s="815" t="s">
        <v>157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20"/>
      <c r="B4" s="1118"/>
      <c r="C4" s="79" t="s">
        <v>242</v>
      </c>
      <c r="D4" s="8">
        <v>1</v>
      </c>
      <c r="E4" s="8">
        <v>1</v>
      </c>
      <c r="F4" s="815">
        <v>0</v>
      </c>
      <c r="G4" s="815" t="s">
        <v>157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20"/>
      <c r="B5" s="1118"/>
      <c r="C5" s="79" t="s">
        <v>1560</v>
      </c>
      <c r="D5" s="8">
        <v>1</v>
      </c>
      <c r="E5" s="8">
        <v>1</v>
      </c>
      <c r="F5" s="815">
        <v>0</v>
      </c>
      <c r="G5" s="815" t="s">
        <v>157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20"/>
      <c r="B6" s="1118"/>
      <c r="C6" s="79" t="s">
        <v>1561</v>
      </c>
      <c r="D6" s="8">
        <v>1</v>
      </c>
      <c r="E6" s="8">
        <v>1</v>
      </c>
      <c r="F6" s="815">
        <v>0</v>
      </c>
      <c r="G6" s="815" t="s">
        <v>157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20"/>
      <c r="B7" s="1118"/>
      <c r="C7" s="73" t="s">
        <v>129</v>
      </c>
      <c r="D7" s="8">
        <v>1</v>
      </c>
      <c r="E7" s="8">
        <v>0</v>
      </c>
      <c r="F7" s="815">
        <v>1</v>
      </c>
      <c r="G7" s="815" t="s">
        <v>157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20"/>
      <c r="B8" s="1118"/>
      <c r="C8" s="73" t="s">
        <v>1562</v>
      </c>
      <c r="D8" s="8">
        <v>1</v>
      </c>
      <c r="E8" s="8">
        <v>0</v>
      </c>
      <c r="F8" s="815">
        <v>1</v>
      </c>
      <c r="G8" s="815" t="s">
        <v>157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20"/>
      <c r="B9" s="1118">
        <v>2</v>
      </c>
      <c r="C9" s="73" t="s">
        <v>1563</v>
      </c>
      <c r="D9" s="8">
        <v>1</v>
      </c>
      <c r="E9" s="8">
        <v>0</v>
      </c>
      <c r="F9" s="815">
        <v>1</v>
      </c>
      <c r="G9" s="815" t="s">
        <v>157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20"/>
      <c r="B10" s="1118"/>
      <c r="C10" s="79" t="s">
        <v>244</v>
      </c>
      <c r="D10" s="8">
        <v>1</v>
      </c>
      <c r="E10" s="8">
        <v>1</v>
      </c>
      <c r="F10" s="815">
        <v>0</v>
      </c>
      <c r="G10" s="815" t="s">
        <v>157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20"/>
      <c r="B11" s="1118"/>
      <c r="C11" s="79" t="s">
        <v>1564</v>
      </c>
      <c r="D11" s="8">
        <v>2</v>
      </c>
      <c r="E11" s="8">
        <v>2</v>
      </c>
      <c r="F11" s="815">
        <v>0</v>
      </c>
      <c r="G11" s="815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20"/>
      <c r="B12" s="1118"/>
      <c r="C12" s="79" t="s">
        <v>1565</v>
      </c>
      <c r="D12" s="8">
        <v>1</v>
      </c>
      <c r="E12" s="8">
        <v>1</v>
      </c>
      <c r="F12" s="815">
        <v>0</v>
      </c>
      <c r="G12" s="815" t="s">
        <v>157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20"/>
      <c r="B13" s="1118"/>
      <c r="C13" s="73" t="s">
        <v>1566</v>
      </c>
      <c r="D13" s="8">
        <v>1</v>
      </c>
      <c r="E13" s="8">
        <v>0</v>
      </c>
      <c r="F13" s="815">
        <v>1</v>
      </c>
      <c r="G13" s="815" t="s">
        <v>157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20"/>
      <c r="B14" s="1118"/>
      <c r="C14" s="73" t="s">
        <v>1567</v>
      </c>
      <c r="D14" s="8">
        <v>1</v>
      </c>
      <c r="E14" s="8">
        <v>0</v>
      </c>
      <c r="F14" s="815">
        <v>1</v>
      </c>
      <c r="G14" s="815" t="s">
        <v>157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20"/>
      <c r="B15" s="1118">
        <v>3</v>
      </c>
      <c r="C15" s="79" t="s">
        <v>1568</v>
      </c>
      <c r="D15" s="8">
        <v>1</v>
      </c>
      <c r="E15" s="8">
        <v>1</v>
      </c>
      <c r="F15" s="815">
        <v>0</v>
      </c>
      <c r="G15" s="815" t="s">
        <v>157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20"/>
      <c r="B16" s="1118"/>
      <c r="C16" s="79" t="s">
        <v>129</v>
      </c>
      <c r="D16" s="8">
        <v>1</v>
      </c>
      <c r="E16" s="8">
        <v>1</v>
      </c>
      <c r="F16" s="815">
        <v>0</v>
      </c>
      <c r="G16" s="815" t="s">
        <v>157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20"/>
      <c r="B17" s="1118"/>
      <c r="C17" s="79" t="s">
        <v>244</v>
      </c>
      <c r="D17" s="8">
        <v>1</v>
      </c>
      <c r="E17" s="8">
        <v>1</v>
      </c>
      <c r="F17" s="815">
        <v>0</v>
      </c>
      <c r="G17" s="815" t="s">
        <v>157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20"/>
      <c r="B18" s="1118"/>
      <c r="C18" s="73" t="s">
        <v>1569</v>
      </c>
      <c r="D18" s="8">
        <v>1</v>
      </c>
      <c r="E18" s="8">
        <v>0</v>
      </c>
      <c r="F18" s="815">
        <v>1</v>
      </c>
      <c r="G18" s="815" t="s">
        <v>157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20"/>
      <c r="B19" s="1118"/>
      <c r="C19" s="73" t="s">
        <v>1570</v>
      </c>
      <c r="D19" s="8">
        <v>1</v>
      </c>
      <c r="E19" s="8">
        <v>0</v>
      </c>
      <c r="F19" s="815">
        <v>1</v>
      </c>
      <c r="G19" s="815" t="s">
        <v>157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20"/>
      <c r="B20" s="1118">
        <v>4</v>
      </c>
      <c r="C20" s="79" t="s">
        <v>1571</v>
      </c>
      <c r="D20" s="8">
        <v>1</v>
      </c>
      <c r="E20" s="8">
        <v>1</v>
      </c>
      <c r="F20" s="815">
        <v>0</v>
      </c>
      <c r="G20" s="815" t="s">
        <v>157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20"/>
      <c r="B21" s="1118"/>
      <c r="C21" s="79" t="s">
        <v>1572</v>
      </c>
      <c r="D21" s="8">
        <v>1</v>
      </c>
      <c r="E21" s="8">
        <v>1</v>
      </c>
      <c r="F21" s="815">
        <v>0</v>
      </c>
      <c r="G21" s="815" t="s">
        <v>157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20"/>
      <c r="B22" s="1118"/>
      <c r="C22" s="79" t="s">
        <v>183</v>
      </c>
      <c r="D22" s="8">
        <v>1</v>
      </c>
      <c r="E22" s="8">
        <v>1</v>
      </c>
      <c r="F22" s="815">
        <v>0</v>
      </c>
      <c r="G22" s="815" t="s">
        <v>157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20"/>
      <c r="B23" s="1118"/>
      <c r="C23" s="73" t="s">
        <v>1573</v>
      </c>
      <c r="D23" s="8">
        <v>1</v>
      </c>
      <c r="E23" s="8">
        <v>0</v>
      </c>
      <c r="F23" s="815">
        <v>1</v>
      </c>
      <c r="G23" s="815" t="s">
        <v>157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20"/>
      <c r="B24" s="1118"/>
      <c r="C24" s="73" t="s">
        <v>1574</v>
      </c>
      <c r="D24" s="8">
        <v>2</v>
      </c>
      <c r="E24" s="8">
        <v>0</v>
      </c>
      <c r="F24" s="815">
        <v>2</v>
      </c>
      <c r="G24" s="815" t="s">
        <v>157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20"/>
      <c r="B25" s="1118"/>
      <c r="C25" s="73" t="s">
        <v>1575</v>
      </c>
      <c r="D25" s="8">
        <v>1</v>
      </c>
      <c r="E25" s="8">
        <v>0</v>
      </c>
      <c r="F25" s="815">
        <v>1</v>
      </c>
      <c r="G25" s="815" t="s">
        <v>157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20"/>
      <c r="B26" s="1118">
        <v>5</v>
      </c>
      <c r="C26" s="79" t="s">
        <v>129</v>
      </c>
      <c r="D26" s="8">
        <v>2</v>
      </c>
      <c r="E26" s="8">
        <v>1</v>
      </c>
      <c r="F26" s="815">
        <v>1</v>
      </c>
      <c r="G26" s="815" t="s">
        <v>157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20"/>
      <c r="B27" s="1118"/>
      <c r="C27" s="79" t="s">
        <v>1576</v>
      </c>
      <c r="D27" s="8">
        <v>1</v>
      </c>
      <c r="E27" s="8">
        <v>1</v>
      </c>
      <c r="F27" s="815">
        <v>0</v>
      </c>
      <c r="G27" s="815" t="s">
        <v>157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20"/>
      <c r="B28" s="1118"/>
      <c r="C28" s="79" t="s">
        <v>1577</v>
      </c>
      <c r="D28" s="8">
        <v>1</v>
      </c>
      <c r="E28" s="8">
        <v>1</v>
      </c>
      <c r="F28" s="815">
        <v>0</v>
      </c>
      <c r="G28" s="815" t="s">
        <v>157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19" t="s">
        <v>1438</v>
      </c>
      <c r="B29" s="1118">
        <v>1</v>
      </c>
      <c r="C29" s="79" t="s">
        <v>1578</v>
      </c>
      <c r="D29" s="8">
        <v>1</v>
      </c>
      <c r="E29" s="8">
        <v>1</v>
      </c>
      <c r="F29" s="815">
        <v>0</v>
      </c>
      <c r="G29" s="815" t="s">
        <v>157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19"/>
      <c r="B30" s="1118"/>
      <c r="C30" s="79" t="s">
        <v>244</v>
      </c>
      <c r="D30" s="8">
        <v>1</v>
      </c>
      <c r="E30" s="8">
        <v>1</v>
      </c>
      <c r="F30" s="815">
        <v>0</v>
      </c>
      <c r="G30" s="815" t="s">
        <v>157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19"/>
      <c r="B31" s="1118">
        <v>2</v>
      </c>
      <c r="C31" s="79" t="s">
        <v>1579</v>
      </c>
      <c r="D31" s="8">
        <v>1</v>
      </c>
      <c r="E31" s="8">
        <v>1</v>
      </c>
      <c r="F31" s="815">
        <v>0</v>
      </c>
      <c r="G31" s="815" t="s">
        <v>157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19"/>
      <c r="B32" s="1118"/>
      <c r="C32" s="79" t="s">
        <v>1580</v>
      </c>
      <c r="D32" s="8">
        <v>1</v>
      </c>
      <c r="E32" s="8">
        <v>1</v>
      </c>
      <c r="F32" s="815">
        <v>0</v>
      </c>
      <c r="G32" s="815" t="s">
        <v>157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19"/>
      <c r="B33" s="814"/>
      <c r="C33" s="79" t="s">
        <v>1581</v>
      </c>
      <c r="D33" s="8">
        <v>1</v>
      </c>
      <c r="E33" s="8">
        <v>1</v>
      </c>
      <c r="F33" s="815">
        <v>0</v>
      </c>
      <c r="G33" s="815" t="s">
        <v>157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19"/>
      <c r="B34" s="814">
        <v>3</v>
      </c>
      <c r="C34" s="79" t="s">
        <v>1582</v>
      </c>
      <c r="D34" s="8">
        <v>1</v>
      </c>
      <c r="E34" s="8">
        <v>1</v>
      </c>
      <c r="F34" s="815">
        <v>0</v>
      </c>
      <c r="G34" s="815" t="s">
        <v>157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19"/>
      <c r="B35" s="80"/>
      <c r="C35" s="79" t="s">
        <v>1583</v>
      </c>
      <c r="D35" s="8">
        <v>1</v>
      </c>
      <c r="E35" s="8">
        <v>1</v>
      </c>
      <c r="F35" s="815">
        <v>0</v>
      </c>
      <c r="G35" s="815" t="s">
        <v>157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119" t="s">
        <v>1584</v>
      </c>
      <c r="B36" s="814"/>
      <c r="C36" s="73" t="s">
        <v>1585</v>
      </c>
      <c r="D36" s="8">
        <v>1</v>
      </c>
      <c r="E36" s="8">
        <v>1</v>
      </c>
      <c r="F36" s="815">
        <v>0</v>
      </c>
      <c r="G36" s="815" t="s">
        <v>157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119"/>
      <c r="B37" s="814">
        <v>1</v>
      </c>
      <c r="C37" s="73" t="s">
        <v>129</v>
      </c>
      <c r="D37" s="8">
        <v>2</v>
      </c>
      <c r="E37" s="8">
        <v>1</v>
      </c>
      <c r="F37" s="815">
        <v>1</v>
      </c>
      <c r="G37" s="815" t="s">
        <v>157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119"/>
      <c r="B38" s="1118">
        <v>2</v>
      </c>
      <c r="C38" s="73" t="s">
        <v>1586</v>
      </c>
      <c r="D38" s="8">
        <v>1</v>
      </c>
      <c r="E38" s="8">
        <v>1</v>
      </c>
      <c r="F38" s="815">
        <v>0</v>
      </c>
      <c r="G38" s="815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19"/>
      <c r="B39" s="1118"/>
      <c r="C39" s="73" t="s">
        <v>129</v>
      </c>
      <c r="D39" s="8">
        <v>2</v>
      </c>
      <c r="E39" s="8">
        <v>1</v>
      </c>
      <c r="F39" s="815">
        <v>1</v>
      </c>
      <c r="G39" s="815" t="s">
        <v>157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19"/>
      <c r="B40" s="1118"/>
      <c r="C40" s="73" t="s">
        <v>1587</v>
      </c>
      <c r="D40" s="8">
        <v>1</v>
      </c>
      <c r="E40" s="8">
        <v>0</v>
      </c>
      <c r="F40" s="815">
        <v>1</v>
      </c>
      <c r="G40" s="815" t="s">
        <v>157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19" t="s">
        <v>1588</v>
      </c>
      <c r="B41" s="1118">
        <v>1</v>
      </c>
      <c r="C41" s="79" t="s">
        <v>1589</v>
      </c>
      <c r="D41" s="8">
        <v>1</v>
      </c>
      <c r="E41" s="8">
        <v>1</v>
      </c>
      <c r="F41" s="815">
        <v>0</v>
      </c>
      <c r="G41" s="815" t="s">
        <v>157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19"/>
      <c r="B42" s="1118"/>
      <c r="C42" s="79" t="s">
        <v>1590</v>
      </c>
      <c r="D42" s="8">
        <v>1</v>
      </c>
      <c r="E42" s="8">
        <v>1</v>
      </c>
      <c r="F42" s="815">
        <v>0</v>
      </c>
      <c r="G42" s="815" t="s">
        <v>157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19"/>
      <c r="B43" s="1118"/>
      <c r="C43" s="79" t="s">
        <v>1591</v>
      </c>
      <c r="D43" s="8">
        <v>1</v>
      </c>
      <c r="E43" s="8">
        <v>1</v>
      </c>
      <c r="F43" s="815">
        <v>0</v>
      </c>
      <c r="G43" s="815" t="s">
        <v>157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1119"/>
      <c r="B44" s="1118">
        <v>2</v>
      </c>
      <c r="C44" s="79" t="s">
        <v>244</v>
      </c>
      <c r="D44" s="8">
        <v>2</v>
      </c>
      <c r="E44" s="8">
        <v>2</v>
      </c>
      <c r="F44" s="815">
        <v>0</v>
      </c>
      <c r="G44" s="815" t="s">
        <v>157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1119"/>
      <c r="B45" s="1118"/>
      <c r="C45" s="79" t="s">
        <v>129</v>
      </c>
      <c r="D45" s="8">
        <v>1</v>
      </c>
      <c r="E45" s="8">
        <v>1</v>
      </c>
      <c r="F45" s="815">
        <v>0</v>
      </c>
      <c r="G45" s="815" t="s">
        <v>157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257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258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4">
    <mergeCell ref="A2:A28"/>
    <mergeCell ref="B2:B8"/>
    <mergeCell ref="B9:B14"/>
    <mergeCell ref="B15:B19"/>
    <mergeCell ref="B20:B25"/>
    <mergeCell ref="B26:B28"/>
    <mergeCell ref="B31:B32"/>
    <mergeCell ref="A36:A40"/>
    <mergeCell ref="B38:B40"/>
    <mergeCell ref="A41:A45"/>
    <mergeCell ref="B41:B43"/>
    <mergeCell ref="B44:B45"/>
    <mergeCell ref="A29:A35"/>
    <mergeCell ref="B29:B30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259</v>
      </c>
      <c r="B1" s="138" t="s">
        <v>15</v>
      </c>
      <c r="C1" s="116" t="s">
        <v>17</v>
      </c>
      <c r="D1" s="116" t="s">
        <v>260</v>
      </c>
      <c r="E1" s="113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115" t="s">
        <v>8</v>
      </c>
      <c r="B2" s="139" t="s">
        <v>1377</v>
      </c>
      <c r="C2" s="178">
        <v>1</v>
      </c>
      <c r="D2" s="143" t="s">
        <v>1378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15" t="s">
        <v>8</v>
      </c>
      <c r="B3" s="140" t="s">
        <v>1379</v>
      </c>
      <c r="C3" s="179">
        <v>2</v>
      </c>
      <c r="D3" s="143" t="s">
        <v>1380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157</v>
      </c>
    </row>
    <row r="4" spans="1:15" s="92" customFormat="1">
      <c r="A4" s="115" t="s">
        <v>8</v>
      </c>
      <c r="B4" s="140" t="s">
        <v>1379</v>
      </c>
      <c r="C4" s="179">
        <v>1</v>
      </c>
      <c r="D4" s="114" t="s">
        <v>1388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15" t="s">
        <v>8</v>
      </c>
      <c r="B5" s="140" t="s">
        <v>1379</v>
      </c>
      <c r="C5" s="179">
        <v>1</v>
      </c>
      <c r="D5" s="114" t="s">
        <v>1390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157</v>
      </c>
    </row>
    <row r="6" spans="1:15" s="92" customFormat="1">
      <c r="A6" s="115" t="s">
        <v>8</v>
      </c>
      <c r="B6" s="140" t="s">
        <v>1379</v>
      </c>
      <c r="C6" s="179">
        <v>1</v>
      </c>
      <c r="D6" s="114" t="s">
        <v>1392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 ht="30" customHeight="1">
      <c r="A7" s="115" t="s">
        <v>8</v>
      </c>
      <c r="B7" s="140" t="s">
        <v>1379</v>
      </c>
      <c r="C7" s="179">
        <v>2</v>
      </c>
      <c r="D7" s="114" t="s">
        <v>1592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157</v>
      </c>
    </row>
    <row r="8" spans="1:15" s="92" customFormat="1">
      <c r="A8" s="115" t="s">
        <v>8</v>
      </c>
      <c r="B8" s="140" t="s">
        <v>1379</v>
      </c>
      <c r="C8" s="179">
        <v>2</v>
      </c>
      <c r="D8" s="143" t="s">
        <v>1593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115" t="s">
        <v>8</v>
      </c>
      <c r="B9" s="140" t="s">
        <v>1379</v>
      </c>
      <c r="C9" s="179">
        <v>2</v>
      </c>
      <c r="D9" s="114" t="s">
        <v>1398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15" t="s">
        <v>8</v>
      </c>
      <c r="B10" s="140" t="s">
        <v>1379</v>
      </c>
      <c r="C10" s="179">
        <v>3</v>
      </c>
      <c r="D10" s="114" t="s">
        <v>1400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15" t="s">
        <v>8</v>
      </c>
      <c r="B11" s="140" t="s">
        <v>1379</v>
      </c>
      <c r="C11" s="179">
        <v>3</v>
      </c>
      <c r="D11" s="114" t="s">
        <v>1402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15" t="s">
        <v>8</v>
      </c>
      <c r="B12" s="140" t="s">
        <v>1379</v>
      </c>
      <c r="C12" s="179">
        <v>1</v>
      </c>
      <c r="D12" s="114" t="s">
        <v>1404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157</v>
      </c>
    </row>
    <row r="13" spans="1:15" s="92" customFormat="1">
      <c r="A13" s="115" t="s">
        <v>8</v>
      </c>
      <c r="B13" s="140" t="s">
        <v>1379</v>
      </c>
      <c r="C13" s="179">
        <v>2</v>
      </c>
      <c r="D13" s="114" t="s">
        <v>1406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15" t="s">
        <v>8</v>
      </c>
      <c r="B14" s="140" t="s">
        <v>1379</v>
      </c>
      <c r="C14" s="179">
        <v>2</v>
      </c>
      <c r="D14" s="114" t="s">
        <v>1408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15" t="s">
        <v>8</v>
      </c>
      <c r="B15" s="140" t="s">
        <v>1379</v>
      </c>
      <c r="C15" s="179">
        <v>4</v>
      </c>
      <c r="D15" s="114" t="s">
        <v>1412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15" t="s">
        <v>8</v>
      </c>
      <c r="B16" s="140" t="s">
        <v>1379</v>
      </c>
      <c r="C16" s="179">
        <v>4</v>
      </c>
      <c r="D16" s="114" t="s">
        <v>1414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115" t="s">
        <v>8</v>
      </c>
      <c r="B17" s="140" t="s">
        <v>1379</v>
      </c>
      <c r="C17" s="179">
        <v>3</v>
      </c>
      <c r="D17" s="114" t="s">
        <v>1417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115" t="s">
        <v>8</v>
      </c>
      <c r="B18" s="140" t="s">
        <v>1379</v>
      </c>
      <c r="C18" s="179">
        <v>3</v>
      </c>
      <c r="D18" s="114" t="s">
        <v>1418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115" t="s">
        <v>8</v>
      </c>
      <c r="B19" s="140" t="s">
        <v>1379</v>
      </c>
      <c r="C19" s="179">
        <v>3</v>
      </c>
      <c r="D19" s="114" t="s">
        <v>1419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115" t="s">
        <v>8</v>
      </c>
      <c r="B20" s="140" t="s">
        <v>1379</v>
      </c>
      <c r="C20" s="179">
        <v>3</v>
      </c>
      <c r="D20" s="114" t="s">
        <v>1420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 ht="36">
      <c r="A21" s="115" t="s">
        <v>8</v>
      </c>
      <c r="B21" s="140" t="s">
        <v>1379</v>
      </c>
      <c r="C21" s="145">
        <v>3</v>
      </c>
      <c r="D21" s="165" t="s">
        <v>1421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115" t="s">
        <v>8</v>
      </c>
      <c r="B22" s="139" t="s">
        <v>1423</v>
      </c>
      <c r="C22" s="178">
        <v>2</v>
      </c>
      <c r="D22" s="114" t="s">
        <v>1424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115" t="s">
        <v>8</v>
      </c>
      <c r="B23" s="139" t="s">
        <v>1425</v>
      </c>
      <c r="C23" s="178">
        <v>1</v>
      </c>
      <c r="D23" s="114" t="s">
        <v>1426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115" t="s">
        <v>8</v>
      </c>
      <c r="B24" s="139" t="s">
        <v>1425</v>
      </c>
      <c r="C24" s="178">
        <v>1</v>
      </c>
      <c r="D24" s="143" t="s">
        <v>1427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157</v>
      </c>
    </row>
    <row r="25" spans="1:15" s="92" customFormat="1">
      <c r="A25" s="115" t="s">
        <v>8</v>
      </c>
      <c r="B25" s="139" t="s">
        <v>1428</v>
      </c>
      <c r="C25" s="178">
        <v>2</v>
      </c>
      <c r="D25" s="143" t="s">
        <v>1429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115" t="s">
        <v>8</v>
      </c>
      <c r="B26" s="139" t="s">
        <v>1428</v>
      </c>
      <c r="C26" s="178">
        <v>1</v>
      </c>
      <c r="D26" s="143" t="s">
        <v>1430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157</v>
      </c>
    </row>
    <row r="27" spans="1:15" s="92" customFormat="1">
      <c r="A27" s="115" t="s">
        <v>8</v>
      </c>
      <c r="B27" s="139" t="s">
        <v>1428</v>
      </c>
      <c r="C27" s="178">
        <v>5</v>
      </c>
      <c r="D27" s="143" t="s">
        <v>1431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115" t="s">
        <v>8</v>
      </c>
      <c r="B28" s="139" t="s">
        <v>1428</v>
      </c>
      <c r="C28" s="178">
        <v>5</v>
      </c>
      <c r="D28" s="143" t="s">
        <v>1594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115" t="s">
        <v>8</v>
      </c>
      <c r="B29" s="139" t="s">
        <v>1428</v>
      </c>
      <c r="C29" s="178">
        <v>3</v>
      </c>
      <c r="D29" s="143" t="s">
        <v>1434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115" t="s">
        <v>8</v>
      </c>
      <c r="B30" s="165" t="s">
        <v>1595</v>
      </c>
      <c r="C30" s="144">
        <v>1</v>
      </c>
      <c r="D30" s="143" t="s">
        <v>1436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115" t="s">
        <v>8</v>
      </c>
      <c r="B31" s="139" t="s">
        <v>130</v>
      </c>
      <c r="C31" s="178">
        <v>2</v>
      </c>
      <c r="D31" s="114" t="s">
        <v>1437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115" t="s">
        <v>8</v>
      </c>
      <c r="B32" s="139" t="s">
        <v>1438</v>
      </c>
      <c r="C32" s="178">
        <v>2</v>
      </c>
      <c r="D32" s="142" t="s">
        <v>1596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5" s="92" customFormat="1">
      <c r="A33" s="115" t="s">
        <v>8</v>
      </c>
      <c r="B33" s="139" t="s">
        <v>1438</v>
      </c>
      <c r="C33" s="178">
        <v>3</v>
      </c>
      <c r="D33" s="114" t="s">
        <v>1440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157</v>
      </c>
    </row>
    <row r="34" spans="1:15" s="92" customFormat="1">
      <c r="A34" s="115" t="s">
        <v>8</v>
      </c>
      <c r="B34" s="139" t="s">
        <v>1438</v>
      </c>
      <c r="C34" s="178">
        <v>1</v>
      </c>
      <c r="D34" s="114" t="s">
        <v>1441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157</v>
      </c>
    </row>
    <row r="35" spans="1:15" s="92" customFormat="1">
      <c r="A35" s="115" t="s">
        <v>8</v>
      </c>
      <c r="B35" s="139" t="s">
        <v>1438</v>
      </c>
      <c r="C35" s="178">
        <v>1</v>
      </c>
      <c r="D35" s="114" t="s">
        <v>1443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157</v>
      </c>
    </row>
    <row r="36" spans="1:15" s="92" customFormat="1">
      <c r="A36" s="115" t="s">
        <v>8</v>
      </c>
      <c r="B36" s="139" t="s">
        <v>1438</v>
      </c>
      <c r="C36" s="178">
        <v>1</v>
      </c>
      <c r="D36" s="114" t="s">
        <v>1445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157</v>
      </c>
    </row>
    <row r="37" spans="1:15" s="92" customFormat="1">
      <c r="A37" s="115" t="s">
        <v>8</v>
      </c>
      <c r="B37" s="139" t="s">
        <v>1438</v>
      </c>
      <c r="C37" s="178">
        <v>2</v>
      </c>
      <c r="D37" s="114" t="s">
        <v>1447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157</v>
      </c>
    </row>
    <row r="38" spans="1:15" s="92" customFormat="1">
      <c r="A38" s="115" t="s">
        <v>8</v>
      </c>
      <c r="B38" s="139" t="s">
        <v>1438</v>
      </c>
      <c r="C38" s="178">
        <v>2</v>
      </c>
      <c r="D38" s="114" t="s">
        <v>1449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157</v>
      </c>
    </row>
    <row r="39" spans="1:15" s="92" customFormat="1">
      <c r="A39" s="115" t="s">
        <v>8</v>
      </c>
      <c r="B39" s="139" t="s">
        <v>1438</v>
      </c>
      <c r="C39" s="178">
        <v>2</v>
      </c>
      <c r="D39" s="114" t="s">
        <v>1451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157</v>
      </c>
    </row>
    <row r="40" spans="1:15" s="92" customFormat="1">
      <c r="A40" s="115" t="s">
        <v>8</v>
      </c>
      <c r="B40" s="139" t="s">
        <v>1438</v>
      </c>
      <c r="C40" s="178">
        <v>3</v>
      </c>
      <c r="D40" s="114" t="s">
        <v>1453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157</v>
      </c>
    </row>
    <row r="41" spans="1:15" s="92" customFormat="1">
      <c r="A41" s="115" t="s">
        <v>8</v>
      </c>
      <c r="B41" s="139" t="s">
        <v>1457</v>
      </c>
      <c r="C41" s="178">
        <v>2</v>
      </c>
      <c r="D41" s="114" t="s">
        <v>1458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157</v>
      </c>
    </row>
    <row r="42" spans="1:15" s="92" customFormat="1">
      <c r="A42" s="115" t="s">
        <v>8</v>
      </c>
      <c r="B42" s="139" t="s">
        <v>1457</v>
      </c>
      <c r="C42" s="178">
        <v>2</v>
      </c>
      <c r="D42" s="114" t="s">
        <v>1459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157</v>
      </c>
    </row>
    <row r="43" spans="1:15" s="92" customFormat="1">
      <c r="A43" s="115" t="s">
        <v>8</v>
      </c>
      <c r="B43" s="139" t="s">
        <v>1462</v>
      </c>
      <c r="C43" s="178">
        <v>2</v>
      </c>
      <c r="D43" s="114" t="s">
        <v>1424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157</v>
      </c>
    </row>
    <row r="44" spans="1:15" s="92" customFormat="1">
      <c r="A44" s="115" t="s">
        <v>8</v>
      </c>
      <c r="B44" s="141" t="s">
        <v>1463</v>
      </c>
      <c r="C44" s="178">
        <v>1</v>
      </c>
      <c r="D44" s="114" t="s">
        <v>1426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157</v>
      </c>
    </row>
    <row r="45" spans="1:15" s="92" customFormat="1" ht="54">
      <c r="A45" s="115" t="s">
        <v>8</v>
      </c>
      <c r="B45" s="165" t="s">
        <v>1597</v>
      </c>
      <c r="C45" s="278">
        <v>1</v>
      </c>
      <c r="D45" s="277" t="s">
        <v>1426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157</v>
      </c>
    </row>
    <row r="46" spans="1:15" s="92" customFormat="1">
      <c r="A46" s="115" t="s">
        <v>8</v>
      </c>
      <c r="B46" s="141" t="s">
        <v>1467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157</v>
      </c>
    </row>
    <row r="47" spans="1:15" s="92" customFormat="1">
      <c r="A47" s="115" t="s">
        <v>8</v>
      </c>
      <c r="B47" s="141" t="s">
        <v>1473</v>
      </c>
      <c r="C47" s="178">
        <v>1</v>
      </c>
      <c r="D47" s="114" t="s">
        <v>1474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157</v>
      </c>
    </row>
    <row r="48" spans="1:15" s="92" customFormat="1" ht="36">
      <c r="A48" s="115" t="s">
        <v>8</v>
      </c>
      <c r="B48" s="139" t="s">
        <v>1598</v>
      </c>
      <c r="C48" s="178">
        <v>1</v>
      </c>
      <c r="D48" s="114" t="s">
        <v>1426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157</v>
      </c>
    </row>
    <row r="49" spans="1:16" s="92" customFormat="1">
      <c r="A49" s="115" t="s">
        <v>8</v>
      </c>
      <c r="B49" s="139" t="s">
        <v>1476</v>
      </c>
      <c r="C49" s="178" t="s">
        <v>272</v>
      </c>
      <c r="D49" s="143" t="s">
        <v>1599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157</v>
      </c>
    </row>
    <row r="50" spans="1:16" s="92" customFormat="1">
      <c r="A50" s="115" t="s">
        <v>8</v>
      </c>
      <c r="B50" s="139" t="s">
        <v>1476</v>
      </c>
      <c r="C50" s="178">
        <v>2</v>
      </c>
      <c r="D50" s="114" t="s">
        <v>1478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157</v>
      </c>
    </row>
    <row r="51" spans="1:16" s="92" customFormat="1">
      <c r="A51" s="115" t="s">
        <v>8</v>
      </c>
      <c r="B51" s="139" t="s">
        <v>1476</v>
      </c>
      <c r="C51" s="178">
        <v>2</v>
      </c>
      <c r="D51" s="114" t="s">
        <v>1479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157</v>
      </c>
    </row>
    <row r="52" spans="1:16" s="92" customFormat="1">
      <c r="A52" s="115" t="s">
        <v>8</v>
      </c>
      <c r="B52" s="139" t="s">
        <v>1476</v>
      </c>
      <c r="C52" s="178">
        <v>3</v>
      </c>
      <c r="D52" s="114" t="s">
        <v>1480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157</v>
      </c>
    </row>
    <row r="53" spans="1:16" s="92" customFormat="1">
      <c r="A53" s="115" t="s">
        <v>8</v>
      </c>
      <c r="B53" s="139" t="s">
        <v>1476</v>
      </c>
      <c r="C53" s="178">
        <v>3</v>
      </c>
      <c r="D53" s="114" t="s">
        <v>1481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157</v>
      </c>
    </row>
    <row r="54" spans="1:16" s="92" customFormat="1">
      <c r="A54" s="115" t="s">
        <v>8</v>
      </c>
      <c r="B54" s="139" t="s">
        <v>1476</v>
      </c>
      <c r="C54" s="178">
        <v>4</v>
      </c>
      <c r="D54" s="114" t="s">
        <v>1482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157</v>
      </c>
    </row>
    <row r="55" spans="1:16" s="92" customFormat="1">
      <c r="A55" s="115" t="s">
        <v>8</v>
      </c>
      <c r="B55" s="139" t="s">
        <v>1476</v>
      </c>
      <c r="C55" s="178">
        <v>4</v>
      </c>
      <c r="D55" s="114" t="s">
        <v>1483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157</v>
      </c>
    </row>
    <row r="56" spans="1:16" s="92" customFormat="1">
      <c r="A56" s="115" t="s">
        <v>8</v>
      </c>
      <c r="B56" s="139" t="s">
        <v>1476</v>
      </c>
      <c r="C56" s="178">
        <v>5</v>
      </c>
      <c r="D56" s="114" t="s">
        <v>1484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157</v>
      </c>
    </row>
    <row r="57" spans="1:16" s="92" customFormat="1">
      <c r="A57" s="115" t="s">
        <v>8</v>
      </c>
      <c r="B57" s="139" t="s">
        <v>1476</v>
      </c>
      <c r="C57" s="178">
        <v>5</v>
      </c>
      <c r="D57" s="114" t="s">
        <v>1485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157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291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797" t="s">
        <v>15</v>
      </c>
      <c r="B1" s="797" t="s">
        <v>16</v>
      </c>
      <c r="C1" s="783" t="s">
        <v>1376</v>
      </c>
      <c r="D1" s="36" t="s">
        <v>18</v>
      </c>
      <c r="E1" s="783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1600</v>
      </c>
      <c r="B2" s="31" t="s">
        <v>1601</v>
      </c>
      <c r="C2" s="20" t="s">
        <v>1602</v>
      </c>
      <c r="D2" s="49" t="s">
        <v>38</v>
      </c>
      <c r="E2" s="8">
        <v>1</v>
      </c>
      <c r="F2" s="791">
        <v>0</v>
      </c>
      <c r="G2" s="791">
        <v>0</v>
      </c>
      <c r="H2" s="791">
        <v>0</v>
      </c>
      <c r="I2" s="7">
        <f t="shared" ref="I2:I34" si="0">ROUNDUP(((F2+G2+H2)/3)/E2*100%,2)</f>
        <v>0</v>
      </c>
      <c r="J2" s="8"/>
    </row>
    <row r="3" spans="1:10" ht="18">
      <c r="A3" s="51" t="s">
        <v>1603</v>
      </c>
      <c r="B3" s="31" t="s">
        <v>1604</v>
      </c>
      <c r="C3" s="20" t="s">
        <v>347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1605</v>
      </c>
      <c r="B4" s="31" t="s">
        <v>1606</v>
      </c>
      <c r="C4" s="20" t="s">
        <v>1606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1607</v>
      </c>
      <c r="B5" s="31" t="s">
        <v>1608</v>
      </c>
      <c r="C5" s="20" t="s">
        <v>347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1609</v>
      </c>
      <c r="B6" s="31" t="s">
        <v>1610</v>
      </c>
      <c r="C6" s="20" t="s">
        <v>347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1611</v>
      </c>
      <c r="B7" s="31" t="s">
        <v>1612</v>
      </c>
      <c r="C7" s="20" t="s">
        <v>1612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21" t="s">
        <v>1613</v>
      </c>
      <c r="B8" s="40" t="s">
        <v>1614</v>
      </c>
      <c r="C8" s="17" t="s">
        <v>347</v>
      </c>
      <c r="D8" s="41" t="s">
        <v>38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22"/>
      <c r="B9" s="38"/>
      <c r="C9" s="19"/>
      <c r="D9" s="39" t="s">
        <v>42</v>
      </c>
      <c r="E9" s="791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21" t="s">
        <v>1615</v>
      </c>
      <c r="B10" s="40" t="s">
        <v>1616</v>
      </c>
      <c r="C10" s="17" t="s">
        <v>347</v>
      </c>
      <c r="D10" s="41" t="s">
        <v>42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22"/>
      <c r="B11" s="38" t="s">
        <v>1617</v>
      </c>
      <c r="C11" s="19" t="s">
        <v>347</v>
      </c>
      <c r="D11" s="39" t="s">
        <v>42</v>
      </c>
      <c r="E11" s="791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1618</v>
      </c>
      <c r="B12" s="31" t="s">
        <v>1619</v>
      </c>
      <c r="C12" s="20" t="s">
        <v>347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1620</v>
      </c>
      <c r="B13" s="31" t="s">
        <v>1601</v>
      </c>
      <c r="C13" s="20" t="s">
        <v>347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1621</v>
      </c>
      <c r="B14" s="31" t="s">
        <v>1622</v>
      </c>
      <c r="C14" s="20" t="s">
        <v>347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1623</v>
      </c>
      <c r="B15" s="31" t="s">
        <v>1606</v>
      </c>
      <c r="C15" s="20" t="s">
        <v>1606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1624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1625</v>
      </c>
      <c r="B17" s="31" t="s">
        <v>1626</v>
      </c>
      <c r="C17" s="20" t="s">
        <v>347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1627</v>
      </c>
      <c r="B18" s="31" t="s">
        <v>1628</v>
      </c>
      <c r="C18" s="20" t="s">
        <v>347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21" t="s">
        <v>1438</v>
      </c>
      <c r="B19" s="40" t="s">
        <v>1629</v>
      </c>
      <c r="C19" s="17" t="s">
        <v>1630</v>
      </c>
      <c r="D19" s="41" t="s">
        <v>38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23"/>
      <c r="B20" s="37"/>
      <c r="C20" s="18"/>
      <c r="D20" s="32" t="s">
        <v>42</v>
      </c>
      <c r="E20" s="790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23"/>
      <c r="B21" s="37"/>
      <c r="C21" s="18"/>
      <c r="D21" s="32" t="s">
        <v>1381</v>
      </c>
      <c r="E21" s="790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23"/>
      <c r="B22" s="37"/>
      <c r="C22" s="18"/>
      <c r="D22" s="32" t="s">
        <v>52</v>
      </c>
      <c r="E22" s="790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23"/>
      <c r="B23" s="37"/>
      <c r="C23" s="18"/>
      <c r="D23" s="32" t="s">
        <v>58</v>
      </c>
      <c r="E23" s="790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23"/>
      <c r="B24" s="37"/>
      <c r="C24" s="18"/>
      <c r="D24" s="32" t="s">
        <v>1382</v>
      </c>
      <c r="E24" s="790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23"/>
      <c r="B25" s="37"/>
      <c r="C25" s="18"/>
      <c r="D25" s="32" t="s">
        <v>1383</v>
      </c>
      <c r="E25" s="790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23"/>
      <c r="B26" s="37"/>
      <c r="C26" s="18"/>
      <c r="D26" s="32" t="s">
        <v>62</v>
      </c>
      <c r="E26" s="790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23"/>
      <c r="B27" s="37"/>
      <c r="C27" s="18"/>
      <c r="D27" s="32" t="s">
        <v>1384</v>
      </c>
      <c r="E27" s="790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23"/>
      <c r="B28" s="37" t="s">
        <v>1631</v>
      </c>
      <c r="C28" s="18" t="s">
        <v>347</v>
      </c>
      <c r="D28" s="32" t="s">
        <v>38</v>
      </c>
      <c r="E28" s="790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23"/>
      <c r="B29" s="37"/>
      <c r="C29" s="18"/>
      <c r="D29" s="32" t="s">
        <v>42</v>
      </c>
      <c r="E29" s="790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23"/>
      <c r="B30" s="37" t="s">
        <v>1632</v>
      </c>
      <c r="C30" s="18" t="s">
        <v>1633</v>
      </c>
      <c r="D30" s="32" t="s">
        <v>38</v>
      </c>
      <c r="E30" s="790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23"/>
      <c r="B31" s="37" t="s">
        <v>1634</v>
      </c>
      <c r="C31" s="18" t="s">
        <v>1635</v>
      </c>
      <c r="D31" s="32" t="s">
        <v>38</v>
      </c>
      <c r="E31" s="790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23"/>
      <c r="B32" s="37"/>
      <c r="C32" s="18"/>
      <c r="D32" s="32" t="s">
        <v>42</v>
      </c>
      <c r="E32" s="790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23"/>
      <c r="B33" s="37" t="s">
        <v>1636</v>
      </c>
      <c r="C33" s="18" t="s">
        <v>1637</v>
      </c>
      <c r="D33" s="32" t="s">
        <v>38</v>
      </c>
      <c r="E33" s="790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23"/>
      <c r="B34" s="37" t="s">
        <v>1638</v>
      </c>
      <c r="C34" s="18" t="s">
        <v>1639</v>
      </c>
      <c r="D34" s="32" t="s">
        <v>38</v>
      </c>
      <c r="E34" s="790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23"/>
      <c r="B35" s="37" t="s">
        <v>1640</v>
      </c>
      <c r="C35" s="18" t="s">
        <v>1641</v>
      </c>
      <c r="D35" s="32" t="s">
        <v>38</v>
      </c>
      <c r="E35" s="790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23"/>
      <c r="B36" s="37"/>
      <c r="C36" s="18"/>
      <c r="D36" s="32" t="s">
        <v>42</v>
      </c>
      <c r="E36" s="790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23"/>
      <c r="B37" s="37" t="s">
        <v>1642</v>
      </c>
      <c r="C37" s="18" t="s">
        <v>1643</v>
      </c>
      <c r="D37" s="32" t="s">
        <v>42</v>
      </c>
      <c r="E37" s="790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23"/>
      <c r="B38" s="37" t="s">
        <v>1644</v>
      </c>
      <c r="C38" s="18" t="s">
        <v>1645</v>
      </c>
      <c r="D38" s="32" t="s">
        <v>42</v>
      </c>
      <c r="E38" s="790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23"/>
      <c r="B39" s="37" t="s">
        <v>1646</v>
      </c>
      <c r="C39" s="18" t="s">
        <v>1647</v>
      </c>
      <c r="D39" s="32" t="s">
        <v>42</v>
      </c>
      <c r="E39" s="790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23"/>
      <c r="B40" s="37" t="s">
        <v>1648</v>
      </c>
      <c r="C40" s="18" t="s">
        <v>1649</v>
      </c>
      <c r="D40" s="32" t="s">
        <v>42</v>
      </c>
      <c r="E40" s="790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22"/>
      <c r="B41" s="38" t="s">
        <v>1650</v>
      </c>
      <c r="C41" s="19" t="s">
        <v>347</v>
      </c>
      <c r="D41" s="39" t="s">
        <v>42</v>
      </c>
      <c r="E41" s="791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21" t="s">
        <v>1651</v>
      </c>
      <c r="B42" s="40" t="s">
        <v>1652</v>
      </c>
      <c r="C42" s="17" t="s">
        <v>1612</v>
      </c>
      <c r="D42" s="41" t="s">
        <v>38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23"/>
      <c r="B43" s="37"/>
      <c r="C43" s="18"/>
      <c r="D43" s="32" t="s">
        <v>42</v>
      </c>
      <c r="E43" s="790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22"/>
      <c r="B44" s="38" t="s">
        <v>1653</v>
      </c>
      <c r="C44" s="19" t="s">
        <v>1654</v>
      </c>
      <c r="D44" s="39" t="s">
        <v>38</v>
      </c>
      <c r="E44" s="791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21" t="s">
        <v>1379</v>
      </c>
      <c r="B45" s="40" t="s">
        <v>1631</v>
      </c>
      <c r="C45" s="17" t="s">
        <v>347</v>
      </c>
      <c r="D45" s="41" t="s">
        <v>38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23"/>
      <c r="B46" s="37" t="s">
        <v>1655</v>
      </c>
      <c r="C46" s="18" t="s">
        <v>1656</v>
      </c>
      <c r="D46" s="32" t="s">
        <v>38</v>
      </c>
      <c r="E46" s="790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22"/>
      <c r="B47" s="38"/>
      <c r="C47" s="19"/>
      <c r="D47" s="39" t="s">
        <v>42</v>
      </c>
      <c r="E47" s="791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1657</v>
      </c>
      <c r="B48" s="31" t="s">
        <v>1658</v>
      </c>
      <c r="C48" s="20" t="s">
        <v>1659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1660</v>
      </c>
      <c r="B49" s="31" t="s">
        <v>347</v>
      </c>
      <c r="C49" s="20" t="s">
        <v>347</v>
      </c>
      <c r="D49" s="49" t="s">
        <v>1491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1492</v>
      </c>
      <c r="E50" s="13" t="s">
        <v>1493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1494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70" t="s">
        <v>17</v>
      </c>
      <c r="C1" s="797" t="s">
        <v>16</v>
      </c>
      <c r="D1" s="783" t="s">
        <v>151</v>
      </c>
      <c r="E1" s="783" t="s">
        <v>152</v>
      </c>
      <c r="F1" s="783" t="s">
        <v>153</v>
      </c>
      <c r="G1" s="783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89" t="s">
        <v>1600</v>
      </c>
      <c r="B2" s="1124">
        <v>1</v>
      </c>
      <c r="C2" s="73" t="s">
        <v>1661</v>
      </c>
      <c r="D2" s="815">
        <v>1</v>
      </c>
      <c r="E2" s="815">
        <v>1</v>
      </c>
      <c r="F2" s="815">
        <v>0</v>
      </c>
      <c r="G2" s="815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989"/>
      <c r="B3" s="1124"/>
      <c r="C3" s="73" t="s">
        <v>1662</v>
      </c>
      <c r="D3" s="815">
        <v>1</v>
      </c>
      <c r="E3" s="815">
        <v>1</v>
      </c>
      <c r="F3" s="815">
        <v>0</v>
      </c>
      <c r="G3" s="815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89"/>
      <c r="B4" s="1124"/>
      <c r="C4" s="73" t="s">
        <v>1663</v>
      </c>
      <c r="D4" s="815">
        <v>1</v>
      </c>
      <c r="E4" s="815">
        <v>1</v>
      </c>
      <c r="F4" s="815">
        <v>0</v>
      </c>
      <c r="G4" s="815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89"/>
      <c r="B5" s="1124"/>
      <c r="C5" s="73" t="s">
        <v>1664</v>
      </c>
      <c r="D5" s="815">
        <v>1</v>
      </c>
      <c r="E5" s="815">
        <v>1</v>
      </c>
      <c r="F5" s="815">
        <v>0</v>
      </c>
      <c r="G5" s="815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89"/>
      <c r="B6" s="1124"/>
      <c r="C6" s="73" t="s">
        <v>1665</v>
      </c>
      <c r="D6" s="815">
        <v>1</v>
      </c>
      <c r="E6" s="815">
        <v>1</v>
      </c>
      <c r="F6" s="815">
        <v>0</v>
      </c>
      <c r="G6" s="815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788" t="s">
        <v>1666</v>
      </c>
      <c r="B7" s="815">
        <v>1</v>
      </c>
      <c r="C7" s="73" t="s">
        <v>1667</v>
      </c>
      <c r="D7" s="815">
        <v>1</v>
      </c>
      <c r="E7" s="815">
        <v>1</v>
      </c>
      <c r="F7" s="815">
        <v>0</v>
      </c>
      <c r="G7" s="815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89" t="s">
        <v>1668</v>
      </c>
      <c r="B8" s="1124">
        <v>1</v>
      </c>
      <c r="C8" s="73" t="s">
        <v>1669</v>
      </c>
      <c r="D8" s="815">
        <v>1</v>
      </c>
      <c r="E8" s="815">
        <v>1</v>
      </c>
      <c r="F8" s="815">
        <v>0</v>
      </c>
      <c r="G8" s="815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89"/>
      <c r="B9" s="1124"/>
      <c r="C9" s="73" t="s">
        <v>1670</v>
      </c>
      <c r="D9" s="815">
        <v>1</v>
      </c>
      <c r="E9" s="815">
        <v>1</v>
      </c>
      <c r="F9" s="815">
        <v>0</v>
      </c>
      <c r="G9" s="815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89" t="s">
        <v>1605</v>
      </c>
      <c r="B10" s="1124">
        <v>1</v>
      </c>
      <c r="C10" s="73" t="s">
        <v>1671</v>
      </c>
      <c r="D10" s="815">
        <v>1</v>
      </c>
      <c r="E10" s="815">
        <v>1</v>
      </c>
      <c r="F10" s="815">
        <v>0</v>
      </c>
      <c r="G10" s="815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89"/>
      <c r="B11" s="1124"/>
      <c r="C11" s="81" t="s">
        <v>1672</v>
      </c>
      <c r="D11" s="815">
        <v>1</v>
      </c>
      <c r="E11" s="815">
        <v>1</v>
      </c>
      <c r="F11" s="815">
        <v>0</v>
      </c>
      <c r="G11" s="815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89"/>
      <c r="B12" s="1124"/>
      <c r="C12" s="81" t="s">
        <v>1673</v>
      </c>
      <c r="D12" s="815">
        <v>1</v>
      </c>
      <c r="E12" s="815">
        <v>1</v>
      </c>
      <c r="F12" s="815">
        <v>0</v>
      </c>
      <c r="G12" s="815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89"/>
      <c r="B13" s="1124"/>
      <c r="C13" s="81" t="s">
        <v>1674</v>
      </c>
      <c r="D13" s="815">
        <v>1</v>
      </c>
      <c r="E13" s="815">
        <v>1</v>
      </c>
      <c r="F13" s="815">
        <v>0</v>
      </c>
      <c r="G13" s="815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89" t="s">
        <v>1438</v>
      </c>
      <c r="B14" s="1124">
        <v>1</v>
      </c>
      <c r="C14" s="81" t="s">
        <v>1675</v>
      </c>
      <c r="D14" s="815">
        <v>1</v>
      </c>
      <c r="E14" s="815">
        <v>1</v>
      </c>
      <c r="F14" s="815">
        <v>0</v>
      </c>
      <c r="G14" s="815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89"/>
      <c r="B15" s="1124"/>
      <c r="C15" s="81" t="s">
        <v>1676</v>
      </c>
      <c r="D15" s="815">
        <v>1</v>
      </c>
      <c r="E15" s="815">
        <v>1</v>
      </c>
      <c r="F15" s="815">
        <v>0</v>
      </c>
      <c r="G15" s="815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89"/>
      <c r="B16" s="1124"/>
      <c r="C16" s="81" t="s">
        <v>1677</v>
      </c>
      <c r="D16" s="815">
        <v>1</v>
      </c>
      <c r="E16" s="815">
        <v>1</v>
      </c>
      <c r="F16" s="815">
        <v>0</v>
      </c>
      <c r="G16" s="815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989"/>
      <c r="B17" s="1124">
        <v>2</v>
      </c>
      <c r="C17" s="81" t="s">
        <v>1678</v>
      </c>
      <c r="D17" s="815">
        <v>1</v>
      </c>
      <c r="E17" s="815">
        <v>1</v>
      </c>
      <c r="F17" s="815">
        <v>0</v>
      </c>
      <c r="G17" s="815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89"/>
      <c r="B18" s="1124"/>
      <c r="C18" s="73" t="s">
        <v>1630</v>
      </c>
      <c r="D18" s="815">
        <v>1</v>
      </c>
      <c r="E18" s="815">
        <v>1</v>
      </c>
      <c r="F18" s="815">
        <v>0</v>
      </c>
      <c r="G18" s="815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89"/>
      <c r="B19" s="1124"/>
      <c r="C19" s="81" t="s">
        <v>1679</v>
      </c>
      <c r="D19" s="815">
        <v>1</v>
      </c>
      <c r="E19" s="815">
        <v>1</v>
      </c>
      <c r="F19" s="815">
        <v>0</v>
      </c>
      <c r="G19" s="815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89"/>
      <c r="B20" s="1124"/>
      <c r="C20" s="81" t="s">
        <v>1680</v>
      </c>
      <c r="D20" s="815">
        <v>1</v>
      </c>
      <c r="E20" s="815">
        <v>1</v>
      </c>
      <c r="F20" s="815">
        <v>0</v>
      </c>
      <c r="G20" s="815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89"/>
      <c r="B21" s="1124">
        <v>3</v>
      </c>
      <c r="C21" s="73" t="s">
        <v>1681</v>
      </c>
      <c r="D21" s="815">
        <v>1</v>
      </c>
      <c r="E21" s="815">
        <v>1</v>
      </c>
      <c r="F21" s="815">
        <v>0</v>
      </c>
      <c r="G21" s="815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989"/>
      <c r="B22" s="1124"/>
      <c r="C22" s="73" t="s">
        <v>1682</v>
      </c>
      <c r="D22" s="815">
        <v>1</v>
      </c>
      <c r="E22" s="815">
        <v>1</v>
      </c>
      <c r="F22" s="815">
        <v>0</v>
      </c>
      <c r="G22" s="815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788" t="s">
        <v>1379</v>
      </c>
      <c r="B23" s="815">
        <v>1</v>
      </c>
      <c r="C23" s="73" t="s">
        <v>1683</v>
      </c>
      <c r="D23" s="815">
        <v>1</v>
      </c>
      <c r="E23" s="815">
        <v>1</v>
      </c>
      <c r="F23" s="815">
        <v>0</v>
      </c>
      <c r="G23" s="815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989" t="s">
        <v>1684</v>
      </c>
      <c r="B24" s="1124">
        <v>1</v>
      </c>
      <c r="C24" s="73" t="s">
        <v>1685</v>
      </c>
      <c r="D24" s="815">
        <v>1</v>
      </c>
      <c r="E24" s="815">
        <v>1</v>
      </c>
      <c r="F24" s="815">
        <v>0</v>
      </c>
      <c r="G24" s="815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989"/>
      <c r="B25" s="1124"/>
      <c r="C25" s="73" t="s">
        <v>1686</v>
      </c>
      <c r="D25" s="815">
        <v>1</v>
      </c>
      <c r="E25" s="815">
        <v>1</v>
      </c>
      <c r="F25" s="815">
        <v>0</v>
      </c>
      <c r="G25" s="815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989"/>
      <c r="B26" s="1124"/>
      <c r="C26" s="73" t="s">
        <v>1687</v>
      </c>
      <c r="D26" s="815">
        <v>2</v>
      </c>
      <c r="E26" s="815">
        <v>2</v>
      </c>
      <c r="F26" s="815">
        <v>0</v>
      </c>
      <c r="G26" s="815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989"/>
      <c r="B27" s="1124"/>
      <c r="C27" s="73" t="s">
        <v>1688</v>
      </c>
      <c r="D27" s="815">
        <v>3</v>
      </c>
      <c r="E27" s="815">
        <v>3</v>
      </c>
      <c r="F27" s="815">
        <v>0</v>
      </c>
      <c r="G27" s="815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989"/>
      <c r="B28" s="1124"/>
      <c r="C28" s="73" t="s">
        <v>1689</v>
      </c>
      <c r="D28" s="815">
        <v>1</v>
      </c>
      <c r="E28" s="815">
        <v>1</v>
      </c>
      <c r="F28" s="815">
        <v>0</v>
      </c>
      <c r="G28" s="815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989"/>
      <c r="B29" s="1124"/>
      <c r="C29" s="73" t="s">
        <v>1690</v>
      </c>
      <c r="D29" s="815">
        <v>1</v>
      </c>
      <c r="E29" s="815">
        <v>1</v>
      </c>
      <c r="F29" s="815">
        <v>0</v>
      </c>
      <c r="G29" s="815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989"/>
      <c r="B30" s="1124">
        <v>2</v>
      </c>
      <c r="C30" s="73" t="s">
        <v>1691</v>
      </c>
      <c r="D30" s="815">
        <v>2</v>
      </c>
      <c r="E30" s="815">
        <v>2</v>
      </c>
      <c r="F30" s="815">
        <v>0</v>
      </c>
      <c r="G30" s="815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989"/>
      <c r="B31" s="1124"/>
      <c r="C31" s="73" t="s">
        <v>1692</v>
      </c>
      <c r="D31" s="815">
        <v>1</v>
      </c>
      <c r="E31" s="815">
        <v>1</v>
      </c>
      <c r="F31" s="815">
        <v>0</v>
      </c>
      <c r="G31" s="815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88" t="s">
        <v>1693</v>
      </c>
      <c r="B32" s="815">
        <v>1</v>
      </c>
      <c r="C32" s="73" t="s">
        <v>1694</v>
      </c>
      <c r="D32" s="815">
        <v>1</v>
      </c>
      <c r="E32" s="815">
        <v>1</v>
      </c>
      <c r="F32" s="815">
        <v>0</v>
      </c>
      <c r="G32" s="815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989" t="s">
        <v>1428</v>
      </c>
      <c r="B33" s="1124">
        <v>1</v>
      </c>
      <c r="C33" s="73" t="s">
        <v>1695</v>
      </c>
      <c r="D33" s="815">
        <v>1</v>
      </c>
      <c r="E33" s="815">
        <v>1</v>
      </c>
      <c r="F33" s="815">
        <v>0</v>
      </c>
      <c r="G33" s="815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989"/>
      <c r="B34" s="1124"/>
      <c r="C34" s="73" t="s">
        <v>1696</v>
      </c>
      <c r="D34" s="815">
        <v>2</v>
      </c>
      <c r="E34" s="815">
        <v>2</v>
      </c>
      <c r="F34" s="815">
        <v>0</v>
      </c>
      <c r="G34" s="815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989"/>
      <c r="B35" s="1124"/>
      <c r="C35" s="73" t="s">
        <v>244</v>
      </c>
      <c r="D35" s="815">
        <v>1</v>
      </c>
      <c r="E35" s="815">
        <v>1</v>
      </c>
      <c r="F35" s="815">
        <v>0</v>
      </c>
      <c r="G35" s="815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989"/>
      <c r="B36" s="1124">
        <v>2</v>
      </c>
      <c r="C36" s="73" t="s">
        <v>1654</v>
      </c>
      <c r="D36" s="815">
        <v>3</v>
      </c>
      <c r="E36" s="815">
        <v>3</v>
      </c>
      <c r="F36" s="815">
        <v>0</v>
      </c>
      <c r="G36" s="815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989"/>
      <c r="B37" s="1124"/>
      <c r="C37" s="73" t="s">
        <v>1697</v>
      </c>
      <c r="D37" s="815">
        <v>1</v>
      </c>
      <c r="E37" s="815">
        <v>1</v>
      </c>
      <c r="F37" s="815">
        <v>0</v>
      </c>
      <c r="G37" s="815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989"/>
      <c r="B38" s="1124"/>
      <c r="C38" s="73" t="s">
        <v>1698</v>
      </c>
      <c r="D38" s="815">
        <v>1</v>
      </c>
      <c r="E38" s="815">
        <v>1</v>
      </c>
      <c r="F38" s="815">
        <v>0</v>
      </c>
      <c r="G38" s="815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989"/>
      <c r="B39" s="1124"/>
      <c r="C39" s="73" t="s">
        <v>244</v>
      </c>
      <c r="D39" s="815">
        <v>1</v>
      </c>
      <c r="E39" s="815">
        <v>1</v>
      </c>
      <c r="F39" s="815">
        <v>0</v>
      </c>
      <c r="G39" s="815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989"/>
      <c r="B40" s="1124">
        <v>3</v>
      </c>
      <c r="C40" s="73" t="s">
        <v>1699</v>
      </c>
      <c r="D40" s="815">
        <v>1</v>
      </c>
      <c r="E40" s="815">
        <v>1</v>
      </c>
      <c r="F40" s="815">
        <v>0</v>
      </c>
      <c r="G40" s="815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989"/>
      <c r="B41" s="1124"/>
      <c r="C41" s="73" t="s">
        <v>1700</v>
      </c>
      <c r="D41" s="815">
        <v>1</v>
      </c>
      <c r="E41" s="815">
        <v>1</v>
      </c>
      <c r="F41" s="815">
        <v>0</v>
      </c>
      <c r="G41" s="815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989"/>
      <c r="B42" s="1124"/>
      <c r="C42" s="73" t="s">
        <v>1701</v>
      </c>
      <c r="D42" s="815">
        <v>2</v>
      </c>
      <c r="E42" s="815">
        <v>2</v>
      </c>
      <c r="F42" s="815">
        <v>0</v>
      </c>
      <c r="G42" s="815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989"/>
      <c r="B43" s="1124"/>
      <c r="C43" s="73" t="s">
        <v>244</v>
      </c>
      <c r="D43" s="815">
        <v>1</v>
      </c>
      <c r="E43" s="815">
        <v>1</v>
      </c>
      <c r="F43" s="815">
        <v>0</v>
      </c>
      <c r="G43" s="815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2:A6"/>
    <mergeCell ref="B2:B6"/>
    <mergeCell ref="A8:A9"/>
    <mergeCell ref="B8:B9"/>
    <mergeCell ref="A10:A13"/>
    <mergeCell ref="B10:B13"/>
    <mergeCell ref="A14:A22"/>
    <mergeCell ref="B14:B16"/>
    <mergeCell ref="B17:B20"/>
    <mergeCell ref="B21:B22"/>
    <mergeCell ref="B30:B31"/>
    <mergeCell ref="A33:A43"/>
    <mergeCell ref="B33:B35"/>
    <mergeCell ref="B36:B39"/>
    <mergeCell ref="B40:B43"/>
    <mergeCell ref="A24:A31"/>
    <mergeCell ref="B24:B29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6" s="92" customFormat="1">
      <c r="A2" s="87" t="s">
        <v>9</v>
      </c>
      <c r="B2" s="88" t="s">
        <v>1605</v>
      </c>
      <c r="C2" s="89">
        <v>1</v>
      </c>
      <c r="D2" s="89" t="s">
        <v>1606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15" t="s">
        <v>157</v>
      </c>
    </row>
    <row r="3" spans="1:16" s="92" customFormat="1">
      <c r="A3" s="87" t="s">
        <v>9</v>
      </c>
      <c r="B3" s="88" t="s">
        <v>1438</v>
      </c>
      <c r="C3" s="89">
        <v>1</v>
      </c>
      <c r="D3" s="89" t="s">
        <v>1641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15" t="s">
        <v>157</v>
      </c>
    </row>
    <row r="4" spans="1:16" s="92" customFormat="1">
      <c r="A4" s="87" t="s">
        <v>9</v>
      </c>
      <c r="B4" s="88" t="s">
        <v>1428</v>
      </c>
      <c r="C4" s="89">
        <v>1</v>
      </c>
      <c r="D4" s="89" t="s">
        <v>1612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15" t="s">
        <v>157</v>
      </c>
    </row>
    <row r="5" spans="1:16" s="92" customFormat="1">
      <c r="A5" s="87" t="s">
        <v>9</v>
      </c>
      <c r="B5" s="88" t="s">
        <v>1428</v>
      </c>
      <c r="C5" s="89">
        <v>1</v>
      </c>
      <c r="D5" s="89" t="s">
        <v>1612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15" t="s">
        <v>157</v>
      </c>
    </row>
    <row r="6" spans="1:16" s="92" customFormat="1">
      <c r="A6" s="87" t="s">
        <v>9</v>
      </c>
      <c r="B6" s="88" t="s">
        <v>1438</v>
      </c>
      <c r="C6" s="89">
        <v>1</v>
      </c>
      <c r="D6" s="89" t="s">
        <v>1702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15" t="s">
        <v>157</v>
      </c>
    </row>
    <row r="7" spans="1:16" s="92" customFormat="1">
      <c r="A7" s="87" t="s">
        <v>9</v>
      </c>
      <c r="B7" s="88" t="s">
        <v>1603</v>
      </c>
      <c r="C7" s="89">
        <v>3</v>
      </c>
      <c r="D7" s="89" t="s">
        <v>1604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15" t="s">
        <v>157</v>
      </c>
    </row>
    <row r="8" spans="1:16" s="92" customFormat="1">
      <c r="A8" s="87" t="s">
        <v>9</v>
      </c>
      <c r="B8" s="88" t="s">
        <v>1438</v>
      </c>
      <c r="C8" s="89">
        <v>1</v>
      </c>
      <c r="D8" s="89" t="s">
        <v>1703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15" t="s">
        <v>157</v>
      </c>
    </row>
    <row r="9" spans="1:16" s="92" customFormat="1">
      <c r="A9" s="87" t="s">
        <v>9</v>
      </c>
      <c r="B9" s="88" t="s">
        <v>1704</v>
      </c>
      <c r="C9" s="89">
        <v>1</v>
      </c>
      <c r="D9" s="89" t="s">
        <v>1601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15" t="s">
        <v>157</v>
      </c>
    </row>
    <row r="10" spans="1:16" s="92" customFormat="1">
      <c r="A10" s="87" t="s">
        <v>9</v>
      </c>
      <c r="B10" s="88" t="s">
        <v>1438</v>
      </c>
      <c r="C10" s="89">
        <v>2</v>
      </c>
      <c r="D10" s="89" t="s">
        <v>1630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15" t="s">
        <v>157</v>
      </c>
    </row>
    <row r="11" spans="1:16" s="92" customFormat="1">
      <c r="A11" s="87" t="s">
        <v>9</v>
      </c>
      <c r="B11" s="88" t="s">
        <v>1438</v>
      </c>
      <c r="C11" s="89">
        <v>2</v>
      </c>
      <c r="D11" s="89" t="s">
        <v>1630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15" t="s">
        <v>157</v>
      </c>
    </row>
    <row r="12" spans="1:16" s="92" customFormat="1">
      <c r="B12" s="92">
        <f>COUNTIF(Table22[สถานที่],"*")</f>
        <v>10</v>
      </c>
      <c r="E12" s="93" t="s">
        <v>291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797" t="s">
        <v>15</v>
      </c>
      <c r="B1" s="797" t="s">
        <v>16</v>
      </c>
      <c r="C1" s="783" t="s">
        <v>1376</v>
      </c>
      <c r="D1" s="42" t="s">
        <v>18</v>
      </c>
      <c r="E1" s="783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1605</v>
      </c>
      <c r="B2" s="251" t="s">
        <v>236</v>
      </c>
      <c r="C2" s="290" t="s">
        <v>347</v>
      </c>
      <c r="D2" s="159" t="s">
        <v>42</v>
      </c>
      <c r="E2" s="9">
        <v>2</v>
      </c>
      <c r="F2" s="791">
        <v>0</v>
      </c>
      <c r="G2" s="791">
        <v>0</v>
      </c>
      <c r="H2" s="791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1705</v>
      </c>
      <c r="B3" s="803" t="s">
        <v>126</v>
      </c>
      <c r="C3" s="316" t="s">
        <v>347</v>
      </c>
      <c r="D3" s="317" t="s">
        <v>38</v>
      </c>
      <c r="E3" s="9">
        <v>1</v>
      </c>
      <c r="F3" s="791">
        <v>0</v>
      </c>
      <c r="G3" s="791">
        <v>0</v>
      </c>
      <c r="H3" s="791">
        <v>0</v>
      </c>
      <c r="I3" s="8">
        <f t="shared" si="0"/>
        <v>0</v>
      </c>
      <c r="J3" s="153"/>
    </row>
    <row r="4" spans="1:10" ht="18">
      <c r="A4" s="268" t="s">
        <v>1706</v>
      </c>
      <c r="B4" s="256" t="s">
        <v>126</v>
      </c>
      <c r="C4" s="302" t="s">
        <v>347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1707</v>
      </c>
      <c r="B5" s="255" t="s">
        <v>1708</v>
      </c>
      <c r="C5" s="18" t="s">
        <v>347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06" t="s">
        <v>1709</v>
      </c>
      <c r="B6" s="295" t="s">
        <v>1710</v>
      </c>
      <c r="C6" s="18" t="s">
        <v>347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1711</v>
      </c>
      <c r="B7" s="266" t="s">
        <v>1712</v>
      </c>
      <c r="C7" s="18" t="s">
        <v>347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1713</v>
      </c>
      <c r="B8" s="255" t="s">
        <v>1714</v>
      </c>
      <c r="C8" s="18" t="s">
        <v>347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06" t="s">
        <v>1715</v>
      </c>
      <c r="B9" s="296" t="s">
        <v>1716</v>
      </c>
      <c r="C9" s="23" t="s">
        <v>347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1717</v>
      </c>
      <c r="B10" s="255" t="s">
        <v>1718</v>
      </c>
      <c r="C10" s="18" t="s">
        <v>347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1717</v>
      </c>
      <c r="B11" s="291" t="s">
        <v>1719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1381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1382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1383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1384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1385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1506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1717</v>
      </c>
      <c r="B21" s="291" t="s">
        <v>1720</v>
      </c>
      <c r="C21" s="18" t="s">
        <v>1721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1717</v>
      </c>
      <c r="B22" s="409" t="s">
        <v>1722</v>
      </c>
      <c r="C22" s="18" t="s">
        <v>347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1717</v>
      </c>
      <c r="B23" s="291" t="s">
        <v>1723</v>
      </c>
      <c r="C23" s="18" t="s">
        <v>347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1717</v>
      </c>
      <c r="B24" s="291" t="s">
        <v>1724</v>
      </c>
      <c r="C24" s="18" t="s">
        <v>347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1717</v>
      </c>
      <c r="B25" s="291" t="s">
        <v>1725</v>
      </c>
      <c r="C25" s="18" t="s">
        <v>347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1717</v>
      </c>
      <c r="B26" s="291" t="s">
        <v>1726</v>
      </c>
      <c r="C26" s="18" t="s">
        <v>347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1717</v>
      </c>
      <c r="B27" s="291" t="s">
        <v>1727</v>
      </c>
      <c r="C27" s="18" t="s">
        <v>347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1717</v>
      </c>
      <c r="B28" s="291" t="s">
        <v>1728</v>
      </c>
      <c r="C28" s="18" t="s">
        <v>347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1717</v>
      </c>
      <c r="B29" s="291" t="s">
        <v>1729</v>
      </c>
      <c r="C29" s="18" t="s">
        <v>347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1730</v>
      </c>
      <c r="B30" s="266" t="s">
        <v>1731</v>
      </c>
      <c r="C30" s="18" t="s">
        <v>347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1717</v>
      </c>
      <c r="B31" s="291" t="s">
        <v>1732</v>
      </c>
      <c r="C31" s="18" t="s">
        <v>347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1717</v>
      </c>
      <c r="B32" s="297" t="s">
        <v>1733</v>
      </c>
      <c r="C32" s="18" t="s">
        <v>347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1717</v>
      </c>
      <c r="B33" s="298" t="s">
        <v>1734</v>
      </c>
      <c r="C33" s="293" t="s">
        <v>347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1735</v>
      </c>
      <c r="B34" s="30" t="s">
        <v>1736</v>
      </c>
      <c r="C34" s="19" t="s">
        <v>347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1737</v>
      </c>
      <c r="B35" s="31" t="s">
        <v>1469</v>
      </c>
      <c r="C35" s="20" t="s">
        <v>347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1738</v>
      </c>
      <c r="B36" s="31" t="s">
        <v>1739</v>
      </c>
      <c r="C36" s="20" t="s">
        <v>347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1740</v>
      </c>
      <c r="B37" s="28" t="s">
        <v>1741</v>
      </c>
      <c r="C37" s="17" t="s">
        <v>347</v>
      </c>
      <c r="D37" s="22" t="s">
        <v>42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092" t="s">
        <v>1742</v>
      </c>
      <c r="B38" s="412" t="s">
        <v>1743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92"/>
      <c r="B39" s="804" t="s">
        <v>1719</v>
      </c>
      <c r="C39" s="154" t="s">
        <v>347</v>
      </c>
      <c r="D39" s="154" t="s">
        <v>42</v>
      </c>
      <c r="E39" s="303">
        <v>4</v>
      </c>
      <c r="F39" s="791">
        <v>0</v>
      </c>
      <c r="G39" s="791">
        <v>0</v>
      </c>
      <c r="H39" s="791">
        <v>0</v>
      </c>
      <c r="I39" s="248">
        <f t="shared" si="0"/>
        <v>0</v>
      </c>
      <c r="J39" s="304"/>
    </row>
    <row r="40" spans="1:10" ht="18">
      <c r="A40" s="1092"/>
      <c r="B40" s="291" t="s">
        <v>1744</v>
      </c>
      <c r="C40" s="18" t="s">
        <v>347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92"/>
      <c r="B41" s="291"/>
      <c r="C41" s="18"/>
      <c r="D41" s="32" t="s">
        <v>1745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92"/>
      <c r="B42" s="291" t="s">
        <v>1746</v>
      </c>
      <c r="C42" s="18" t="s">
        <v>347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92"/>
      <c r="B43" s="291" t="s">
        <v>1747</v>
      </c>
      <c r="C43" s="18" t="s">
        <v>347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93"/>
      <c r="B44" s="291" t="s">
        <v>1748</v>
      </c>
      <c r="C44" s="18" t="s">
        <v>347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1749</v>
      </c>
      <c r="B45" s="301" t="s">
        <v>347</v>
      </c>
      <c r="C45" s="302" t="s">
        <v>347</v>
      </c>
      <c r="D45" s="257" t="s">
        <v>1491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1492</v>
      </c>
      <c r="E46" s="13" t="s">
        <v>1493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1494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797" t="s">
        <v>15</v>
      </c>
      <c r="B1" s="770" t="s">
        <v>17</v>
      </c>
      <c r="C1" s="797" t="s">
        <v>16</v>
      </c>
      <c r="D1" s="783" t="s">
        <v>151</v>
      </c>
      <c r="E1" s="783" t="s">
        <v>152</v>
      </c>
      <c r="F1" s="783" t="s">
        <v>153</v>
      </c>
      <c r="G1" s="783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25" t="s">
        <v>1750</v>
      </c>
      <c r="B2" s="1118">
        <v>1</v>
      </c>
      <c r="C2" s="413" t="s">
        <v>242</v>
      </c>
      <c r="D2" s="817">
        <v>1</v>
      </c>
      <c r="E2" s="817">
        <v>1</v>
      </c>
      <c r="F2" s="815">
        <v>0</v>
      </c>
      <c r="G2" s="815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25"/>
      <c r="B3" s="1118"/>
      <c r="C3" s="413" t="s">
        <v>1751</v>
      </c>
      <c r="D3" s="817">
        <v>1</v>
      </c>
      <c r="E3" s="817">
        <v>1</v>
      </c>
      <c r="F3" s="815">
        <v>0</v>
      </c>
      <c r="G3" s="815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25"/>
      <c r="B4" s="1118">
        <v>2</v>
      </c>
      <c r="C4" s="413" t="s">
        <v>1752</v>
      </c>
      <c r="D4" s="817">
        <v>1</v>
      </c>
      <c r="E4" s="817">
        <v>1</v>
      </c>
      <c r="F4" s="815">
        <v>0</v>
      </c>
      <c r="G4" s="815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25"/>
      <c r="B5" s="1118"/>
      <c r="C5" s="413" t="s">
        <v>781</v>
      </c>
      <c r="D5" s="817">
        <v>1</v>
      </c>
      <c r="E5" s="817">
        <v>1</v>
      </c>
      <c r="F5" s="815">
        <v>0</v>
      </c>
      <c r="G5" s="815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25"/>
      <c r="B6" s="1118"/>
      <c r="C6" s="413" t="s">
        <v>1753</v>
      </c>
      <c r="D6" s="817">
        <v>1</v>
      </c>
      <c r="E6" s="817">
        <v>1</v>
      </c>
      <c r="F6" s="815">
        <v>0</v>
      </c>
      <c r="G6" s="815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25"/>
      <c r="B7" s="1118"/>
      <c r="C7" s="413" t="s">
        <v>129</v>
      </c>
      <c r="D7" s="817">
        <v>1</v>
      </c>
      <c r="E7" s="817">
        <v>1</v>
      </c>
      <c r="F7" s="815">
        <v>0</v>
      </c>
      <c r="G7" s="815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25"/>
      <c r="B8" s="1118">
        <v>3</v>
      </c>
      <c r="C8" s="413" t="s">
        <v>1754</v>
      </c>
      <c r="D8" s="817">
        <v>1</v>
      </c>
      <c r="E8" s="817">
        <v>1</v>
      </c>
      <c r="F8" s="815">
        <v>0</v>
      </c>
      <c r="G8" s="815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25"/>
      <c r="B9" s="1118"/>
      <c r="C9" s="413" t="s">
        <v>1755</v>
      </c>
      <c r="D9" s="817">
        <v>1</v>
      </c>
      <c r="E9" s="817">
        <v>1</v>
      </c>
      <c r="F9" s="815">
        <v>0</v>
      </c>
      <c r="G9" s="815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25"/>
      <c r="B10" s="1118"/>
      <c r="C10" s="413" t="s">
        <v>1756</v>
      </c>
      <c r="D10" s="817">
        <v>1</v>
      </c>
      <c r="E10" s="817">
        <v>1</v>
      </c>
      <c r="F10" s="815">
        <v>0</v>
      </c>
      <c r="G10" s="815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25"/>
      <c r="B11" s="1118"/>
      <c r="C11" s="413" t="s">
        <v>1757</v>
      </c>
      <c r="D11" s="817">
        <v>1</v>
      </c>
      <c r="E11" s="817">
        <v>0</v>
      </c>
      <c r="F11" s="815">
        <v>1</v>
      </c>
      <c r="G11" s="815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25"/>
      <c r="B12" s="1126">
        <v>4</v>
      </c>
      <c r="C12" s="413" t="s">
        <v>1758</v>
      </c>
      <c r="D12" s="817">
        <v>1</v>
      </c>
      <c r="E12" s="817">
        <v>1</v>
      </c>
      <c r="F12" s="815">
        <v>0</v>
      </c>
      <c r="G12" s="815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25"/>
      <c r="B13" s="1126"/>
      <c r="C13" s="413" t="s">
        <v>1759</v>
      </c>
      <c r="D13" s="817">
        <v>1</v>
      </c>
      <c r="E13" s="817">
        <v>1</v>
      </c>
      <c r="F13" s="815">
        <v>0</v>
      </c>
      <c r="G13" s="815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25"/>
      <c r="B14" s="1126"/>
      <c r="C14" s="413" t="s">
        <v>1760</v>
      </c>
      <c r="D14" s="817">
        <v>1</v>
      </c>
      <c r="E14" s="817">
        <v>1</v>
      </c>
      <c r="F14" s="815">
        <v>0</v>
      </c>
      <c r="G14" s="815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25"/>
      <c r="B15" s="1126">
        <v>5</v>
      </c>
      <c r="C15" s="413" t="s">
        <v>1761</v>
      </c>
      <c r="D15" s="817">
        <v>1</v>
      </c>
      <c r="E15" s="817">
        <v>1</v>
      </c>
      <c r="F15" s="815">
        <v>0</v>
      </c>
      <c r="G15" s="815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25"/>
      <c r="B16" s="1126"/>
      <c r="C16" s="413" t="s">
        <v>1762</v>
      </c>
      <c r="D16" s="817">
        <v>1</v>
      </c>
      <c r="E16" s="817">
        <v>1</v>
      </c>
      <c r="F16" s="815">
        <v>0</v>
      </c>
      <c r="G16" s="815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25"/>
      <c r="B17" s="1126"/>
      <c r="C17" s="413" t="s">
        <v>1699</v>
      </c>
      <c r="D17" s="817">
        <v>1</v>
      </c>
      <c r="E17" s="817">
        <v>1</v>
      </c>
      <c r="F17" s="815">
        <v>0</v>
      </c>
      <c r="G17" s="815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25" t="s">
        <v>635</v>
      </c>
      <c r="B18" s="1126">
        <v>1</v>
      </c>
      <c r="C18" s="81" t="s">
        <v>1763</v>
      </c>
      <c r="D18" s="817">
        <v>1</v>
      </c>
      <c r="E18" s="817">
        <v>1</v>
      </c>
      <c r="F18" s="815">
        <v>0</v>
      </c>
      <c r="G18" s="815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25"/>
      <c r="B19" s="1126"/>
      <c r="C19" s="81" t="s">
        <v>1764</v>
      </c>
      <c r="D19" s="817">
        <v>1</v>
      </c>
      <c r="E19" s="817">
        <v>1</v>
      </c>
      <c r="F19" s="815">
        <v>0</v>
      </c>
      <c r="G19" s="815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25"/>
      <c r="B20" s="1126"/>
      <c r="C20" s="81" t="s">
        <v>1765</v>
      </c>
      <c r="D20" s="817">
        <v>1</v>
      </c>
      <c r="E20" s="817">
        <v>1</v>
      </c>
      <c r="F20" s="815">
        <v>0</v>
      </c>
      <c r="G20" s="815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25"/>
      <c r="B21" s="1126"/>
      <c r="C21" s="81" t="s">
        <v>129</v>
      </c>
      <c r="D21" s="817">
        <v>2</v>
      </c>
      <c r="E21" s="817">
        <v>2</v>
      </c>
      <c r="F21" s="815">
        <v>0</v>
      </c>
      <c r="G21" s="815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25"/>
      <c r="B22" s="1126"/>
      <c r="C22" s="81" t="s">
        <v>1766</v>
      </c>
      <c r="D22" s="817">
        <v>1</v>
      </c>
      <c r="E22" s="817">
        <v>1</v>
      </c>
      <c r="F22" s="815">
        <v>0</v>
      </c>
      <c r="G22" s="815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25"/>
      <c r="B23" s="1126">
        <v>2</v>
      </c>
      <c r="C23" s="81" t="s">
        <v>1767</v>
      </c>
      <c r="D23" s="817">
        <v>1</v>
      </c>
      <c r="E23" s="817">
        <v>1</v>
      </c>
      <c r="F23" s="815">
        <v>0</v>
      </c>
      <c r="G23" s="815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25"/>
      <c r="B24" s="1126"/>
      <c r="C24" s="81" t="s">
        <v>1768</v>
      </c>
      <c r="D24" s="817">
        <v>1</v>
      </c>
      <c r="E24" s="817">
        <v>1</v>
      </c>
      <c r="F24" s="815">
        <v>0</v>
      </c>
      <c r="G24" s="815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25"/>
      <c r="B25" s="1126"/>
      <c r="C25" s="81" t="s">
        <v>129</v>
      </c>
      <c r="D25" s="817">
        <v>2</v>
      </c>
      <c r="E25" s="817">
        <v>2</v>
      </c>
      <c r="F25" s="815">
        <v>0</v>
      </c>
      <c r="G25" s="815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25"/>
      <c r="B26" s="1126"/>
      <c r="C26" s="81" t="s">
        <v>1769</v>
      </c>
      <c r="D26" s="817">
        <v>2</v>
      </c>
      <c r="E26" s="817">
        <v>2</v>
      </c>
      <c r="F26" s="815">
        <v>0</v>
      </c>
      <c r="G26" s="815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25"/>
      <c r="B27" s="1126"/>
      <c r="C27" s="81" t="s">
        <v>1770</v>
      </c>
      <c r="D27" s="817">
        <v>1</v>
      </c>
      <c r="E27" s="817">
        <v>1</v>
      </c>
      <c r="F27" s="815">
        <v>0</v>
      </c>
      <c r="G27" s="815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25"/>
      <c r="B28" s="1126"/>
      <c r="C28" s="81" t="s">
        <v>1771</v>
      </c>
      <c r="D28" s="817">
        <v>1</v>
      </c>
      <c r="E28" s="817">
        <v>1</v>
      </c>
      <c r="F28" s="815">
        <v>0</v>
      </c>
      <c r="G28" s="815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25"/>
      <c r="B29" s="1126"/>
      <c r="C29" s="81" t="s">
        <v>1772</v>
      </c>
      <c r="D29" s="817">
        <v>1</v>
      </c>
      <c r="E29" s="817">
        <v>1</v>
      </c>
      <c r="F29" s="815">
        <v>0</v>
      </c>
      <c r="G29" s="815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25"/>
      <c r="B30" s="1126"/>
      <c r="C30" s="81" t="s">
        <v>1773</v>
      </c>
      <c r="D30" s="817">
        <v>1</v>
      </c>
      <c r="E30" s="817">
        <v>1</v>
      </c>
      <c r="F30" s="815">
        <v>0</v>
      </c>
      <c r="G30" s="815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19" t="s">
        <v>1774</v>
      </c>
      <c r="B31" s="817">
        <v>1</v>
      </c>
      <c r="C31" s="81" t="s">
        <v>1672</v>
      </c>
      <c r="D31" s="817">
        <v>1</v>
      </c>
      <c r="E31" s="817">
        <v>1</v>
      </c>
      <c r="F31" s="815">
        <v>0</v>
      </c>
      <c r="G31" s="815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19"/>
      <c r="B32" s="1126">
        <v>2</v>
      </c>
      <c r="C32" s="81" t="s">
        <v>1775</v>
      </c>
      <c r="D32" s="817">
        <v>1</v>
      </c>
      <c r="E32" s="817">
        <v>1</v>
      </c>
      <c r="F32" s="815">
        <v>0</v>
      </c>
      <c r="G32" s="815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19"/>
      <c r="B33" s="1126"/>
      <c r="C33" s="81" t="s">
        <v>1776</v>
      </c>
      <c r="D33" s="817">
        <v>1</v>
      </c>
      <c r="E33" s="817">
        <v>1</v>
      </c>
      <c r="F33" s="815">
        <v>0</v>
      </c>
      <c r="G33" s="815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25" t="s">
        <v>1777</v>
      </c>
      <c r="B34" s="1126">
        <v>1</v>
      </c>
      <c r="C34" s="81" t="s">
        <v>1778</v>
      </c>
      <c r="D34" s="817">
        <v>1</v>
      </c>
      <c r="E34" s="817">
        <v>1</v>
      </c>
      <c r="F34" s="815">
        <v>0</v>
      </c>
      <c r="G34" s="815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25"/>
      <c r="B35" s="1126"/>
      <c r="C35" s="81" t="s">
        <v>1779</v>
      </c>
      <c r="D35" s="817">
        <v>1</v>
      </c>
      <c r="E35" s="817">
        <v>1</v>
      </c>
      <c r="F35" s="815">
        <v>0</v>
      </c>
      <c r="G35" s="815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16" t="s">
        <v>1780</v>
      </c>
      <c r="B36" s="817">
        <v>1</v>
      </c>
      <c r="C36" s="81" t="s">
        <v>1781</v>
      </c>
      <c r="D36" s="817">
        <v>1</v>
      </c>
      <c r="E36" s="817">
        <v>1</v>
      </c>
      <c r="F36" s="815">
        <v>0</v>
      </c>
      <c r="G36" s="815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16" t="s">
        <v>1782</v>
      </c>
      <c r="B37" s="817">
        <v>1</v>
      </c>
      <c r="C37" s="81" t="s">
        <v>1783</v>
      </c>
      <c r="D37" s="817">
        <v>1</v>
      </c>
      <c r="E37" s="817">
        <v>1</v>
      </c>
      <c r="F37" s="815">
        <v>0</v>
      </c>
      <c r="G37" s="815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16" t="s">
        <v>1784</v>
      </c>
      <c r="B38" s="817">
        <v>1</v>
      </c>
      <c r="C38" s="81" t="s">
        <v>1785</v>
      </c>
      <c r="D38" s="817">
        <v>1</v>
      </c>
      <c r="E38" s="817">
        <v>0</v>
      </c>
      <c r="F38" s="815">
        <v>1</v>
      </c>
      <c r="G38" s="815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19" t="s">
        <v>1605</v>
      </c>
      <c r="B39" s="1126">
        <v>1</v>
      </c>
      <c r="C39" s="81" t="s">
        <v>1691</v>
      </c>
      <c r="D39" s="817">
        <v>1</v>
      </c>
      <c r="E39" s="817">
        <v>1</v>
      </c>
      <c r="F39" s="815">
        <v>0</v>
      </c>
      <c r="G39" s="815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19"/>
      <c r="B40" s="1126"/>
      <c r="C40" s="81" t="s">
        <v>1786</v>
      </c>
      <c r="D40" s="817">
        <v>1</v>
      </c>
      <c r="E40" s="817">
        <v>1</v>
      </c>
      <c r="F40" s="815">
        <v>0</v>
      </c>
      <c r="G40" s="815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19"/>
      <c r="B41" s="1126"/>
      <c r="C41" s="81" t="s">
        <v>1672</v>
      </c>
      <c r="D41" s="817">
        <v>1</v>
      </c>
      <c r="E41" s="817">
        <v>1</v>
      </c>
      <c r="F41" s="815">
        <v>0</v>
      </c>
      <c r="G41" s="815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19"/>
      <c r="B42" s="1126"/>
      <c r="C42" s="81" t="s">
        <v>1787</v>
      </c>
      <c r="D42" s="817">
        <v>1</v>
      </c>
      <c r="E42" s="817">
        <v>1</v>
      </c>
      <c r="F42" s="815">
        <v>0</v>
      </c>
      <c r="G42" s="815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19"/>
      <c r="B43" s="1126"/>
      <c r="C43" s="81" t="s">
        <v>1788</v>
      </c>
      <c r="D43" s="817">
        <v>1</v>
      </c>
      <c r="E43" s="817">
        <v>1</v>
      </c>
      <c r="F43" s="815">
        <v>0</v>
      </c>
      <c r="G43" s="815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259</v>
      </c>
      <c r="B1" s="110" t="s">
        <v>15</v>
      </c>
      <c r="C1" s="110" t="s">
        <v>17</v>
      </c>
      <c r="D1" s="110" t="s">
        <v>260</v>
      </c>
      <c r="E1" s="110" t="s">
        <v>261</v>
      </c>
      <c r="F1" s="127" t="s">
        <v>262</v>
      </c>
      <c r="G1" s="127" t="s">
        <v>263</v>
      </c>
      <c r="H1" s="127" t="s">
        <v>264</v>
      </c>
      <c r="I1" s="127" t="s">
        <v>265</v>
      </c>
      <c r="J1" s="127" t="s">
        <v>266</v>
      </c>
      <c r="K1" s="127" t="s">
        <v>267</v>
      </c>
      <c r="L1" s="127" t="s">
        <v>268</v>
      </c>
      <c r="M1" s="127" t="s">
        <v>269</v>
      </c>
      <c r="N1" s="127" t="s">
        <v>270</v>
      </c>
      <c r="O1" s="128" t="s">
        <v>271</v>
      </c>
    </row>
    <row r="2" spans="1:15" s="92" customFormat="1">
      <c r="A2" s="125" t="s">
        <v>10</v>
      </c>
      <c r="B2" s="120" t="s">
        <v>1605</v>
      </c>
      <c r="C2" s="180">
        <v>1</v>
      </c>
      <c r="D2" s="121" t="s">
        <v>236</v>
      </c>
      <c r="E2" s="90" t="s">
        <v>1789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25" t="s">
        <v>10</v>
      </c>
      <c r="B3" s="152" t="s">
        <v>1790</v>
      </c>
      <c r="C3" s="181">
        <v>1</v>
      </c>
      <c r="D3" s="123" t="s">
        <v>1708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157</v>
      </c>
    </row>
    <row r="4" spans="1:15" s="92" customFormat="1">
      <c r="A4" s="125" t="s">
        <v>10</v>
      </c>
      <c r="B4" s="152" t="s">
        <v>1791</v>
      </c>
      <c r="C4" s="181">
        <v>1</v>
      </c>
      <c r="D4" s="137" t="s">
        <v>1712</v>
      </c>
      <c r="E4" s="90" t="s">
        <v>1792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25" t="s">
        <v>10</v>
      </c>
      <c r="B5" s="152" t="s">
        <v>1793</v>
      </c>
      <c r="C5" s="181">
        <v>1</v>
      </c>
      <c r="D5" s="123" t="s">
        <v>1714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157</v>
      </c>
    </row>
    <row r="6" spans="1:15" s="92" customFormat="1">
      <c r="A6" s="125" t="s">
        <v>10</v>
      </c>
      <c r="B6" s="152" t="s">
        <v>1794</v>
      </c>
      <c r="C6" s="181">
        <v>1</v>
      </c>
      <c r="D6" s="137" t="s">
        <v>1716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125" t="s">
        <v>10</v>
      </c>
      <c r="B7" s="122" t="s">
        <v>1717</v>
      </c>
      <c r="C7" s="181">
        <v>1</v>
      </c>
      <c r="D7" s="279" t="s">
        <v>1718</v>
      </c>
      <c r="E7" s="90" t="s">
        <v>1795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157</v>
      </c>
    </row>
    <row r="8" spans="1:15" s="92" customFormat="1">
      <c r="A8" s="125" t="s">
        <v>10</v>
      </c>
      <c r="B8" s="122" t="s">
        <v>1717</v>
      </c>
      <c r="C8" s="181">
        <v>2</v>
      </c>
      <c r="D8" s="123" t="s">
        <v>1796</v>
      </c>
      <c r="E8" s="90" t="s">
        <v>1797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157</v>
      </c>
    </row>
    <row r="9" spans="1:15" s="92" customFormat="1">
      <c r="A9" s="125" t="s">
        <v>10</v>
      </c>
      <c r="B9" s="122" t="s">
        <v>1717</v>
      </c>
      <c r="C9" s="181">
        <v>2</v>
      </c>
      <c r="D9" s="280" t="s">
        <v>1798</v>
      </c>
      <c r="E9" s="90" t="s">
        <v>1799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25" t="s">
        <v>10</v>
      </c>
      <c r="B10" s="122" t="s">
        <v>1717</v>
      </c>
      <c r="C10" s="181">
        <v>1</v>
      </c>
      <c r="D10" s="279" t="s">
        <v>1725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25" t="s">
        <v>10</v>
      </c>
      <c r="B11" s="122" t="s">
        <v>1717</v>
      </c>
      <c r="C11" s="181">
        <v>1</v>
      </c>
      <c r="D11" s="280" t="s">
        <v>1726</v>
      </c>
      <c r="E11" s="90" t="s">
        <v>1800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25" t="s">
        <v>10</v>
      </c>
      <c r="B12" s="122" t="s">
        <v>1717</v>
      </c>
      <c r="C12" s="181">
        <v>1</v>
      </c>
      <c r="D12" s="279" t="s">
        <v>1727</v>
      </c>
      <c r="E12" s="90" t="s">
        <v>1801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125" t="s">
        <v>10</v>
      </c>
      <c r="B13" s="136" t="s">
        <v>1802</v>
      </c>
      <c r="C13" s="181">
        <v>1</v>
      </c>
      <c r="D13" s="137" t="s">
        <v>1731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25" t="s">
        <v>10</v>
      </c>
      <c r="B14" s="122" t="s">
        <v>1717</v>
      </c>
      <c r="C14" s="181">
        <v>1</v>
      </c>
      <c r="D14" s="279" t="s">
        <v>1732</v>
      </c>
      <c r="E14" s="90" t="s">
        <v>1803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25" t="s">
        <v>10</v>
      </c>
      <c r="B15" s="282" t="s">
        <v>1804</v>
      </c>
      <c r="C15" s="228">
        <v>1</v>
      </c>
      <c r="D15" s="414" t="s">
        <v>1805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25" t="s">
        <v>10</v>
      </c>
      <c r="B16" s="122" t="s">
        <v>1737</v>
      </c>
      <c r="C16" s="181">
        <v>1</v>
      </c>
      <c r="D16" s="123" t="s">
        <v>1469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157</v>
      </c>
    </row>
    <row r="17" spans="1:16" s="92" customFormat="1">
      <c r="A17" s="125" t="s">
        <v>10</v>
      </c>
      <c r="B17" s="122" t="s">
        <v>1738</v>
      </c>
      <c r="C17" s="181">
        <v>1</v>
      </c>
      <c r="D17" s="123" t="s">
        <v>1739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6" s="92" customFormat="1">
      <c r="A18" s="125" t="s">
        <v>10</v>
      </c>
      <c r="B18" s="122" t="s">
        <v>1806</v>
      </c>
      <c r="C18" s="181">
        <v>2</v>
      </c>
      <c r="D18" s="123" t="s">
        <v>1741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6" s="92" customFormat="1">
      <c r="A19" s="125" t="s">
        <v>10</v>
      </c>
      <c r="B19" s="136" t="s">
        <v>1742</v>
      </c>
      <c r="C19" s="181">
        <v>1</v>
      </c>
      <c r="D19" s="137" t="s">
        <v>1743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157</v>
      </c>
    </row>
    <row r="20" spans="1:16" s="92" customFormat="1">
      <c r="A20" s="125" t="s">
        <v>10</v>
      </c>
      <c r="B20" s="122" t="s">
        <v>1742</v>
      </c>
      <c r="C20" s="181">
        <v>2</v>
      </c>
      <c r="D20" s="123" t="s">
        <v>1807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6" s="92" customFormat="1">
      <c r="A21" s="125" t="s">
        <v>10</v>
      </c>
      <c r="B21" s="122" t="s">
        <v>1742</v>
      </c>
      <c r="C21" s="283">
        <v>2</v>
      </c>
      <c r="D21" s="137" t="s">
        <v>1808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157</v>
      </c>
    </row>
    <row r="22" spans="1:16" s="92" customFormat="1">
      <c r="A22" s="125" t="s">
        <v>10</v>
      </c>
      <c r="B22" s="122" t="s">
        <v>1742</v>
      </c>
      <c r="C22" s="181">
        <v>3</v>
      </c>
      <c r="D22" s="123" t="s">
        <v>1746</v>
      </c>
      <c r="E22" s="90" t="s">
        <v>1809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6" s="92" customFormat="1">
      <c r="A23" s="125" t="s">
        <v>10</v>
      </c>
      <c r="B23" s="122" t="s">
        <v>1742</v>
      </c>
      <c r="C23" s="181">
        <v>4</v>
      </c>
      <c r="D23" s="123" t="s">
        <v>1747</v>
      </c>
      <c r="E23" s="90" t="s">
        <v>1810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6" s="92" customFormat="1">
      <c r="A24" s="125" t="s">
        <v>10</v>
      </c>
      <c r="B24" s="122" t="s">
        <v>1742</v>
      </c>
      <c r="C24" s="181">
        <v>5</v>
      </c>
      <c r="D24" s="123" t="s">
        <v>1748</v>
      </c>
      <c r="E24" s="90" t="s">
        <v>1811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157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291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797" t="s">
        <v>15</v>
      </c>
      <c r="B1" s="797" t="s">
        <v>16</v>
      </c>
      <c r="C1" s="783" t="s">
        <v>1376</v>
      </c>
      <c r="D1" s="36" t="s">
        <v>18</v>
      </c>
      <c r="E1" s="783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091" t="s">
        <v>635</v>
      </c>
      <c r="B2" s="45" t="s">
        <v>1812</v>
      </c>
      <c r="C2" s="17" t="s">
        <v>1813</v>
      </c>
      <c r="D2" s="22" t="s">
        <v>38</v>
      </c>
      <c r="E2" s="498">
        <v>5</v>
      </c>
      <c r="F2" s="791">
        <v>0</v>
      </c>
      <c r="G2" s="791">
        <v>0</v>
      </c>
      <c r="H2" s="791">
        <v>0</v>
      </c>
      <c r="I2" s="7">
        <f t="shared" ref="I2:I34" si="0">ROUNDUP(((F2+G2+H2)/3)/E2*100%,2)</f>
        <v>0</v>
      </c>
      <c r="J2" s="8"/>
    </row>
    <row r="3" spans="1:10" ht="18">
      <c r="A3" s="1092"/>
      <c r="B3" s="46"/>
      <c r="C3" s="18"/>
      <c r="D3" s="23" t="s">
        <v>42</v>
      </c>
      <c r="E3" s="790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92"/>
      <c r="B4" s="46"/>
      <c r="C4" s="18"/>
      <c r="D4" s="23" t="s">
        <v>1381</v>
      </c>
      <c r="E4" s="790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92"/>
      <c r="B5" s="46"/>
      <c r="C5" s="18"/>
      <c r="D5" s="23" t="s">
        <v>52</v>
      </c>
      <c r="E5" s="790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92"/>
      <c r="B6" s="46"/>
      <c r="C6" s="18"/>
      <c r="D6" s="23" t="s">
        <v>58</v>
      </c>
      <c r="E6" s="790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92"/>
      <c r="B7" s="46"/>
      <c r="C7" s="18"/>
      <c r="D7" s="23" t="s">
        <v>1382</v>
      </c>
      <c r="E7" s="790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1814</v>
      </c>
    </row>
    <row r="8" spans="1:10" ht="18">
      <c r="A8" s="1092"/>
      <c r="B8" s="46"/>
      <c r="C8" s="18"/>
      <c r="D8" s="23" t="s">
        <v>1383</v>
      </c>
      <c r="E8" s="790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92"/>
      <c r="B9" s="46"/>
      <c r="C9" s="18"/>
      <c r="D9" s="23" t="s">
        <v>62</v>
      </c>
      <c r="E9" s="790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92"/>
      <c r="B10" s="46"/>
      <c r="C10" s="18"/>
      <c r="D10" s="23" t="s">
        <v>1384</v>
      </c>
      <c r="E10" s="790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92"/>
      <c r="B11" s="46" t="s">
        <v>1815</v>
      </c>
      <c r="C11" s="18" t="s">
        <v>1816</v>
      </c>
      <c r="D11" s="23" t="s">
        <v>38</v>
      </c>
      <c r="E11" s="790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92"/>
      <c r="B12" s="46"/>
      <c r="C12" s="18"/>
      <c r="D12" s="23" t="s">
        <v>42</v>
      </c>
      <c r="E12" s="790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92"/>
      <c r="B13" s="46" t="s">
        <v>1817</v>
      </c>
      <c r="C13" s="18" t="s">
        <v>347</v>
      </c>
      <c r="D13" s="23" t="s">
        <v>38</v>
      </c>
      <c r="E13" s="790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92"/>
      <c r="B14" s="46"/>
      <c r="C14" s="18"/>
      <c r="D14" s="23" t="s">
        <v>42</v>
      </c>
      <c r="E14" s="790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92"/>
      <c r="B15" s="415" t="s">
        <v>1818</v>
      </c>
      <c r="C15" s="32" t="s">
        <v>347</v>
      </c>
      <c r="D15" s="32" t="s">
        <v>38</v>
      </c>
      <c r="E15" s="790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92"/>
      <c r="B16" s="46"/>
      <c r="C16" s="18"/>
      <c r="D16" s="23" t="s">
        <v>42</v>
      </c>
      <c r="E16" s="790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92"/>
      <c r="B17" s="46" t="s">
        <v>1703</v>
      </c>
      <c r="C17" s="18" t="s">
        <v>347</v>
      </c>
      <c r="D17" s="23" t="s">
        <v>38</v>
      </c>
      <c r="E17" s="790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92"/>
      <c r="B18" s="46" t="s">
        <v>1819</v>
      </c>
      <c r="C18" s="18" t="s">
        <v>347</v>
      </c>
      <c r="D18" s="23" t="s">
        <v>42</v>
      </c>
      <c r="E18" s="790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92"/>
      <c r="B19" s="46" t="s">
        <v>1820</v>
      </c>
      <c r="C19" s="18" t="s">
        <v>1821</v>
      </c>
      <c r="D19" s="23" t="s">
        <v>42</v>
      </c>
      <c r="E19" s="790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93"/>
      <c r="B20" s="47" t="s">
        <v>1822</v>
      </c>
      <c r="C20" s="318" t="s">
        <v>347</v>
      </c>
      <c r="D20" s="319" t="s">
        <v>42</v>
      </c>
      <c r="E20" s="791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1823</v>
      </c>
      <c r="B21" s="45" t="s">
        <v>1824</v>
      </c>
      <c r="C21" s="17" t="s">
        <v>347</v>
      </c>
      <c r="D21" s="22" t="s">
        <v>38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790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1825</v>
      </c>
      <c r="B23" s="30" t="s">
        <v>1826</v>
      </c>
      <c r="C23" s="19" t="s">
        <v>347</v>
      </c>
      <c r="D23" s="24" t="s">
        <v>42</v>
      </c>
      <c r="E23" s="791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1827</v>
      </c>
      <c r="B24" s="48" t="s">
        <v>37</v>
      </c>
      <c r="C24" s="20" t="s">
        <v>347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21" t="s">
        <v>1828</v>
      </c>
      <c r="B25" s="45" t="s">
        <v>1829</v>
      </c>
      <c r="C25" s="17" t="s">
        <v>347</v>
      </c>
      <c r="D25" s="22" t="s">
        <v>38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22"/>
      <c r="B26" s="47"/>
      <c r="C26" s="19"/>
      <c r="D26" s="24" t="s">
        <v>42</v>
      </c>
      <c r="E26" s="791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1830</v>
      </c>
      <c r="B27" s="48" t="s">
        <v>236</v>
      </c>
      <c r="C27" s="20" t="s">
        <v>347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1457</v>
      </c>
      <c r="B28" s="48" t="s">
        <v>1831</v>
      </c>
      <c r="C28" s="20" t="s">
        <v>347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1832</v>
      </c>
      <c r="B29" s="48" t="s">
        <v>1833</v>
      </c>
      <c r="C29" s="20" t="s">
        <v>347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1834</v>
      </c>
      <c r="B30" s="48" t="s">
        <v>37</v>
      </c>
      <c r="C30" s="324" t="s">
        <v>347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1835</v>
      </c>
      <c r="B31" s="48" t="s">
        <v>1378</v>
      </c>
      <c r="C31" s="20" t="s">
        <v>347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1836</v>
      </c>
      <c r="B32" s="48" t="s">
        <v>1837</v>
      </c>
      <c r="C32" s="20" t="s">
        <v>347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1838</v>
      </c>
      <c r="B33" s="48" t="s">
        <v>1839</v>
      </c>
      <c r="C33" s="20" t="s">
        <v>347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1840</v>
      </c>
      <c r="B34" s="48" t="s">
        <v>347</v>
      </c>
      <c r="C34" s="20" t="s">
        <v>347</v>
      </c>
      <c r="D34" s="21" t="s">
        <v>1491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1492</v>
      </c>
      <c r="E35" s="13" t="s">
        <v>1493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1494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70" t="s">
        <v>17</v>
      </c>
      <c r="C1" s="797" t="s">
        <v>16</v>
      </c>
      <c r="D1" s="783" t="s">
        <v>151</v>
      </c>
      <c r="E1" s="783" t="s">
        <v>152</v>
      </c>
      <c r="F1" s="783" t="s">
        <v>153</v>
      </c>
      <c r="G1" s="783" t="s">
        <v>154</v>
      </c>
      <c r="H1" s="237" t="s">
        <v>26</v>
      </c>
      <c r="I1" s="237" t="s">
        <v>27</v>
      </c>
      <c r="J1" s="237" t="s">
        <v>28</v>
      </c>
      <c r="K1" s="799" t="s">
        <v>29</v>
      </c>
      <c r="L1" s="796" t="s">
        <v>30</v>
      </c>
    </row>
    <row r="2" spans="1:12">
      <c r="A2" s="989" t="s">
        <v>635</v>
      </c>
      <c r="B2" s="1124">
        <v>1</v>
      </c>
      <c r="C2" s="79" t="s">
        <v>1841</v>
      </c>
      <c r="D2" s="815">
        <v>1</v>
      </c>
      <c r="E2" s="815">
        <v>1</v>
      </c>
      <c r="F2" s="815">
        <v>0</v>
      </c>
      <c r="G2" s="815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989"/>
      <c r="B3" s="1124"/>
      <c r="C3" s="79" t="s">
        <v>1842</v>
      </c>
      <c r="D3" s="815">
        <v>1</v>
      </c>
      <c r="E3" s="815">
        <v>1</v>
      </c>
      <c r="F3" s="815">
        <v>0</v>
      </c>
      <c r="G3" s="815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89"/>
      <c r="B4" s="1124"/>
      <c r="C4" s="79" t="s">
        <v>129</v>
      </c>
      <c r="D4" s="815">
        <v>1</v>
      </c>
      <c r="E4" s="815">
        <v>1</v>
      </c>
      <c r="F4" s="815">
        <v>0</v>
      </c>
      <c r="G4" s="815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89"/>
      <c r="B5" s="1124"/>
      <c r="C5" s="79" t="s">
        <v>1843</v>
      </c>
      <c r="D5" s="815">
        <v>1</v>
      </c>
      <c r="E5" s="815">
        <v>1</v>
      </c>
      <c r="F5" s="815">
        <v>0</v>
      </c>
      <c r="G5" s="815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89"/>
      <c r="B6" s="1126">
        <v>2</v>
      </c>
      <c r="C6" s="79" t="s">
        <v>1577</v>
      </c>
      <c r="D6" s="815">
        <v>2</v>
      </c>
      <c r="E6" s="815">
        <v>2</v>
      </c>
      <c r="F6" s="815">
        <v>0</v>
      </c>
      <c r="G6" s="815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989"/>
      <c r="B7" s="1126"/>
      <c r="C7" s="79" t="s">
        <v>1844</v>
      </c>
      <c r="D7" s="815">
        <v>2</v>
      </c>
      <c r="E7" s="815">
        <v>2</v>
      </c>
      <c r="F7" s="815">
        <v>0</v>
      </c>
      <c r="G7" s="815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89"/>
      <c r="B8" s="1126"/>
      <c r="C8" s="79" t="s">
        <v>1845</v>
      </c>
      <c r="D8" s="815">
        <v>1</v>
      </c>
      <c r="E8" s="815">
        <v>1</v>
      </c>
      <c r="F8" s="815">
        <v>0</v>
      </c>
      <c r="G8" s="815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89"/>
      <c r="B9" s="1126"/>
      <c r="C9" s="79" t="s">
        <v>1576</v>
      </c>
      <c r="D9" s="815">
        <v>1</v>
      </c>
      <c r="E9" s="815">
        <v>1</v>
      </c>
      <c r="F9" s="815">
        <v>0</v>
      </c>
      <c r="G9" s="815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89"/>
      <c r="B10" s="1126"/>
      <c r="C10" s="79" t="s">
        <v>1739</v>
      </c>
      <c r="D10" s="815">
        <v>1</v>
      </c>
      <c r="E10" s="815">
        <v>1</v>
      </c>
      <c r="F10" s="815">
        <v>0</v>
      </c>
      <c r="G10" s="815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89"/>
      <c r="B11" s="1126"/>
      <c r="C11" s="79" t="s">
        <v>1846</v>
      </c>
      <c r="D11" s="815">
        <v>2</v>
      </c>
      <c r="E11" s="815">
        <v>2</v>
      </c>
      <c r="F11" s="815">
        <v>0</v>
      </c>
      <c r="G11" s="815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89"/>
      <c r="B12" s="1126"/>
      <c r="C12" s="79" t="s">
        <v>1847</v>
      </c>
      <c r="D12" s="815">
        <v>1</v>
      </c>
      <c r="E12" s="815">
        <v>1</v>
      </c>
      <c r="F12" s="815">
        <v>0</v>
      </c>
      <c r="G12" s="815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89"/>
      <c r="B13" s="1126"/>
      <c r="C13" s="79" t="s">
        <v>1848</v>
      </c>
      <c r="D13" s="815">
        <v>7</v>
      </c>
      <c r="E13" s="815">
        <v>7</v>
      </c>
      <c r="F13" s="815">
        <v>0</v>
      </c>
      <c r="G13" s="815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89"/>
      <c r="B14" s="1126"/>
      <c r="C14" s="79" t="s">
        <v>1849</v>
      </c>
      <c r="D14" s="815">
        <v>1</v>
      </c>
      <c r="E14" s="815">
        <v>1</v>
      </c>
      <c r="F14" s="815">
        <v>0</v>
      </c>
      <c r="G14" s="815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89" t="s">
        <v>1850</v>
      </c>
      <c r="B15" s="1124">
        <v>1</v>
      </c>
      <c r="C15" s="79" t="s">
        <v>1851</v>
      </c>
      <c r="D15" s="815">
        <v>1</v>
      </c>
      <c r="E15" s="815">
        <v>1</v>
      </c>
      <c r="F15" s="815">
        <v>0</v>
      </c>
      <c r="G15" s="815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89"/>
      <c r="B16" s="1124"/>
      <c r="C16" s="79" t="s">
        <v>1852</v>
      </c>
      <c r="D16" s="815">
        <v>2</v>
      </c>
      <c r="E16" s="815">
        <v>2</v>
      </c>
      <c r="F16" s="815">
        <v>0</v>
      </c>
      <c r="G16" s="815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788" t="s">
        <v>1853</v>
      </c>
      <c r="B17" s="8">
        <v>2</v>
      </c>
      <c r="C17" s="73" t="s">
        <v>129</v>
      </c>
      <c r="D17" s="815">
        <v>1</v>
      </c>
      <c r="E17" s="815">
        <v>1</v>
      </c>
      <c r="F17" s="815">
        <v>0</v>
      </c>
      <c r="G17" s="815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89" t="s">
        <v>1854</v>
      </c>
      <c r="B18" s="1124">
        <v>1</v>
      </c>
      <c r="C18" s="79" t="s">
        <v>236</v>
      </c>
      <c r="D18" s="815">
        <v>1</v>
      </c>
      <c r="E18" s="815">
        <v>1</v>
      </c>
      <c r="F18" s="815">
        <v>0</v>
      </c>
      <c r="G18" s="815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89"/>
      <c r="B19" s="1124"/>
      <c r="C19" s="413" t="s">
        <v>1855</v>
      </c>
      <c r="D19" s="815">
        <v>1</v>
      </c>
      <c r="E19" s="815">
        <v>1</v>
      </c>
      <c r="F19" s="815">
        <v>0</v>
      </c>
      <c r="G19" s="815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89"/>
      <c r="B20" s="1124"/>
      <c r="C20" s="413" t="s">
        <v>1856</v>
      </c>
      <c r="D20" s="815">
        <v>1</v>
      </c>
      <c r="E20" s="815">
        <v>1</v>
      </c>
      <c r="F20" s="815">
        <v>0</v>
      </c>
      <c r="G20" s="815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89"/>
      <c r="B21" s="1124"/>
      <c r="C21" s="413" t="s">
        <v>1839</v>
      </c>
      <c r="D21" s="815">
        <v>1</v>
      </c>
      <c r="E21" s="815">
        <v>1</v>
      </c>
      <c r="F21" s="815">
        <v>0</v>
      </c>
      <c r="G21" s="815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257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258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11</v>
      </c>
      <c r="B2" s="120" t="s">
        <v>635</v>
      </c>
      <c r="C2" s="180">
        <v>2</v>
      </c>
      <c r="D2" s="417" t="s">
        <v>1812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15" t="s">
        <v>157</v>
      </c>
    </row>
    <row r="3" spans="1:15" s="92" customFormat="1">
      <c r="A3" s="87" t="s">
        <v>11</v>
      </c>
      <c r="B3" s="122" t="s">
        <v>635</v>
      </c>
      <c r="C3" s="181">
        <v>2</v>
      </c>
      <c r="D3" s="130" t="s">
        <v>1857</v>
      </c>
      <c r="E3" s="90" t="s">
        <v>1858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15" t="s">
        <v>157</v>
      </c>
    </row>
    <row r="4" spans="1:15" s="92" customFormat="1">
      <c r="A4" s="87" t="s">
        <v>11</v>
      </c>
      <c r="B4" s="122" t="s">
        <v>635</v>
      </c>
      <c r="C4" s="181">
        <v>1</v>
      </c>
      <c r="D4" s="275" t="s">
        <v>1859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15" t="s">
        <v>157</v>
      </c>
    </row>
    <row r="5" spans="1:15" s="92" customFormat="1">
      <c r="A5" s="87" t="s">
        <v>11</v>
      </c>
      <c r="B5" s="122" t="s">
        <v>635</v>
      </c>
      <c r="C5" s="181">
        <v>2</v>
      </c>
      <c r="D5" s="275" t="s">
        <v>1860</v>
      </c>
      <c r="E5" s="90" t="s">
        <v>1795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15" t="s">
        <v>157</v>
      </c>
    </row>
    <row r="6" spans="1:15" s="92" customFormat="1">
      <c r="A6" s="87" t="s">
        <v>11</v>
      </c>
      <c r="B6" s="122" t="s">
        <v>635</v>
      </c>
      <c r="C6" s="181">
        <v>2</v>
      </c>
      <c r="D6" s="130" t="s">
        <v>1861</v>
      </c>
      <c r="E6" s="90" t="s">
        <v>1862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15" t="s">
        <v>157</v>
      </c>
    </row>
    <row r="7" spans="1:15" s="111" customFormat="1" ht="36">
      <c r="A7" s="125" t="s">
        <v>11</v>
      </c>
      <c r="B7" s="281" t="s">
        <v>635</v>
      </c>
      <c r="C7" s="228">
        <v>2</v>
      </c>
      <c r="D7" s="323" t="s">
        <v>1863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15" t="s">
        <v>157</v>
      </c>
    </row>
    <row r="8" spans="1:15" s="92" customFormat="1">
      <c r="A8" s="87" t="s">
        <v>11</v>
      </c>
      <c r="B8" s="131" t="s">
        <v>1823</v>
      </c>
      <c r="C8" s="185">
        <v>1</v>
      </c>
      <c r="D8" s="130" t="s">
        <v>1824</v>
      </c>
      <c r="E8" s="90" t="s">
        <v>1864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15" t="s">
        <v>157</v>
      </c>
    </row>
    <row r="9" spans="1:15" s="92" customFormat="1">
      <c r="A9" s="87" t="s">
        <v>11</v>
      </c>
      <c r="B9" s="276" t="s">
        <v>1865</v>
      </c>
      <c r="C9" s="185">
        <v>1</v>
      </c>
      <c r="D9" s="123" t="s">
        <v>1826</v>
      </c>
      <c r="E9" s="90" t="s">
        <v>1866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15" t="s">
        <v>157</v>
      </c>
    </row>
    <row r="10" spans="1:15" s="92" customFormat="1">
      <c r="A10" s="87" t="s">
        <v>11</v>
      </c>
      <c r="B10" s="131" t="s">
        <v>1827</v>
      </c>
      <c r="C10" s="185">
        <v>1</v>
      </c>
      <c r="D10" s="130" t="s">
        <v>37</v>
      </c>
      <c r="E10" s="90" t="s">
        <v>1867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15" t="s">
        <v>157</v>
      </c>
    </row>
    <row r="11" spans="1:15" s="92" customFormat="1">
      <c r="A11" s="87" t="s">
        <v>11</v>
      </c>
      <c r="B11" s="131" t="s">
        <v>1828</v>
      </c>
      <c r="C11" s="185">
        <v>2</v>
      </c>
      <c r="D11" s="130" t="s">
        <v>1829</v>
      </c>
      <c r="E11" s="90" t="s">
        <v>1868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15" t="s">
        <v>157</v>
      </c>
    </row>
    <row r="12" spans="1:15" s="92" customFormat="1">
      <c r="A12" s="87" t="s">
        <v>11</v>
      </c>
      <c r="B12" s="282" t="s">
        <v>1869</v>
      </c>
      <c r="C12" s="285">
        <v>1</v>
      </c>
      <c r="D12" s="284" t="s">
        <v>236</v>
      </c>
      <c r="E12" s="90" t="s">
        <v>1870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15" t="s">
        <v>157</v>
      </c>
    </row>
    <row r="13" spans="1:15" s="92" customFormat="1">
      <c r="A13" s="87" t="s">
        <v>11</v>
      </c>
      <c r="B13" s="131" t="s">
        <v>1457</v>
      </c>
      <c r="C13" s="185">
        <v>2</v>
      </c>
      <c r="D13" s="130" t="s">
        <v>1831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15" t="s">
        <v>157</v>
      </c>
    </row>
    <row r="14" spans="1:15" s="92" customFormat="1">
      <c r="A14" s="87" t="s">
        <v>11</v>
      </c>
      <c r="B14" s="131" t="s">
        <v>1832</v>
      </c>
      <c r="C14" s="185">
        <v>3</v>
      </c>
      <c r="D14" s="130" t="s">
        <v>1833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15" t="s">
        <v>157</v>
      </c>
    </row>
    <row r="15" spans="1:15" s="92" customFormat="1">
      <c r="A15" s="87" t="s">
        <v>11</v>
      </c>
      <c r="B15" s="152" t="s">
        <v>1871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15" t="s">
        <v>157</v>
      </c>
    </row>
    <row r="16" spans="1:15" s="92" customFormat="1">
      <c r="A16" s="87" t="s">
        <v>11</v>
      </c>
      <c r="B16" s="131" t="s">
        <v>1835</v>
      </c>
      <c r="C16" s="185">
        <v>1</v>
      </c>
      <c r="D16" s="130" t="s">
        <v>1378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15" t="s">
        <v>157</v>
      </c>
    </row>
    <row r="17" spans="1:16" s="92" customFormat="1">
      <c r="A17" s="87" t="s">
        <v>11</v>
      </c>
      <c r="B17" s="131" t="s">
        <v>1836</v>
      </c>
      <c r="C17" s="185">
        <v>1</v>
      </c>
      <c r="D17" s="130" t="s">
        <v>1837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15" t="s">
        <v>157</v>
      </c>
    </row>
    <row r="18" spans="1:16" s="92" customFormat="1">
      <c r="B18" s="92">
        <f>COUNTIF(Table224567[สถานที่],"*")</f>
        <v>16</v>
      </c>
      <c r="E18" s="93" t="s">
        <v>291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1872</v>
      </c>
    </row>
    <row r="2" spans="1:38" s="340" customFormat="1" ht="21">
      <c r="A2" s="1139" t="s">
        <v>0</v>
      </c>
      <c r="B2" s="1139" t="s">
        <v>1873</v>
      </c>
      <c r="C2" s="1139" t="s">
        <v>1874</v>
      </c>
      <c r="D2" s="1139" t="s">
        <v>1875</v>
      </c>
      <c r="E2" s="1141" t="s">
        <v>1876</v>
      </c>
      <c r="F2" s="1141" t="s">
        <v>1877</v>
      </c>
      <c r="G2" s="1141" t="s">
        <v>1878</v>
      </c>
      <c r="H2" s="1141" t="s">
        <v>1879</v>
      </c>
      <c r="I2" s="1141" t="s">
        <v>1880</v>
      </c>
      <c r="J2" s="1144" t="s">
        <v>1881</v>
      </c>
      <c r="K2" s="1144"/>
      <c r="L2" s="1144"/>
      <c r="M2" s="1144" t="s">
        <v>1882</v>
      </c>
      <c r="N2" s="1144"/>
      <c r="O2" s="1144"/>
      <c r="P2" s="1144" t="s">
        <v>1883</v>
      </c>
      <c r="Q2" s="1144"/>
      <c r="R2" s="1139" t="s">
        <v>358</v>
      </c>
    </row>
    <row r="3" spans="1:38" s="344" customFormat="1" ht="99.6">
      <c r="A3" s="1140"/>
      <c r="B3" s="1140"/>
      <c r="C3" s="1140"/>
      <c r="D3" s="1140"/>
      <c r="E3" s="1142"/>
      <c r="F3" s="1142"/>
      <c r="G3" s="1142"/>
      <c r="H3" s="1142"/>
      <c r="I3" s="1142"/>
      <c r="J3" s="341" t="s">
        <v>1884</v>
      </c>
      <c r="K3" s="341" t="s">
        <v>1885</v>
      </c>
      <c r="L3" s="341" t="s">
        <v>1886</v>
      </c>
      <c r="M3" s="341" t="s">
        <v>1884</v>
      </c>
      <c r="N3" s="341" t="s">
        <v>1885</v>
      </c>
      <c r="O3" s="341" t="s">
        <v>1886</v>
      </c>
      <c r="P3" s="342" t="s">
        <v>1887</v>
      </c>
      <c r="Q3" s="343" t="s">
        <v>1888</v>
      </c>
      <c r="R3" s="1140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143" t="s">
        <v>1889</v>
      </c>
      <c r="B4" s="1143"/>
      <c r="C4" s="1143"/>
      <c r="D4" s="1143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127" t="s">
        <v>1890</v>
      </c>
      <c r="B5" s="1128"/>
      <c r="C5" s="1128"/>
      <c r="D5" s="1129"/>
      <c r="E5" s="1130"/>
      <c r="F5" s="1131"/>
      <c r="G5" s="1131"/>
      <c r="H5" s="1131"/>
      <c r="I5" s="1131"/>
      <c r="J5" s="1131"/>
      <c r="K5" s="1131"/>
      <c r="L5" s="1131"/>
      <c r="M5" s="1131"/>
      <c r="N5" s="1131"/>
      <c r="O5" s="1131"/>
      <c r="P5" s="1131"/>
      <c r="Q5" s="1131"/>
      <c r="R5" s="1132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1891</v>
      </c>
      <c r="C6" s="350"/>
      <c r="D6" s="351" t="s">
        <v>1892</v>
      </c>
      <c r="E6" s="352"/>
      <c r="F6" s="353" t="s">
        <v>1893</v>
      </c>
      <c r="G6" s="352" t="s">
        <v>1894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1895</v>
      </c>
      <c r="C7" s="350"/>
      <c r="D7" s="351" t="s">
        <v>1896</v>
      </c>
      <c r="E7" s="352"/>
      <c r="F7" s="353" t="s">
        <v>1893</v>
      </c>
      <c r="G7" s="352" t="s">
        <v>1897</v>
      </c>
      <c r="H7" s="352" t="s">
        <v>1898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127" t="s">
        <v>1899</v>
      </c>
      <c r="B8" s="1128"/>
      <c r="C8" s="1128"/>
      <c r="D8" s="1129"/>
      <c r="E8" s="1133" t="s">
        <v>1900</v>
      </c>
      <c r="F8" s="1134"/>
      <c r="G8" s="1134"/>
      <c r="H8" s="1134"/>
      <c r="I8" s="1134"/>
      <c r="J8" s="1134"/>
      <c r="K8" s="1135"/>
      <c r="L8" s="359">
        <f>MOD(MAX(K6:K7)-MIN(J6:J7),1)</f>
        <v>2.777777777777779E-2</v>
      </c>
      <c r="M8" s="1136" t="s">
        <v>1901</v>
      </c>
      <c r="N8" s="1137"/>
      <c r="O8" s="359">
        <f>MOD(MAX(N6:N7)-MIN(M6:M7),1)</f>
        <v>1.388888888888884E-2</v>
      </c>
      <c r="P8" s="1138"/>
      <c r="Q8" s="1138"/>
      <c r="R8" s="1138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  <mergeCell ref="A5:D5"/>
    <mergeCell ref="E5:R5"/>
    <mergeCell ref="A8:D8"/>
    <mergeCell ref="E8:K8"/>
    <mergeCell ref="M8:N8"/>
    <mergeCell ref="P8:R8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1376</v>
      </c>
      <c r="D1" s="189" t="s">
        <v>18</v>
      </c>
      <c r="E1" s="190" t="s">
        <v>151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54" t="s">
        <v>479</v>
      </c>
      <c r="B2" s="195" t="s">
        <v>480</v>
      </c>
      <c r="C2" s="196" t="s">
        <v>347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55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55"/>
      <c r="B4" s="202" t="s">
        <v>481</v>
      </c>
      <c r="C4" s="203" t="s">
        <v>347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55"/>
      <c r="B5" s="202" t="s">
        <v>482</v>
      </c>
      <c r="C5" s="203" t="s">
        <v>347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55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55"/>
      <c r="B7" s="202" t="s">
        <v>483</v>
      </c>
      <c r="C7" s="203" t="s">
        <v>347</v>
      </c>
      <c r="D7" s="376" t="s">
        <v>1902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55"/>
      <c r="B8" s="202"/>
      <c r="D8" s="376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55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55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55"/>
      <c r="B11" s="202"/>
      <c r="D11" s="204" t="s">
        <v>1381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55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55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55"/>
      <c r="B14" s="202"/>
      <c r="D14" s="204" t="s">
        <v>1903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55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55"/>
      <c r="B16" s="202" t="s">
        <v>488</v>
      </c>
      <c r="C16" s="203" t="s">
        <v>347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55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55"/>
      <c r="B18" s="202" t="s">
        <v>489</v>
      </c>
      <c r="C18" s="203" t="s">
        <v>347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55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55"/>
      <c r="B20" s="202" t="s">
        <v>490</v>
      </c>
      <c r="C20" s="203" t="s">
        <v>347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55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55"/>
      <c r="B22" s="202" t="s">
        <v>1904</v>
      </c>
      <c r="C22" s="203" t="s">
        <v>347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55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55"/>
      <c r="B24" s="202" t="s">
        <v>758</v>
      </c>
      <c r="C24" s="203" t="s">
        <v>347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55"/>
      <c r="B25" s="202" t="s">
        <v>600</v>
      </c>
      <c r="C25" s="203" t="s">
        <v>347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55"/>
      <c r="B26" s="202" t="s">
        <v>821</v>
      </c>
      <c r="C26" s="203" t="s">
        <v>347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55"/>
      <c r="B27" s="202" t="s">
        <v>815</v>
      </c>
      <c r="C27" s="203" t="s">
        <v>1905</v>
      </c>
      <c r="D27" s="204" t="s">
        <v>1906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55"/>
      <c r="B28" s="202"/>
      <c r="C28" s="203" t="s">
        <v>347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55"/>
      <c r="B29" s="202" t="s">
        <v>816</v>
      </c>
      <c r="C29" s="203" t="s">
        <v>347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55"/>
      <c r="B30" s="202" t="s">
        <v>817</v>
      </c>
      <c r="C30" s="203" t="s">
        <v>347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55"/>
      <c r="B31" s="202"/>
      <c r="D31" s="204" t="s">
        <v>1465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55"/>
      <c r="B32" s="202" t="s">
        <v>818</v>
      </c>
      <c r="C32" s="203" t="s">
        <v>347</v>
      </c>
      <c r="D32" s="204" t="s">
        <v>1465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55"/>
      <c r="B33" s="202" t="s">
        <v>819</v>
      </c>
      <c r="C33" s="203" t="s">
        <v>1905</v>
      </c>
      <c r="D33" s="204" t="s">
        <v>1381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55"/>
      <c r="B34" s="202" t="s">
        <v>820</v>
      </c>
      <c r="C34" s="203" t="s">
        <v>347</v>
      </c>
      <c r="D34" s="204" t="s">
        <v>1387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55"/>
      <c r="B35" s="202"/>
      <c r="D35" s="204" t="s">
        <v>1465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55"/>
      <c r="B36" s="202" t="s">
        <v>822</v>
      </c>
      <c r="C36" s="203" t="s">
        <v>1907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55"/>
      <c r="B37" s="202"/>
      <c r="C37" s="203" t="s">
        <v>1905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55"/>
      <c r="B38" s="202"/>
      <c r="C38" s="203" t="s">
        <v>347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55"/>
      <c r="B39" s="202" t="s">
        <v>823</v>
      </c>
      <c r="C39" s="203" t="s">
        <v>347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45" t="s">
        <v>829</v>
      </c>
      <c r="B40" s="195" t="s">
        <v>1908</v>
      </c>
      <c r="C40" s="196" t="s">
        <v>347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46"/>
      <c r="B41" s="202" t="s">
        <v>1104</v>
      </c>
      <c r="C41" s="203" t="s">
        <v>347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46"/>
      <c r="B42" s="202" t="s">
        <v>1107</v>
      </c>
      <c r="C42" s="203" t="s">
        <v>347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46"/>
      <c r="B43" s="202" t="s">
        <v>1108</v>
      </c>
      <c r="C43" s="203" t="s">
        <v>347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46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45" t="s">
        <v>836</v>
      </c>
      <c r="B45" s="195" t="s">
        <v>837</v>
      </c>
      <c r="C45" s="196" t="s">
        <v>347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46"/>
      <c r="B46" s="202" t="s">
        <v>1909</v>
      </c>
      <c r="C46" s="203" t="s">
        <v>347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45" t="s">
        <v>824</v>
      </c>
      <c r="B47" s="195" t="s">
        <v>825</v>
      </c>
      <c r="C47" s="196" t="s">
        <v>347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46"/>
      <c r="B48" s="202" t="s">
        <v>1910</v>
      </c>
      <c r="C48" s="203" t="s">
        <v>347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46"/>
      <c r="B49" s="202" t="s">
        <v>827</v>
      </c>
      <c r="C49" s="203" t="s">
        <v>347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46"/>
      <c r="B50" s="202" t="s">
        <v>1911</v>
      </c>
      <c r="C50" s="203" t="s">
        <v>347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45" t="s">
        <v>839</v>
      </c>
      <c r="B51" s="195" t="s">
        <v>840</v>
      </c>
      <c r="C51" s="196" t="s">
        <v>347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46"/>
      <c r="B52" s="202" t="s">
        <v>841</v>
      </c>
      <c r="C52" s="203" t="s">
        <v>347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794</v>
      </c>
      <c r="B53" s="208" t="s">
        <v>787</v>
      </c>
      <c r="C53" s="209" t="s">
        <v>347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795</v>
      </c>
      <c r="B54" s="208" t="s">
        <v>796</v>
      </c>
      <c r="C54" s="209" t="s">
        <v>347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799</v>
      </c>
      <c r="B55" s="208" t="s">
        <v>598</v>
      </c>
      <c r="C55" s="209" t="s">
        <v>347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597</v>
      </c>
      <c r="B56" s="211" t="s">
        <v>598</v>
      </c>
      <c r="C56" s="212" t="s">
        <v>347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797</v>
      </c>
      <c r="B57" s="211" t="s">
        <v>798</v>
      </c>
      <c r="C57" s="212" t="s">
        <v>347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45" t="s">
        <v>696</v>
      </c>
      <c r="B58" s="195" t="s">
        <v>697</v>
      </c>
      <c r="C58" s="196" t="s">
        <v>697</v>
      </c>
      <c r="D58" s="207" t="s">
        <v>1386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46"/>
      <c r="B59" s="202"/>
      <c r="C59" s="203" t="s">
        <v>347</v>
      </c>
      <c r="D59" s="204" t="s">
        <v>1387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46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46"/>
      <c r="B61" s="202"/>
      <c r="D61" s="204" t="s">
        <v>1465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46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46"/>
      <c r="B63" s="202" t="s">
        <v>698</v>
      </c>
      <c r="C63" s="203" t="s">
        <v>347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47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45" t="s">
        <v>692</v>
      </c>
      <c r="B65" s="195" t="s">
        <v>693</v>
      </c>
      <c r="C65" s="196" t="s">
        <v>693</v>
      </c>
      <c r="D65" s="207" t="s">
        <v>1386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46"/>
      <c r="B66" s="202"/>
      <c r="C66" s="203" t="s">
        <v>347</v>
      </c>
      <c r="D66" s="204" t="s">
        <v>1387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46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46"/>
      <c r="B68" s="202"/>
      <c r="D68" s="204" t="s">
        <v>1465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46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46"/>
      <c r="B70" s="202" t="s">
        <v>1912</v>
      </c>
      <c r="C70" s="203" t="s">
        <v>347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46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46"/>
      <c r="B72" s="202" t="s">
        <v>695</v>
      </c>
      <c r="C72" s="203" t="s">
        <v>347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47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765</v>
      </c>
      <c r="B74" s="208" t="s">
        <v>766</v>
      </c>
      <c r="C74" s="209" t="s">
        <v>347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800</v>
      </c>
      <c r="B75" s="208" t="s">
        <v>801</v>
      </c>
      <c r="C75" s="209" t="s">
        <v>347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46" t="s">
        <v>444</v>
      </c>
      <c r="B76" s="202" t="s">
        <v>445</v>
      </c>
      <c r="C76" s="203" t="s">
        <v>445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46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46"/>
      <c r="B78" s="202"/>
      <c r="D78" s="206" t="s">
        <v>1381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46"/>
      <c r="B79" s="202" t="s">
        <v>446</v>
      </c>
      <c r="C79" s="203" t="s">
        <v>446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46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46"/>
      <c r="B81" s="202"/>
      <c r="D81" s="206" t="s">
        <v>1381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46"/>
      <c r="B82" s="202" t="s">
        <v>447</v>
      </c>
      <c r="C82" s="203" t="s">
        <v>447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46"/>
      <c r="B83" s="202" t="s">
        <v>448</v>
      </c>
      <c r="C83" s="203" t="s">
        <v>448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46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46"/>
      <c r="B85" s="202" t="s">
        <v>449</v>
      </c>
      <c r="C85" s="203" t="s">
        <v>449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46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46"/>
      <c r="B87" s="202"/>
      <c r="D87" s="206" t="s">
        <v>1386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46"/>
      <c r="B88" s="202" t="s">
        <v>450</v>
      </c>
      <c r="C88" s="203" t="s">
        <v>450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46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46"/>
      <c r="B90" s="202"/>
      <c r="D90" s="206" t="s">
        <v>1381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46"/>
      <c r="B91" s="202" t="s">
        <v>451</v>
      </c>
      <c r="C91" s="203" t="s">
        <v>451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46"/>
      <c r="B92" s="202" t="s">
        <v>452</v>
      </c>
      <c r="C92" s="203" t="s">
        <v>452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46"/>
      <c r="B93" s="202" t="s">
        <v>453</v>
      </c>
      <c r="C93" s="203" t="s">
        <v>453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46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46"/>
      <c r="B95" s="202"/>
      <c r="D95" s="206" t="s">
        <v>1381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46"/>
      <c r="B96" s="202" t="s">
        <v>454</v>
      </c>
      <c r="C96" s="203" t="s">
        <v>454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46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46"/>
      <c r="B98" s="202" t="s">
        <v>455</v>
      </c>
      <c r="C98" s="203" t="s">
        <v>455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46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46"/>
      <c r="B100" s="202" t="s">
        <v>457</v>
      </c>
      <c r="C100" s="203" t="s">
        <v>457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46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46"/>
      <c r="B102" s="202" t="s">
        <v>458</v>
      </c>
      <c r="C102" s="203" t="s">
        <v>458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46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46"/>
      <c r="B104" s="202" t="s">
        <v>459</v>
      </c>
      <c r="C104" s="203" t="s">
        <v>459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46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46"/>
      <c r="B106" s="202" t="s">
        <v>460</v>
      </c>
      <c r="C106" s="203" t="s">
        <v>460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46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46"/>
      <c r="B108" s="202" t="s">
        <v>461</v>
      </c>
      <c r="C108" s="203" t="s">
        <v>461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46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46"/>
      <c r="B110" s="202" t="s">
        <v>462</v>
      </c>
      <c r="C110" s="203" t="s">
        <v>462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46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46"/>
      <c r="B112" s="202" t="s">
        <v>463</v>
      </c>
      <c r="C112" s="203" t="s">
        <v>463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46"/>
      <c r="B113" s="202" t="s">
        <v>464</v>
      </c>
      <c r="C113" s="203" t="s">
        <v>464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46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46"/>
      <c r="B115" s="202" t="s">
        <v>465</v>
      </c>
      <c r="C115" s="203" t="s">
        <v>347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46"/>
      <c r="B116" s="202"/>
      <c r="C116" s="203" t="s">
        <v>465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46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46"/>
      <c r="B118" s="202" t="s">
        <v>466</v>
      </c>
      <c r="C118" s="203" t="s">
        <v>466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46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46"/>
      <c r="B120" s="202"/>
      <c r="D120" s="206" t="s">
        <v>1381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46"/>
      <c r="B121" s="202" t="s">
        <v>467</v>
      </c>
      <c r="C121" s="203" t="s">
        <v>467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46"/>
      <c r="B122" s="202"/>
      <c r="D122" s="206" t="s">
        <v>1381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46"/>
      <c r="B123" s="202" t="s">
        <v>468</v>
      </c>
      <c r="C123" s="203" t="s">
        <v>468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46"/>
      <c r="B124" s="202"/>
      <c r="D124" s="206" t="s">
        <v>1381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46"/>
      <c r="B125" s="202" t="s">
        <v>469</v>
      </c>
      <c r="C125" s="203" t="s">
        <v>469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46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46"/>
      <c r="B127" s="202" t="s">
        <v>470</v>
      </c>
      <c r="C127" s="203" t="s">
        <v>470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46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46"/>
      <c r="B129" s="202" t="s">
        <v>471</v>
      </c>
      <c r="C129" s="203" t="s">
        <v>471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46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46"/>
      <c r="B131" s="202"/>
      <c r="D131" s="206" t="s">
        <v>1381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46"/>
      <c r="B132" s="202" t="s">
        <v>472</v>
      </c>
      <c r="C132" s="203" t="s">
        <v>472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46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46"/>
      <c r="B134" s="202"/>
      <c r="D134" s="206" t="s">
        <v>1381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46"/>
      <c r="B135" s="202" t="s">
        <v>473</v>
      </c>
      <c r="C135" s="203" t="s">
        <v>473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46"/>
      <c r="B136" s="202" t="s">
        <v>474</v>
      </c>
      <c r="C136" s="203" t="s">
        <v>474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46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46"/>
      <c r="B138" s="202" t="s">
        <v>475</v>
      </c>
      <c r="C138" s="203" t="s">
        <v>475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46"/>
      <c r="B139" s="202" t="s">
        <v>476</v>
      </c>
      <c r="C139" s="203" t="s">
        <v>476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46"/>
      <c r="B140" s="202" t="s">
        <v>477</v>
      </c>
      <c r="C140" s="203" t="s">
        <v>477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46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47"/>
      <c r="B142" s="211" t="s">
        <v>478</v>
      </c>
      <c r="C142" s="212" t="s">
        <v>478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45" t="s">
        <v>506</v>
      </c>
      <c r="B143" s="195" t="s">
        <v>507</v>
      </c>
      <c r="C143" s="196" t="s">
        <v>507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46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46"/>
      <c r="B145" s="202"/>
      <c r="D145" s="206" t="s">
        <v>1381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46"/>
      <c r="B146" s="202" t="s">
        <v>509</v>
      </c>
      <c r="C146" s="203" t="s">
        <v>509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46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46"/>
      <c r="B148" s="202"/>
      <c r="D148" s="206" t="s">
        <v>1386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46"/>
      <c r="B149" s="202" t="s">
        <v>510</v>
      </c>
      <c r="C149" s="203" t="s">
        <v>510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46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46"/>
      <c r="B151" s="202"/>
      <c r="D151" s="206" t="s">
        <v>1386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46"/>
      <c r="B152" s="202" t="s">
        <v>511</v>
      </c>
      <c r="C152" s="203" t="s">
        <v>511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46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46"/>
      <c r="B154" s="202" t="s">
        <v>512</v>
      </c>
      <c r="C154" s="203" t="s">
        <v>512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46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46"/>
      <c r="B156" s="202" t="s">
        <v>513</v>
      </c>
      <c r="C156" s="203" t="s">
        <v>513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46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46"/>
      <c r="B158" s="202" t="s">
        <v>514</v>
      </c>
      <c r="C158" s="203" t="s">
        <v>514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46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46"/>
      <c r="B160" s="202" t="s">
        <v>515</v>
      </c>
      <c r="C160" s="203" t="s">
        <v>515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46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46"/>
      <c r="B162" s="202"/>
      <c r="D162" s="206" t="s">
        <v>1386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46"/>
      <c r="B163" s="202"/>
      <c r="C163" s="203" t="s">
        <v>347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46"/>
      <c r="B164" s="202" t="s">
        <v>516</v>
      </c>
      <c r="C164" s="203" t="s">
        <v>516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47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45" t="s">
        <v>492</v>
      </c>
      <c r="B166" s="195" t="s">
        <v>493</v>
      </c>
      <c r="C166" s="196" t="s">
        <v>493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46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46"/>
      <c r="B168" s="202"/>
      <c r="D168" s="206" t="s">
        <v>1386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46"/>
      <c r="B169" s="202" t="s">
        <v>494</v>
      </c>
      <c r="C169" s="203" t="s">
        <v>494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46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46"/>
      <c r="B171" s="202"/>
      <c r="D171" s="206" t="s">
        <v>1386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46"/>
      <c r="B172" s="202" t="s">
        <v>495</v>
      </c>
      <c r="C172" s="203" t="s">
        <v>495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46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46"/>
      <c r="B174" s="202"/>
      <c r="D174" s="206" t="s">
        <v>1386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46"/>
      <c r="B175" s="202" t="s">
        <v>496</v>
      </c>
      <c r="C175" s="203" t="s">
        <v>496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46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46"/>
      <c r="B177" s="202"/>
      <c r="D177" s="206" t="s">
        <v>1386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46"/>
      <c r="B178" s="202" t="s">
        <v>497</v>
      </c>
      <c r="C178" s="203" t="s">
        <v>497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46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46"/>
      <c r="B180" s="202"/>
      <c r="D180" s="206" t="s">
        <v>1386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46"/>
      <c r="B181" s="202" t="s">
        <v>498</v>
      </c>
      <c r="C181" s="203" t="s">
        <v>498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46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46"/>
      <c r="B183" s="202" t="s">
        <v>499</v>
      </c>
      <c r="C183" s="203" t="s">
        <v>499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46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46"/>
      <c r="B185" s="202" t="s">
        <v>500</v>
      </c>
      <c r="C185" s="203" t="s">
        <v>500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46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46"/>
      <c r="B187" s="202" t="s">
        <v>501</v>
      </c>
      <c r="C187" s="203" t="s">
        <v>501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46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46"/>
      <c r="B189" s="202" t="s">
        <v>502</v>
      </c>
      <c r="C189" s="203" t="s">
        <v>502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46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46"/>
      <c r="B191" s="202" t="s">
        <v>503</v>
      </c>
      <c r="C191" s="203" t="s">
        <v>503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46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46"/>
      <c r="B193" s="202" t="s">
        <v>504</v>
      </c>
      <c r="C193" s="203" t="s">
        <v>504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46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46"/>
      <c r="B195" s="202"/>
      <c r="D195" s="206" t="s">
        <v>1386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46"/>
      <c r="B196" s="202" t="s">
        <v>505</v>
      </c>
      <c r="C196" s="203" t="s">
        <v>505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47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45" t="s">
        <v>406</v>
      </c>
      <c r="B198" s="195" t="s">
        <v>407</v>
      </c>
      <c r="C198" s="196" t="s">
        <v>407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46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46"/>
      <c r="B200" s="202"/>
      <c r="D200" s="206" t="s">
        <v>1386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46"/>
      <c r="B201" s="202" t="s">
        <v>409</v>
      </c>
      <c r="C201" s="203" t="s">
        <v>409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46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46"/>
      <c r="B203" s="202"/>
      <c r="D203" s="206" t="s">
        <v>1381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46"/>
      <c r="B204" s="202" t="s">
        <v>411</v>
      </c>
      <c r="C204" s="203" t="s">
        <v>411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46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46"/>
      <c r="B206" s="202"/>
      <c r="D206" s="206" t="s">
        <v>1381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46"/>
      <c r="B207" s="202" t="s">
        <v>412</v>
      </c>
      <c r="C207" s="203" t="s">
        <v>412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46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46"/>
      <c r="B209" s="202"/>
      <c r="D209" s="206" t="s">
        <v>1381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46"/>
      <c r="B210" s="202" t="s">
        <v>413</v>
      </c>
      <c r="C210" s="203" t="s">
        <v>413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46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46"/>
      <c r="B212" s="202"/>
      <c r="D212" s="206" t="s">
        <v>1381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46"/>
      <c r="B213" s="202" t="s">
        <v>414</v>
      </c>
      <c r="C213" s="203" t="s">
        <v>414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46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46"/>
      <c r="B215" s="202"/>
      <c r="D215" s="206" t="s">
        <v>1386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46"/>
      <c r="B216" s="202" t="s">
        <v>360</v>
      </c>
      <c r="C216" s="203" t="s">
        <v>360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46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46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46"/>
      <c r="B219" s="202"/>
      <c r="D219" s="206" t="s">
        <v>1381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46"/>
      <c r="B220" s="202"/>
      <c r="D220" s="206" t="s">
        <v>1386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46"/>
      <c r="B221" s="202"/>
      <c r="D221" s="206" t="s">
        <v>1906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46"/>
      <c r="B222" s="202"/>
      <c r="D222" s="206" t="s">
        <v>1913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53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46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46"/>
      <c r="B225" s="202" t="s">
        <v>421</v>
      </c>
      <c r="C225" s="203" t="s">
        <v>421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46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46"/>
      <c r="B227" s="202"/>
      <c r="D227" s="206" t="s">
        <v>1386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46"/>
      <c r="B228" s="202" t="s">
        <v>422</v>
      </c>
      <c r="C228" s="203" t="s">
        <v>422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46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46"/>
      <c r="B230" s="202"/>
      <c r="D230" s="206" t="s">
        <v>1386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46"/>
      <c r="B231" s="202" t="s">
        <v>423</v>
      </c>
      <c r="C231" s="203" t="s">
        <v>423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46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46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46"/>
      <c r="B234" s="202"/>
      <c r="D234" s="206" t="s">
        <v>1381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46"/>
      <c r="B235" s="202"/>
      <c r="D235" s="206" t="s">
        <v>1386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46"/>
      <c r="B236" s="202"/>
      <c r="D236" s="206" t="s">
        <v>1906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46"/>
      <c r="B237" s="202"/>
      <c r="D237" s="206" t="s">
        <v>1913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53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46"/>
      <c r="B239" s="202" t="s">
        <v>425</v>
      </c>
      <c r="C239" s="203" t="s">
        <v>425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46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46"/>
      <c r="B241" s="202" t="s">
        <v>426</v>
      </c>
      <c r="C241" s="203" t="s">
        <v>426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46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46"/>
      <c r="B243" s="202" t="s">
        <v>427</v>
      </c>
      <c r="C243" s="203" t="s">
        <v>427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46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46"/>
      <c r="B245" s="202" t="s">
        <v>428</v>
      </c>
      <c r="C245" s="203" t="s">
        <v>428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46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46"/>
      <c r="B247" s="202" t="s">
        <v>429</v>
      </c>
      <c r="C247" s="203" t="s">
        <v>429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46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46"/>
      <c r="B249" s="202" t="s">
        <v>430</v>
      </c>
      <c r="C249" s="203" t="s">
        <v>430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46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46"/>
      <c r="B251" s="202" t="s">
        <v>431</v>
      </c>
      <c r="C251" s="203" t="s">
        <v>431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46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46"/>
      <c r="B253" s="202" t="s">
        <v>432</v>
      </c>
      <c r="C253" s="203" t="s">
        <v>432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46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46"/>
      <c r="B255" s="202" t="s">
        <v>433</v>
      </c>
      <c r="C255" s="203" t="s">
        <v>433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46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46"/>
      <c r="B257" s="202" t="s">
        <v>434</v>
      </c>
      <c r="C257" s="203" t="s">
        <v>434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46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46"/>
      <c r="B259" s="202" t="s">
        <v>435</v>
      </c>
      <c r="C259" s="203" t="s">
        <v>435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46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46"/>
      <c r="B261" s="202"/>
      <c r="D261" s="206" t="s">
        <v>1381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46"/>
      <c r="B262" s="202" t="s">
        <v>436</v>
      </c>
      <c r="C262" s="203" t="s">
        <v>436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46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46"/>
      <c r="B264" s="202"/>
      <c r="D264" s="206" t="s">
        <v>1381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46"/>
      <c r="B265" s="202"/>
      <c r="C265" s="203" t="s">
        <v>347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46"/>
      <c r="B266" s="202" t="s">
        <v>437</v>
      </c>
      <c r="C266" s="203" t="s">
        <v>437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46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46"/>
      <c r="B268" s="202" t="s">
        <v>438</v>
      </c>
      <c r="C268" s="203" t="s">
        <v>438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46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46"/>
      <c r="B270" s="202" t="s">
        <v>439</v>
      </c>
      <c r="C270" s="203" t="s">
        <v>439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46"/>
      <c r="B271" s="202" t="s">
        <v>440</v>
      </c>
      <c r="C271" s="203" t="s">
        <v>440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46"/>
      <c r="B272" s="202" t="s">
        <v>441</v>
      </c>
      <c r="C272" s="203" t="s">
        <v>441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46"/>
      <c r="B273" s="202" t="s">
        <v>442</v>
      </c>
      <c r="C273" s="203" t="s">
        <v>442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47"/>
      <c r="B274" s="211" t="s">
        <v>443</v>
      </c>
      <c r="C274" s="212" t="s">
        <v>443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45" t="s">
        <v>733</v>
      </c>
      <c r="B275" s="195" t="s">
        <v>734</v>
      </c>
      <c r="C275" s="196" t="s">
        <v>734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46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46"/>
      <c r="B277" s="202"/>
      <c r="D277" s="206" t="s">
        <v>1381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46"/>
      <c r="B278" s="202" t="s">
        <v>735</v>
      </c>
      <c r="C278" s="203" t="s">
        <v>735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46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46"/>
      <c r="B280" s="202"/>
      <c r="D280" s="206" t="s">
        <v>1386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46"/>
      <c r="B281" s="202" t="s">
        <v>736</v>
      </c>
      <c r="C281" s="203" t="s">
        <v>736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46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46"/>
      <c r="B283" s="202"/>
      <c r="D283" s="206" t="s">
        <v>1386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46"/>
      <c r="B284" s="202" t="s">
        <v>737</v>
      </c>
      <c r="C284" s="203" t="s">
        <v>737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46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46"/>
      <c r="B286" s="202"/>
      <c r="D286" s="206" t="s">
        <v>1386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46"/>
      <c r="B287" s="202" t="s">
        <v>738</v>
      </c>
      <c r="C287" s="203" t="s">
        <v>738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46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46"/>
      <c r="B289" s="202"/>
      <c r="D289" s="206" t="s">
        <v>1386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46"/>
      <c r="B290" s="202" t="s">
        <v>739</v>
      </c>
      <c r="C290" s="203" t="s">
        <v>739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46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46"/>
      <c r="B292" s="202" t="s">
        <v>740</v>
      </c>
      <c r="C292" s="203" t="s">
        <v>740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46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46"/>
      <c r="B294" s="202" t="s">
        <v>741</v>
      </c>
      <c r="C294" s="203" t="s">
        <v>741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46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46"/>
      <c r="B296" s="202" t="s">
        <v>742</v>
      </c>
      <c r="C296" s="203" t="s">
        <v>742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46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46"/>
      <c r="B298" s="202" t="s">
        <v>743</v>
      </c>
      <c r="C298" s="203" t="s">
        <v>743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46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46"/>
      <c r="B300" s="202" t="s">
        <v>744</v>
      </c>
      <c r="C300" s="203" t="s">
        <v>744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46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46"/>
      <c r="B302" s="202" t="s">
        <v>745</v>
      </c>
      <c r="C302" s="203" t="s">
        <v>745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46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46"/>
      <c r="B304" s="202"/>
      <c r="D304" s="206" t="s">
        <v>1386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46"/>
      <c r="B305" s="202"/>
      <c r="C305" s="203" t="s">
        <v>347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46"/>
      <c r="B306" s="202" t="s">
        <v>746</v>
      </c>
      <c r="C306" s="203" t="s">
        <v>746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47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45" t="s">
        <v>747</v>
      </c>
      <c r="B308" s="195" t="s">
        <v>748</v>
      </c>
      <c r="C308" s="196" t="s">
        <v>748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46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46"/>
      <c r="B310" s="202"/>
      <c r="D310" s="206" t="s">
        <v>1386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46"/>
      <c r="B311" s="202" t="s">
        <v>749</v>
      </c>
      <c r="C311" s="203" t="s">
        <v>749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46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46"/>
      <c r="B313" s="202"/>
      <c r="D313" s="206" t="s">
        <v>1386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46"/>
      <c r="B314" s="202" t="s">
        <v>750</v>
      </c>
      <c r="C314" s="203" t="s">
        <v>750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46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46"/>
      <c r="B316" s="202"/>
      <c r="D316" s="206" t="s">
        <v>1386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46"/>
      <c r="B317" s="202" t="s">
        <v>751</v>
      </c>
      <c r="C317" s="203" t="s">
        <v>751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46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46"/>
      <c r="B319" s="202" t="s">
        <v>752</v>
      </c>
      <c r="C319" s="203" t="s">
        <v>752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46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46"/>
      <c r="B321" s="202" t="s">
        <v>753</v>
      </c>
      <c r="C321" s="203" t="s">
        <v>753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46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46"/>
      <c r="B323" s="202" t="s">
        <v>754</v>
      </c>
      <c r="C323" s="203" t="s">
        <v>754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46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46"/>
      <c r="B325" s="202" t="s">
        <v>755</v>
      </c>
      <c r="C325" s="203" t="s">
        <v>755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46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46"/>
      <c r="B327" s="202"/>
      <c r="D327" s="206" t="s">
        <v>1386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46"/>
      <c r="B328" s="202" t="s">
        <v>756</v>
      </c>
      <c r="C328" s="203" t="s">
        <v>756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47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45" t="s">
        <v>703</v>
      </c>
      <c r="B330" s="195" t="s">
        <v>704</v>
      </c>
      <c r="C330" s="196" t="s">
        <v>704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46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46"/>
      <c r="B332" s="202"/>
      <c r="D332" s="206" t="s">
        <v>1386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46"/>
      <c r="B333" s="202" t="s">
        <v>705</v>
      </c>
      <c r="C333" s="203" t="s">
        <v>705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46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46"/>
      <c r="B335" s="202"/>
      <c r="D335" s="206" t="s">
        <v>1381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46"/>
      <c r="B336" s="202" t="s">
        <v>706</v>
      </c>
      <c r="C336" s="203" t="s">
        <v>706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46"/>
      <c r="B337" s="202" t="s">
        <v>707</v>
      </c>
      <c r="C337" s="203" t="s">
        <v>707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46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46"/>
      <c r="B339" s="202" t="s">
        <v>708</v>
      </c>
      <c r="C339" s="203" t="s">
        <v>708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46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46"/>
      <c r="B341" s="202"/>
      <c r="D341" s="206" t="s">
        <v>1381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46"/>
      <c r="B342" s="202" t="s">
        <v>709</v>
      </c>
      <c r="C342" s="203" t="s">
        <v>709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46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46"/>
      <c r="B344" s="202"/>
      <c r="D344" s="206" t="s">
        <v>1381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46"/>
      <c r="B345" s="202" t="s">
        <v>710</v>
      </c>
      <c r="C345" s="203" t="s">
        <v>710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46"/>
      <c r="B346" s="202" t="s">
        <v>711</v>
      </c>
      <c r="C346" s="203" t="s">
        <v>711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46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46"/>
      <c r="B348" s="202" t="s">
        <v>712</v>
      </c>
      <c r="C348" s="203" t="s">
        <v>712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46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46"/>
      <c r="B350" s="202"/>
      <c r="D350" s="206" t="s">
        <v>1381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46"/>
      <c r="B351" s="202" t="s">
        <v>713</v>
      </c>
      <c r="C351" s="203" t="s">
        <v>713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46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46"/>
      <c r="B353" s="202" t="s">
        <v>714</v>
      </c>
      <c r="C353" s="203" t="s">
        <v>714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46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46"/>
      <c r="B355" s="202" t="s">
        <v>715</v>
      </c>
      <c r="C355" s="203" t="s">
        <v>715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46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46"/>
      <c r="B357" s="202" t="s">
        <v>716</v>
      </c>
      <c r="C357" s="203" t="s">
        <v>716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46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46"/>
      <c r="B359" s="202" t="s">
        <v>717</v>
      </c>
      <c r="C359" s="203" t="s">
        <v>717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46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46"/>
      <c r="B361" s="202" t="s">
        <v>718</v>
      </c>
      <c r="C361" s="203" t="s">
        <v>718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46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46"/>
      <c r="B363" s="202" t="s">
        <v>719</v>
      </c>
      <c r="C363" s="203" t="s">
        <v>719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46"/>
      <c r="B364" s="202" t="s">
        <v>720</v>
      </c>
      <c r="C364" s="203" t="s">
        <v>720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46"/>
      <c r="B365" s="202" t="s">
        <v>721</v>
      </c>
      <c r="C365" s="203" t="s">
        <v>721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46"/>
      <c r="B366" s="202" t="s">
        <v>722</v>
      </c>
      <c r="C366" s="203" t="s">
        <v>722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46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46"/>
      <c r="B368" s="202" t="s">
        <v>723</v>
      </c>
      <c r="C368" s="203" t="s">
        <v>723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46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46"/>
      <c r="B370" s="202"/>
      <c r="D370" s="206" t="s">
        <v>1381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46"/>
      <c r="B371" s="202" t="s">
        <v>724</v>
      </c>
      <c r="C371" s="203" t="s">
        <v>724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46"/>
      <c r="B372" s="202"/>
      <c r="D372" s="206" t="s">
        <v>1386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46"/>
      <c r="B373" s="202" t="s">
        <v>725</v>
      </c>
      <c r="C373" s="203" t="s">
        <v>725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46"/>
      <c r="B374" s="202"/>
      <c r="D374" s="206" t="s">
        <v>1386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46"/>
      <c r="B375" s="202" t="s">
        <v>726</v>
      </c>
      <c r="C375" s="203" t="s">
        <v>726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46"/>
      <c r="B376" s="202"/>
      <c r="D376" s="206" t="s">
        <v>1386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46"/>
      <c r="B377" s="202" t="s">
        <v>727</v>
      </c>
      <c r="C377" s="203" t="s">
        <v>727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46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46"/>
      <c r="B379" s="202"/>
      <c r="D379" s="206" t="s">
        <v>1386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46"/>
      <c r="B380" s="202" t="s">
        <v>728</v>
      </c>
      <c r="C380" s="203" t="s">
        <v>728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46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46"/>
      <c r="B382" s="202" t="s">
        <v>729</v>
      </c>
      <c r="C382" s="203" t="s">
        <v>729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46"/>
      <c r="B383" s="202" t="s">
        <v>730</v>
      </c>
      <c r="C383" s="203" t="s">
        <v>730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46"/>
      <c r="B384" s="202" t="s">
        <v>731</v>
      </c>
      <c r="C384" s="203" t="s">
        <v>731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46"/>
      <c r="B385" s="202" t="s">
        <v>732</v>
      </c>
      <c r="C385" s="203" t="s">
        <v>732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47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45" t="s">
        <v>763</v>
      </c>
      <c r="B387" s="195" t="s">
        <v>763</v>
      </c>
      <c r="C387" s="196" t="s">
        <v>347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47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45" t="s">
        <v>533</v>
      </c>
      <c r="B389" s="195" t="s">
        <v>533</v>
      </c>
      <c r="C389" s="196" t="s">
        <v>347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47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45" t="s">
        <v>532</v>
      </c>
      <c r="B391" s="195" t="s">
        <v>532</v>
      </c>
      <c r="C391" s="196" t="s">
        <v>347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47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45" t="s">
        <v>531</v>
      </c>
      <c r="B393" s="195" t="s">
        <v>531</v>
      </c>
      <c r="C393" s="196" t="s">
        <v>347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47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45" t="s">
        <v>842</v>
      </c>
      <c r="B395" s="195" t="s">
        <v>843</v>
      </c>
      <c r="C395" s="196" t="s">
        <v>347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46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46"/>
      <c r="B397" s="202" t="s">
        <v>844</v>
      </c>
      <c r="C397" s="203" t="s">
        <v>347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605</v>
      </c>
      <c r="B398" s="208" t="s">
        <v>564</v>
      </c>
      <c r="C398" s="209" t="s">
        <v>347</v>
      </c>
      <c r="D398" s="210" t="s">
        <v>1386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802</v>
      </c>
      <c r="B399" s="208" t="s">
        <v>758</v>
      </c>
      <c r="C399" s="209" t="s">
        <v>347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1914</v>
      </c>
      <c r="B400" s="208" t="s">
        <v>851</v>
      </c>
      <c r="C400" s="209" t="s">
        <v>347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18" t="s">
        <v>792</v>
      </c>
      <c r="B401" s="195" t="s">
        <v>787</v>
      </c>
      <c r="C401" s="196" t="s">
        <v>347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857</v>
      </c>
      <c r="B402" s="208" t="s">
        <v>858</v>
      </c>
      <c r="C402" s="209" t="s">
        <v>347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534</v>
      </c>
      <c r="B403" s="208" t="s">
        <v>535</v>
      </c>
      <c r="C403" s="209" t="s">
        <v>347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803</v>
      </c>
      <c r="B404" s="208" t="s">
        <v>804</v>
      </c>
      <c r="C404" s="209" t="s">
        <v>347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18" t="s">
        <v>586</v>
      </c>
      <c r="B405" s="195" t="s">
        <v>587</v>
      </c>
      <c r="C405" s="196" t="s">
        <v>347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45" t="s">
        <v>855</v>
      </c>
      <c r="B406" s="195" t="s">
        <v>822</v>
      </c>
      <c r="C406" s="196" t="s">
        <v>347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46"/>
      <c r="B407" s="202" t="s">
        <v>856</v>
      </c>
      <c r="C407" s="203" t="s">
        <v>347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52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45" t="s">
        <v>771</v>
      </c>
      <c r="B409" s="195" t="s">
        <v>772</v>
      </c>
      <c r="C409" s="196" t="s">
        <v>347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46"/>
      <c r="B410" s="202" t="s">
        <v>773</v>
      </c>
      <c r="C410" s="203" t="s">
        <v>347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46"/>
      <c r="B411" s="202" t="s">
        <v>774</v>
      </c>
      <c r="C411" s="203" t="s">
        <v>347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46"/>
      <c r="B412" s="202" t="s">
        <v>775</v>
      </c>
      <c r="C412" s="203" t="s">
        <v>347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46"/>
      <c r="B413" s="202" t="s">
        <v>777</v>
      </c>
      <c r="C413" s="203" t="s">
        <v>347</v>
      </c>
      <c r="D413" s="206" t="s">
        <v>1387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53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46"/>
      <c r="B415" s="202" t="s">
        <v>778</v>
      </c>
      <c r="C415" s="203" t="s">
        <v>347</v>
      </c>
      <c r="D415" s="206" t="s">
        <v>1387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46"/>
      <c r="B416" s="202" t="s">
        <v>779</v>
      </c>
      <c r="C416" s="203" t="s">
        <v>347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46"/>
      <c r="B417" s="202" t="s">
        <v>780</v>
      </c>
      <c r="C417" s="203" t="s">
        <v>347</v>
      </c>
      <c r="D417" s="206" t="s">
        <v>1381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46"/>
      <c r="B418" s="202" t="s">
        <v>781</v>
      </c>
      <c r="C418" s="203" t="s">
        <v>347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46"/>
      <c r="B419" s="202" t="s">
        <v>782</v>
      </c>
      <c r="C419" s="203" t="s">
        <v>347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46"/>
      <c r="B420" s="202" t="s">
        <v>37</v>
      </c>
      <c r="C420" s="203" t="s">
        <v>347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46"/>
      <c r="B421" s="202" t="s">
        <v>37</v>
      </c>
      <c r="C421" s="203" t="s">
        <v>347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46"/>
      <c r="B422" s="214" t="s">
        <v>776</v>
      </c>
      <c r="C422" s="203" t="s">
        <v>347</v>
      </c>
      <c r="D422" s="204" t="s">
        <v>1906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45" t="s">
        <v>702</v>
      </c>
      <c r="B423" s="195" t="s">
        <v>634</v>
      </c>
      <c r="C423" s="196" t="s">
        <v>634</v>
      </c>
      <c r="D423" s="207" t="s">
        <v>1906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47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603</v>
      </c>
      <c r="B425" s="208" t="s">
        <v>604</v>
      </c>
      <c r="C425" s="209" t="s">
        <v>347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807</v>
      </c>
      <c r="B426" s="208" t="s">
        <v>808</v>
      </c>
      <c r="C426" s="209" t="s">
        <v>347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607</v>
      </c>
      <c r="B427" s="208" t="s">
        <v>608</v>
      </c>
      <c r="C427" s="209" t="s">
        <v>1915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809</v>
      </c>
      <c r="B428" s="208" t="s">
        <v>810</v>
      </c>
      <c r="C428" s="209" t="s">
        <v>347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805</v>
      </c>
      <c r="B429" s="208" t="s">
        <v>806</v>
      </c>
      <c r="C429" s="209" t="s">
        <v>347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811</v>
      </c>
      <c r="B430" s="208" t="s">
        <v>812</v>
      </c>
      <c r="C430" s="209" t="s">
        <v>347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18" t="s">
        <v>793</v>
      </c>
      <c r="B431" s="195" t="s">
        <v>787</v>
      </c>
      <c r="C431" s="196" t="s">
        <v>347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18" t="s">
        <v>834</v>
      </c>
      <c r="B432" s="195" t="s">
        <v>854</v>
      </c>
      <c r="C432" s="196" t="s">
        <v>347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45" t="s">
        <v>784</v>
      </c>
      <c r="B433" s="195" t="s">
        <v>785</v>
      </c>
      <c r="C433" s="196" t="s">
        <v>347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46"/>
      <c r="B434" s="202" t="s">
        <v>786</v>
      </c>
      <c r="C434" s="203" t="s">
        <v>347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46"/>
      <c r="B435" s="202" t="s">
        <v>787</v>
      </c>
      <c r="C435" s="203" t="s">
        <v>347</v>
      </c>
      <c r="D435" s="206" t="s">
        <v>1386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46"/>
      <c r="B436" s="202" t="s">
        <v>772</v>
      </c>
      <c r="C436" s="203" t="s">
        <v>347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46"/>
      <c r="B437" s="202" t="s">
        <v>788</v>
      </c>
      <c r="C437" s="203" t="s">
        <v>347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46"/>
      <c r="B438" s="202" t="s">
        <v>1916</v>
      </c>
      <c r="C438" s="203" t="s">
        <v>347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46"/>
      <c r="B439" s="202" t="s">
        <v>789</v>
      </c>
      <c r="C439" s="203" t="s">
        <v>347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46"/>
      <c r="B440" s="202" t="s">
        <v>1917</v>
      </c>
      <c r="C440" s="203" t="s">
        <v>1918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45" t="s">
        <v>1919</v>
      </c>
      <c r="B441" s="195" t="s">
        <v>524</v>
      </c>
      <c r="C441" s="196" t="s">
        <v>347</v>
      </c>
      <c r="D441" s="207" t="s">
        <v>1387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46"/>
      <c r="B442" s="202"/>
      <c r="D442" s="206" t="s">
        <v>1465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46"/>
      <c r="B443" s="202"/>
      <c r="D443" s="206" t="s">
        <v>1381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46"/>
      <c r="B444" s="202"/>
      <c r="D444" s="206" t="s">
        <v>1386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45" t="s">
        <v>1920</v>
      </c>
      <c r="B445" s="195" t="s">
        <v>524</v>
      </c>
      <c r="C445" s="196" t="s">
        <v>347</v>
      </c>
      <c r="D445" s="207" t="s">
        <v>1387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46"/>
      <c r="B446" s="202"/>
      <c r="D446" s="206" t="s">
        <v>1465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45" t="s">
        <v>1921</v>
      </c>
      <c r="B447" s="195" t="s">
        <v>526</v>
      </c>
      <c r="C447" s="196" t="s">
        <v>347</v>
      </c>
      <c r="D447" s="207" t="s">
        <v>1387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51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46" t="s">
        <v>1922</v>
      </c>
      <c r="B449" s="195" t="s">
        <v>530</v>
      </c>
      <c r="C449" s="196" t="s">
        <v>347</v>
      </c>
      <c r="D449" s="207" t="s">
        <v>1387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46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45" t="s">
        <v>1923</v>
      </c>
      <c r="B451" s="195" t="s">
        <v>522</v>
      </c>
      <c r="C451" s="196" t="s">
        <v>347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46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536</v>
      </c>
      <c r="B453" s="208" t="s">
        <v>537</v>
      </c>
      <c r="C453" s="209" t="s">
        <v>347</v>
      </c>
      <c r="D453" s="210" t="s">
        <v>1387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45" t="s">
        <v>764</v>
      </c>
      <c r="B454" s="195" t="s">
        <v>762</v>
      </c>
      <c r="C454" s="196" t="s">
        <v>347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47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45" t="s">
        <v>761</v>
      </c>
      <c r="B456" s="195" t="s">
        <v>762</v>
      </c>
      <c r="C456" s="196" t="s">
        <v>347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47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1924</v>
      </c>
      <c r="B458" s="208" t="s">
        <v>617</v>
      </c>
      <c r="C458" s="209" t="s">
        <v>347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1925</v>
      </c>
      <c r="B459" s="208" t="s">
        <v>611</v>
      </c>
      <c r="C459" s="209" t="s">
        <v>347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1926</v>
      </c>
      <c r="B460" s="208" t="s">
        <v>615</v>
      </c>
      <c r="C460" s="209" t="s">
        <v>347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1927</v>
      </c>
      <c r="B461" s="208" t="s">
        <v>619</v>
      </c>
      <c r="C461" s="209" t="s">
        <v>347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1928</v>
      </c>
      <c r="B462" s="208" t="s">
        <v>631</v>
      </c>
      <c r="C462" s="209" t="s">
        <v>347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45" t="s">
        <v>1929</v>
      </c>
      <c r="B463" s="195" t="s">
        <v>549</v>
      </c>
      <c r="C463" s="196" t="s">
        <v>1930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46"/>
      <c r="B464" s="202"/>
      <c r="C464" s="203" t="s">
        <v>1931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46"/>
      <c r="B465" s="202" t="s">
        <v>551</v>
      </c>
      <c r="C465" s="203" t="s">
        <v>347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46"/>
      <c r="B466" s="202" t="s">
        <v>552</v>
      </c>
      <c r="C466" s="203" t="s">
        <v>347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46"/>
      <c r="B467" s="202" t="s">
        <v>554</v>
      </c>
      <c r="C467" s="203" t="s">
        <v>347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46"/>
      <c r="B468" s="202" t="s">
        <v>553</v>
      </c>
      <c r="C468" s="203" t="s">
        <v>347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46"/>
      <c r="B469" s="202" t="s">
        <v>555</v>
      </c>
      <c r="C469" s="203" t="s">
        <v>347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46"/>
      <c r="B470" s="202" t="s">
        <v>556</v>
      </c>
      <c r="C470" s="203" t="s">
        <v>347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46"/>
      <c r="B471" s="202" t="s">
        <v>557</v>
      </c>
      <c r="C471" s="203" t="s">
        <v>347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46"/>
      <c r="B472" s="202" t="s">
        <v>558</v>
      </c>
      <c r="C472" s="203" t="s">
        <v>347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46"/>
      <c r="B473" s="202" t="s">
        <v>559</v>
      </c>
      <c r="C473" s="203" t="s">
        <v>347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46"/>
      <c r="B474" s="202" t="s">
        <v>560</v>
      </c>
      <c r="C474" s="203" t="s">
        <v>347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46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46"/>
      <c r="B476" s="202" t="s">
        <v>561</v>
      </c>
      <c r="C476" s="203" t="s">
        <v>347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46"/>
      <c r="B477" s="202" t="s">
        <v>1932</v>
      </c>
      <c r="C477" s="203" t="s">
        <v>347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47"/>
      <c r="B478" s="211" t="s">
        <v>1143</v>
      </c>
      <c r="C478" s="212" t="s">
        <v>347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45" t="s">
        <v>1933</v>
      </c>
      <c r="B479" s="195" t="s">
        <v>593</v>
      </c>
      <c r="C479" s="196" t="s">
        <v>347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47"/>
      <c r="B480" s="211" t="s">
        <v>594</v>
      </c>
      <c r="C480" s="212" t="s">
        <v>347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1934</v>
      </c>
      <c r="B481" s="208" t="s">
        <v>602</v>
      </c>
      <c r="C481" s="209" t="s">
        <v>347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46" t="s">
        <v>1061</v>
      </c>
      <c r="B482" s="202" t="s">
        <v>541</v>
      </c>
      <c r="C482" s="203" t="s">
        <v>1935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46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46"/>
      <c r="B484" s="202" t="s">
        <v>542</v>
      </c>
      <c r="C484" s="203" t="s">
        <v>1936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46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46"/>
      <c r="B486" s="202"/>
      <c r="C486" s="203" t="s">
        <v>1937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46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46"/>
      <c r="B488" s="202" t="s">
        <v>544</v>
      </c>
      <c r="C488" s="203" t="s">
        <v>347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46"/>
      <c r="B489" s="202" t="s">
        <v>545</v>
      </c>
      <c r="C489" s="203" t="s">
        <v>347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46"/>
      <c r="B490" s="202" t="s">
        <v>546</v>
      </c>
      <c r="C490" s="203" t="s">
        <v>347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46"/>
      <c r="B491" s="202" t="s">
        <v>483</v>
      </c>
      <c r="C491" s="203" t="s">
        <v>347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46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46"/>
      <c r="B493" s="202"/>
      <c r="D493" s="204" t="s">
        <v>1938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45" t="s">
        <v>1939</v>
      </c>
      <c r="B494" s="195" t="s">
        <v>589</v>
      </c>
      <c r="C494" s="196" t="s">
        <v>347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47"/>
      <c r="B495" s="211"/>
      <c r="C495" s="212"/>
      <c r="D495" s="213" t="s">
        <v>1386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45" t="s">
        <v>1940</v>
      </c>
      <c r="B496" s="195" t="s">
        <v>569</v>
      </c>
      <c r="C496" s="196" t="s">
        <v>1941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46"/>
      <c r="B497" s="202"/>
      <c r="C497" s="203" t="s">
        <v>1942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46"/>
      <c r="B498" s="202"/>
      <c r="C498" s="203" t="s">
        <v>1943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46"/>
      <c r="B499" s="202" t="s">
        <v>574</v>
      </c>
      <c r="C499" s="203" t="s">
        <v>1944</v>
      </c>
      <c r="D499" s="206" t="s">
        <v>1386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47"/>
      <c r="B500" s="211" t="s">
        <v>575</v>
      </c>
      <c r="C500" s="212" t="s">
        <v>1945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45" t="s">
        <v>1946</v>
      </c>
      <c r="B501" s="195" t="s">
        <v>569</v>
      </c>
      <c r="C501" s="196" t="s">
        <v>1941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46"/>
      <c r="B502" s="202" t="s">
        <v>570</v>
      </c>
      <c r="C502" s="203" t="s">
        <v>347</v>
      </c>
      <c r="D502" s="206" t="s">
        <v>1386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46"/>
      <c r="B503" s="202" t="s">
        <v>571</v>
      </c>
      <c r="C503" s="203" t="s">
        <v>347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47"/>
      <c r="B504" s="211" t="s">
        <v>572</v>
      </c>
      <c r="C504" s="212" t="s">
        <v>347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45" t="s">
        <v>1947</v>
      </c>
      <c r="B505" s="195" t="s">
        <v>577</v>
      </c>
      <c r="C505" s="196" t="s">
        <v>347</v>
      </c>
      <c r="D505" s="207" t="s">
        <v>1386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46"/>
      <c r="B506" s="202" t="s">
        <v>578</v>
      </c>
      <c r="C506" s="203" t="s">
        <v>347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47"/>
      <c r="B507" s="211" t="s">
        <v>1948</v>
      </c>
      <c r="C507" s="212" t="s">
        <v>347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45" t="s">
        <v>1949</v>
      </c>
      <c r="B508" s="195" t="s">
        <v>582</v>
      </c>
      <c r="C508" s="196" t="s">
        <v>1950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47"/>
      <c r="B509" s="211" t="s">
        <v>583</v>
      </c>
      <c r="C509" s="212" t="s">
        <v>1951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1952</v>
      </c>
      <c r="B510" s="208" t="s">
        <v>596</v>
      </c>
      <c r="C510" s="209" t="s">
        <v>347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1953</v>
      </c>
      <c r="B511" s="208" t="s">
        <v>633</v>
      </c>
      <c r="C511" s="209" t="s">
        <v>347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1954</v>
      </c>
      <c r="B512" s="208" t="s">
        <v>613</v>
      </c>
      <c r="C512" s="209" t="s">
        <v>347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45" t="s">
        <v>1072</v>
      </c>
      <c r="B513" s="195" t="s">
        <v>1955</v>
      </c>
      <c r="C513" s="196" t="s">
        <v>347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46"/>
      <c r="B514" s="202"/>
      <c r="D514" s="204" t="s">
        <v>1386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46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46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46"/>
      <c r="B517" s="202" t="s">
        <v>566</v>
      </c>
      <c r="C517" s="203" t="s">
        <v>347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46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47"/>
      <c r="B519" s="211" t="s">
        <v>567</v>
      </c>
      <c r="C519" s="212" t="s">
        <v>347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1956</v>
      </c>
      <c r="B520" s="208" t="s">
        <v>621</v>
      </c>
      <c r="C520" s="209" t="s">
        <v>347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1957</v>
      </c>
      <c r="B521" s="208" t="s">
        <v>623</v>
      </c>
      <c r="C521" s="209" t="s">
        <v>347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1958</v>
      </c>
      <c r="B522" s="208" t="s">
        <v>625</v>
      </c>
      <c r="C522" s="209" t="s">
        <v>347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1959</v>
      </c>
      <c r="B523" s="208" t="s">
        <v>627</v>
      </c>
      <c r="C523" s="209" t="s">
        <v>347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1960</v>
      </c>
      <c r="B524" s="208" t="s">
        <v>629</v>
      </c>
      <c r="C524" s="209" t="s">
        <v>347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1961</v>
      </c>
      <c r="B525" s="208" t="s">
        <v>585</v>
      </c>
      <c r="C525" s="209" t="s">
        <v>347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538</v>
      </c>
      <c r="B526" s="208" t="s">
        <v>526</v>
      </c>
      <c r="C526" s="209" t="s">
        <v>347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609</v>
      </c>
      <c r="B527" s="208" t="s">
        <v>483</v>
      </c>
      <c r="C527" s="209" t="s">
        <v>347</v>
      </c>
      <c r="D527" s="217" t="s">
        <v>1938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767</v>
      </c>
      <c r="B528" s="208" t="s">
        <v>768</v>
      </c>
      <c r="C528" s="209" t="s">
        <v>347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45" t="s">
        <v>699</v>
      </c>
      <c r="B529" s="195" t="s">
        <v>1962</v>
      </c>
      <c r="C529" s="196" t="s">
        <v>347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46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46"/>
      <c r="B531" s="202" t="s">
        <v>701</v>
      </c>
      <c r="C531" s="203" t="s">
        <v>347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46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47"/>
      <c r="B533" s="211"/>
      <c r="C533" s="212"/>
      <c r="D533" s="213" t="s">
        <v>1386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45" t="s">
        <v>635</v>
      </c>
      <c r="B534" s="195" t="s">
        <v>646</v>
      </c>
      <c r="C534" s="196" t="s">
        <v>646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46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46"/>
      <c r="B536" s="202" t="s">
        <v>647</v>
      </c>
      <c r="C536" s="203" t="s">
        <v>647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46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46"/>
      <c r="B538" s="202"/>
      <c r="D538" s="206" t="s">
        <v>1386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46"/>
      <c r="B539" s="202" t="s">
        <v>648</v>
      </c>
      <c r="C539" s="203" t="s">
        <v>648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46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46"/>
      <c r="B541" s="202"/>
      <c r="D541" s="206" t="s">
        <v>1381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46"/>
      <c r="B542" s="202"/>
      <c r="D542" s="206" t="s">
        <v>1386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46"/>
      <c r="B543" s="202"/>
      <c r="C543" s="203" t="s">
        <v>347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46"/>
      <c r="B544" s="202" t="s">
        <v>649</v>
      </c>
      <c r="C544" s="203" t="s">
        <v>649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46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46"/>
      <c r="B546" s="202"/>
      <c r="D546" s="206" t="s">
        <v>1381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46"/>
      <c r="B547" s="202"/>
      <c r="D547" s="206" t="s">
        <v>1386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46"/>
      <c r="B548" s="202" t="s">
        <v>650</v>
      </c>
      <c r="C548" s="203" t="s">
        <v>650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46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46"/>
      <c r="B550" s="202"/>
      <c r="D550" s="206" t="s">
        <v>1381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46"/>
      <c r="B551" s="202" t="s">
        <v>651</v>
      </c>
      <c r="C551" s="203" t="s">
        <v>651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46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46"/>
      <c r="B553" s="202" t="s">
        <v>652</v>
      </c>
      <c r="C553" s="203" t="s">
        <v>652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46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46"/>
      <c r="B555" s="202"/>
      <c r="D555" s="206" t="s">
        <v>1381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46"/>
      <c r="B556" s="202" t="s">
        <v>653</v>
      </c>
      <c r="C556" s="203" t="s">
        <v>653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46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46"/>
      <c r="B558" s="202"/>
      <c r="D558" s="206" t="s">
        <v>1381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46"/>
      <c r="B559" s="202" t="s">
        <v>654</v>
      </c>
      <c r="C559" s="203" t="s">
        <v>654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46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46"/>
      <c r="B561" s="202"/>
      <c r="D561" s="206" t="s">
        <v>1381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46"/>
      <c r="B562" s="202"/>
      <c r="D562" s="206" t="s">
        <v>1386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46"/>
      <c r="B563" s="202" t="s">
        <v>655</v>
      </c>
      <c r="C563" s="203" t="s">
        <v>655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46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46"/>
      <c r="B565" s="202"/>
      <c r="D565" s="206" t="s">
        <v>1381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46"/>
      <c r="B566" s="202"/>
      <c r="C566" s="203" t="s">
        <v>347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46"/>
      <c r="B567" s="202" t="s">
        <v>656</v>
      </c>
      <c r="C567" s="203" t="s">
        <v>656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46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46"/>
      <c r="B569" s="202"/>
      <c r="D569" s="206" t="s">
        <v>1381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46"/>
      <c r="B570" s="202"/>
      <c r="C570" s="203" t="s">
        <v>347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46"/>
      <c r="B571" s="202" t="s">
        <v>657</v>
      </c>
      <c r="C571" s="203" t="s">
        <v>657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46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46"/>
      <c r="B573" s="202"/>
      <c r="D573" s="206" t="s">
        <v>1386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46"/>
      <c r="B574" s="202" t="s">
        <v>658</v>
      </c>
      <c r="C574" s="203" t="s">
        <v>658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46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46"/>
      <c r="B576" s="202" t="s">
        <v>659</v>
      </c>
      <c r="C576" s="203" t="s">
        <v>659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46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46"/>
      <c r="B578" s="202" t="s">
        <v>660</v>
      </c>
      <c r="C578" s="203" t="s">
        <v>660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46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46"/>
      <c r="B580" s="202" t="s">
        <v>661</v>
      </c>
      <c r="C580" s="203" t="s">
        <v>661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46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46"/>
      <c r="B582" s="202" t="s">
        <v>662</v>
      </c>
      <c r="C582" s="203" t="s">
        <v>662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46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46"/>
      <c r="B584" s="202" t="s">
        <v>663</v>
      </c>
      <c r="C584" s="203" t="s">
        <v>663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46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46"/>
      <c r="B586" s="202" t="s">
        <v>664</v>
      </c>
      <c r="C586" s="203" t="s">
        <v>664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46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46"/>
      <c r="B588" s="202" t="s">
        <v>665</v>
      </c>
      <c r="C588" s="203" t="s">
        <v>665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46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46"/>
      <c r="B590" s="202" t="s">
        <v>666</v>
      </c>
      <c r="C590" s="203" t="s">
        <v>666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46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46"/>
      <c r="B592" s="202" t="s">
        <v>667</v>
      </c>
      <c r="C592" s="203" t="s">
        <v>667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46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46"/>
      <c r="B594" s="202" t="s">
        <v>668</v>
      </c>
      <c r="C594" s="203" t="s">
        <v>668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46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46"/>
      <c r="B596" s="202" t="s">
        <v>669</v>
      </c>
      <c r="C596" s="203" t="s">
        <v>669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46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46"/>
      <c r="B598" s="202" t="s">
        <v>670</v>
      </c>
      <c r="C598" s="203" t="s">
        <v>670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46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46"/>
      <c r="B600" s="202" t="s">
        <v>671</v>
      </c>
      <c r="C600" s="203" t="s">
        <v>671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46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46"/>
      <c r="B602" s="202" t="s">
        <v>672</v>
      </c>
      <c r="C602" s="203" t="s">
        <v>672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46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46"/>
      <c r="B604" s="202" t="s">
        <v>673</v>
      </c>
      <c r="C604" s="203" t="s">
        <v>673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46"/>
      <c r="B605" s="202" t="s">
        <v>674</v>
      </c>
      <c r="C605" s="203" t="s">
        <v>674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46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46"/>
      <c r="B607" s="202" t="s">
        <v>675</v>
      </c>
      <c r="C607" s="203" t="s">
        <v>675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46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46"/>
      <c r="B609" s="202" t="s">
        <v>676</v>
      </c>
      <c r="C609" s="203" t="s">
        <v>676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46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46"/>
      <c r="B611" s="202" t="s">
        <v>677</v>
      </c>
      <c r="C611" s="203" t="s">
        <v>677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46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46"/>
      <c r="B613" s="202" t="s">
        <v>678</v>
      </c>
      <c r="C613" s="203" t="s">
        <v>678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46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46"/>
      <c r="B615" s="202" t="s">
        <v>679</v>
      </c>
      <c r="C615" s="203" t="s">
        <v>679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46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46"/>
      <c r="B617" s="202"/>
      <c r="D617" s="206" t="s">
        <v>1381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46"/>
      <c r="B618" s="202"/>
      <c r="D618" s="206" t="s">
        <v>1386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46"/>
      <c r="B619" s="202" t="s">
        <v>680</v>
      </c>
      <c r="C619" s="203" t="s">
        <v>680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46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46"/>
      <c r="B621" s="202" t="s">
        <v>681</v>
      </c>
      <c r="C621" s="203" t="s">
        <v>681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46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46"/>
      <c r="B623" s="202"/>
      <c r="D623" s="206" t="s">
        <v>1381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46"/>
      <c r="B624" s="202"/>
      <c r="D624" s="206" t="s">
        <v>1386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46"/>
      <c r="B625" s="202" t="s">
        <v>682</v>
      </c>
      <c r="C625" s="203" t="s">
        <v>682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46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46"/>
      <c r="B627" s="202" t="s">
        <v>683</v>
      </c>
      <c r="C627" s="203" t="s">
        <v>683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46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46"/>
      <c r="B629" s="202"/>
      <c r="D629" s="206" t="s">
        <v>1381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46"/>
      <c r="B630" s="202"/>
      <c r="D630" s="206" t="s">
        <v>1386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46"/>
      <c r="B631" s="202" t="s">
        <v>684</v>
      </c>
      <c r="C631" s="203" t="s">
        <v>684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46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46"/>
      <c r="B633" s="202"/>
      <c r="D633" s="206" t="s">
        <v>1381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46"/>
      <c r="B634" s="202"/>
      <c r="D634" s="206" t="s">
        <v>1386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46"/>
      <c r="B635" s="202" t="s">
        <v>685</v>
      </c>
      <c r="C635" s="203" t="s">
        <v>685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46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46"/>
      <c r="B637" s="202" t="s">
        <v>686</v>
      </c>
      <c r="C637" s="203" t="s">
        <v>686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46"/>
      <c r="B638" s="202" t="s">
        <v>687</v>
      </c>
      <c r="C638" s="203" t="s">
        <v>687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46"/>
      <c r="B639" s="202" t="s">
        <v>688</v>
      </c>
      <c r="C639" s="203" t="s">
        <v>688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46"/>
      <c r="B640" s="202" t="s">
        <v>689</v>
      </c>
      <c r="C640" s="203" t="s">
        <v>689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46"/>
      <c r="B641" s="202" t="s">
        <v>690</v>
      </c>
      <c r="C641" s="203" t="s">
        <v>690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46"/>
      <c r="B642" s="202" t="s">
        <v>691</v>
      </c>
      <c r="C642" s="203" t="s">
        <v>691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46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46"/>
      <c r="B644" s="214" t="s">
        <v>636</v>
      </c>
      <c r="C644" s="203" t="s">
        <v>347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46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46"/>
      <c r="B646" s="214" t="s">
        <v>637</v>
      </c>
      <c r="C646" s="203" t="s">
        <v>347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46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46"/>
      <c r="B648" s="214" t="s">
        <v>638</v>
      </c>
      <c r="C648" s="203" t="s">
        <v>347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46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46"/>
      <c r="B650" s="214" t="s">
        <v>639</v>
      </c>
      <c r="C650" s="203" t="s">
        <v>347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46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46"/>
      <c r="B652" s="214" t="s">
        <v>640</v>
      </c>
      <c r="C652" s="203" t="s">
        <v>347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46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46"/>
      <c r="B654" s="214" t="s">
        <v>641</v>
      </c>
      <c r="C654" s="203" t="s">
        <v>347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46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46"/>
      <c r="B656" s="214" t="s">
        <v>642</v>
      </c>
      <c r="C656" s="203" t="s">
        <v>347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46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46"/>
      <c r="B658" s="214" t="s">
        <v>643</v>
      </c>
      <c r="C658" s="203" t="s">
        <v>347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46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46"/>
      <c r="B660" s="214" t="s">
        <v>644</v>
      </c>
      <c r="C660" s="203" t="s">
        <v>347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46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46"/>
      <c r="B662" s="214" t="s">
        <v>645</v>
      </c>
      <c r="C662" s="203" t="s">
        <v>347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46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769</v>
      </c>
      <c r="B664" s="208" t="s">
        <v>770</v>
      </c>
      <c r="C664" s="209" t="s">
        <v>347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853</v>
      </c>
      <c r="B665" s="208" t="s">
        <v>854</v>
      </c>
      <c r="C665" s="209" t="s">
        <v>347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48" t="s">
        <v>845</v>
      </c>
      <c r="B666" s="195" t="s">
        <v>846</v>
      </c>
      <c r="C666" s="196" t="s">
        <v>1963</v>
      </c>
      <c r="D666" s="207" t="s">
        <v>1386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49"/>
      <c r="B667" s="202"/>
      <c r="C667" s="203" t="s">
        <v>347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49"/>
      <c r="B668" s="202" t="s">
        <v>847</v>
      </c>
      <c r="C668" s="203" t="s">
        <v>347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50"/>
      <c r="B669" s="211" t="s">
        <v>848</v>
      </c>
      <c r="C669" s="212" t="s">
        <v>347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852</v>
      </c>
      <c r="B670" s="208" t="s">
        <v>843</v>
      </c>
      <c r="C670" s="209" t="s">
        <v>347</v>
      </c>
      <c r="D670" s="210" t="s">
        <v>1386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45" t="s">
        <v>757</v>
      </c>
      <c r="B671" s="195" t="s">
        <v>518</v>
      </c>
      <c r="C671" s="196" t="s">
        <v>347</v>
      </c>
      <c r="D671" s="207" t="s">
        <v>1386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46"/>
      <c r="B672" s="202" t="s">
        <v>758</v>
      </c>
      <c r="C672" s="203" t="s">
        <v>347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46"/>
      <c r="B673" s="202" t="s">
        <v>759</v>
      </c>
      <c r="C673" s="203" t="s">
        <v>347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46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46"/>
      <c r="B675" s="202" t="s">
        <v>760</v>
      </c>
      <c r="C675" s="203" t="s">
        <v>347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46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45" t="s">
        <v>517</v>
      </c>
      <c r="B677" s="195" t="s">
        <v>518</v>
      </c>
      <c r="C677" s="196" t="s">
        <v>347</v>
      </c>
      <c r="D677" s="207" t="s">
        <v>1386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46"/>
      <c r="B678" s="202" t="s">
        <v>519</v>
      </c>
      <c r="C678" s="203" t="s">
        <v>347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46"/>
      <c r="B679" s="202" t="s">
        <v>1964</v>
      </c>
      <c r="C679" s="203" t="s">
        <v>347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46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46"/>
      <c r="B681" s="202" t="s">
        <v>69</v>
      </c>
      <c r="C681" s="203" t="s">
        <v>347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46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46"/>
      <c r="B683" s="202" t="s">
        <v>114</v>
      </c>
      <c r="C683" s="203" t="s">
        <v>347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45" t="s">
        <v>361</v>
      </c>
      <c r="B684" s="195" t="s">
        <v>364</v>
      </c>
      <c r="C684" s="196" t="s">
        <v>347</v>
      </c>
      <c r="D684" s="207" t="s">
        <v>1465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46"/>
      <c r="B685" s="202" t="s">
        <v>367</v>
      </c>
      <c r="C685" s="203" t="s">
        <v>347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46"/>
      <c r="B686" s="202" t="s">
        <v>369</v>
      </c>
      <c r="C686" s="203" t="s">
        <v>347</v>
      </c>
      <c r="D686" s="206" t="s">
        <v>1965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46"/>
      <c r="B687" s="202" t="s">
        <v>371</v>
      </c>
      <c r="C687" s="203" t="s">
        <v>347</v>
      </c>
      <c r="D687" s="206" t="s">
        <v>1387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46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46"/>
      <c r="B689" s="202" t="s">
        <v>374</v>
      </c>
      <c r="C689" s="203" t="s">
        <v>347</v>
      </c>
      <c r="D689" s="206" t="s">
        <v>1465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46"/>
      <c r="B690" s="202" t="s">
        <v>375</v>
      </c>
      <c r="C690" s="203" t="s">
        <v>347</v>
      </c>
      <c r="D690" s="206" t="s">
        <v>1387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46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46"/>
      <c r="B692" s="202" t="s">
        <v>376</v>
      </c>
      <c r="C692" s="203" t="s">
        <v>347</v>
      </c>
      <c r="D692" s="206" t="s">
        <v>1387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46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46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46"/>
      <c r="B695" s="202" t="s">
        <v>378</v>
      </c>
      <c r="C695" s="203" t="s">
        <v>347</v>
      </c>
      <c r="D695" s="206" t="s">
        <v>1465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46"/>
      <c r="B696" s="202" t="s">
        <v>379</v>
      </c>
      <c r="C696" s="203" t="s">
        <v>347</v>
      </c>
      <c r="D696" s="206" t="s">
        <v>1387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46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46"/>
      <c r="B698" s="202" t="s">
        <v>380</v>
      </c>
      <c r="C698" s="203" t="s">
        <v>347</v>
      </c>
      <c r="D698" s="206" t="s">
        <v>1387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46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46"/>
      <c r="B700" s="202" t="s">
        <v>381</v>
      </c>
      <c r="C700" s="203" t="s">
        <v>347</v>
      </c>
      <c r="D700" s="206" t="s">
        <v>1465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46"/>
      <c r="B701" s="202" t="s">
        <v>382</v>
      </c>
      <c r="C701" s="203" t="s">
        <v>347</v>
      </c>
      <c r="D701" s="206" t="s">
        <v>1387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46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46"/>
      <c r="B703" s="202" t="s">
        <v>383</v>
      </c>
      <c r="C703" s="203" t="s">
        <v>347</v>
      </c>
      <c r="D703" s="206" t="s">
        <v>1387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46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46"/>
      <c r="B705" s="202" t="s">
        <v>384</v>
      </c>
      <c r="C705" s="203" t="s">
        <v>347</v>
      </c>
      <c r="D705" s="206" t="s">
        <v>1387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46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46"/>
      <c r="B707" s="202" t="s">
        <v>385</v>
      </c>
      <c r="C707" s="203" t="s">
        <v>347</v>
      </c>
      <c r="D707" s="206" t="s">
        <v>1465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46"/>
      <c r="B708" s="202" t="s">
        <v>386</v>
      </c>
      <c r="C708" s="203" t="s">
        <v>347</v>
      </c>
      <c r="D708" s="206" t="s">
        <v>1465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46"/>
      <c r="B709" s="202" t="s">
        <v>387</v>
      </c>
      <c r="C709" s="203" t="s">
        <v>347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46"/>
      <c r="B710" s="202" t="s">
        <v>388</v>
      </c>
      <c r="C710" s="203" t="s">
        <v>347</v>
      </c>
      <c r="D710" s="206" t="s">
        <v>1387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46"/>
      <c r="B711" s="202"/>
      <c r="D711" s="206" t="s">
        <v>1465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46"/>
      <c r="B712" s="202" t="s">
        <v>389</v>
      </c>
      <c r="C712" s="203" t="s">
        <v>347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46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46"/>
      <c r="B714" s="202" t="s">
        <v>390</v>
      </c>
      <c r="C714" s="203" t="s">
        <v>347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46"/>
      <c r="B715" s="202" t="s">
        <v>526</v>
      </c>
      <c r="C715" s="203" t="s">
        <v>347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46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46"/>
      <c r="B717" s="202" t="s">
        <v>395</v>
      </c>
      <c r="C717" s="203" t="s">
        <v>347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46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46"/>
      <c r="B719" s="202" t="s">
        <v>398</v>
      </c>
      <c r="C719" s="203" t="s">
        <v>347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46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46"/>
      <c r="B721" s="202" t="s">
        <v>1966</v>
      </c>
      <c r="C721" s="203" t="s">
        <v>347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46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46"/>
      <c r="B723" s="202" t="s">
        <v>405</v>
      </c>
      <c r="C723" s="203" t="s">
        <v>347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46"/>
      <c r="B724" s="202"/>
      <c r="D724" s="206" t="s">
        <v>1465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46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46"/>
      <c r="B726" s="202" t="s">
        <v>403</v>
      </c>
      <c r="C726" s="203" t="s">
        <v>347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46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1967</v>
      </c>
      <c r="B728" s="218" t="s">
        <v>347</v>
      </c>
      <c r="C728" s="209" t="s">
        <v>347</v>
      </c>
      <c r="D728" s="219" t="s">
        <v>1491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1492</v>
      </c>
      <c r="E729" s="223" t="s">
        <v>1493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1494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10</vt:i4>
      </vt:variant>
    </vt:vector>
  </HeadingPairs>
  <TitlesOfParts>
    <vt:vector size="46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  New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2026-04-17T06:39:36Z</dcterms:modified>
  <cp:category/>
  <cp:contentStatus/>
</cp:coreProperties>
</file>